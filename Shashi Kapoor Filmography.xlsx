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ilms" sheetId="2" state="visible" r:id="rId2"/>
    <sheet name="Romances" sheetId="3" state="visible" r:id="rId3"/>
    <sheet name="Collaborators" sheetId="4" state="visible" r:id="rId4"/>
    <sheet name="Ensemble Cast" sheetId="5" state="visible" r:id="rId5"/>
    <sheet name="Awards" sheetId="6" state="visible" r:id="rId6"/>
    <sheet name="Sources" sheetId="7" state="visible" r:id="rId7"/>
  </sheets>
  <definedNames>
    <definedName name="_xlnm._FilterDatabase" localSheetId="1" hidden="1">'Films'!$A$1:$AT$155</definedName>
    <definedName name="_xlnm._FilterDatabase" localSheetId="2" hidden="1">'Romances'!$A$1:$AT$77</definedName>
    <definedName name="_xlnm._FilterDatabase" localSheetId="3" hidden="1">'Collaborators'!$A$1:$U$367</definedName>
    <definedName name="_xlnm._FilterDatabase" localSheetId="4" hidden="1">'Ensemble Cast'!$A$1:$M$778</definedName>
    <definedName name="_xlnm._FilterDatabase" localSheetId="5" hidden="1">'Awards'!$A$1:$M$157</definedName>
    <definedName name="_xlnm._FilterDatabase" localSheetId="6" hidden="1">'Sources'!$A$1:$M$363</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7">
    <font>
      <name val="Calibri"/>
      <family val="2"/>
      <color theme="1"/>
      <sz val="11"/>
      <scheme val="minor"/>
    </font>
    <font>
      <b val="1"/>
      <color rgb="00FFFFFF"/>
    </font>
    <font>
      <b val="1"/>
    </font>
    <font>
      <color rgb="000563C1"/>
      <u val="single"/>
    </font>
    <font>
      <b val="1"/>
      <color rgb="001F3A5F"/>
      <sz val="16"/>
    </font>
    <font>
      <i val="1"/>
      <color rgb="00555555"/>
    </font>
    <font>
      <b val="1"/>
      <color rgb="001F3A5F"/>
      <sz val="12"/>
    </font>
  </fonts>
  <fills count="6">
    <fill>
      <patternFill/>
    </fill>
    <fill>
      <patternFill patternType="gray125"/>
    </fill>
    <fill>
      <patternFill patternType="solid">
        <fgColor rgb="001F3A5F"/>
      </patternFill>
    </fill>
    <fill>
      <patternFill patternType="solid">
        <fgColor rgb="003B5E3F"/>
      </patternFill>
    </fill>
    <fill>
      <patternFill patternType="solid">
        <fgColor rgb="008A5A00"/>
      </patternFill>
    </fill>
    <fill>
      <patternFill patternType="solid">
        <fgColor rgb="00F3F7F0"/>
      </patternFill>
    </fill>
  </fills>
  <borders count="2">
    <border>
      <left/>
      <right/>
      <top/>
      <bottom/>
      <diagonal/>
    </border>
    <border>
      <bottom style="thin">
        <color rgb="00BFC5CC"/>
      </bottom>
    </border>
  </borders>
  <cellStyleXfs count="1">
    <xf numFmtId="0" fontId="0" fillId="0" borderId="0"/>
  </cellStyleXfs>
  <cellXfs count="23">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1" fillId="2" borderId="0" applyAlignment="1" pivotButton="0" quotePrefix="0" xfId="0">
      <alignment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165" fontId="0" fillId="0" borderId="0" applyAlignment="1" pivotButton="0" quotePrefix="0" xfId="0">
      <alignment horizontal="left" vertical="top" wrapText="1"/>
    </xf>
    <xf numFmtId="1" fontId="0" fillId="0" borderId="0" applyAlignment="1" pivotButton="0" quotePrefix="0" xfId="0">
      <alignment horizontal="left" vertical="top" wrapText="1"/>
    </xf>
    <xf numFmtId="0" fontId="1" fillId="2" borderId="0" pivotButton="0" quotePrefix="0" xfId="0"/>
    <xf numFmtId="0" fontId="1" fillId="4" borderId="0" pivotButton="0" quotePrefix="0" xfId="0"/>
    <xf numFmtId="0" fontId="1" fillId="3"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0" applyAlignment="1" pivotButton="0" quotePrefix="0" xfId="0">
      <alignment horizontal="center" vertical="top" wrapText="1"/>
    </xf>
    <xf numFmtId="164" fontId="0" fillId="0" borderId="0" applyAlignment="1" pivotButton="0" quotePrefix="0" xfId="0">
      <alignment horizontal="right" vertical="top"/>
    </xf>
    <xf numFmtId="1" fontId="0" fillId="0" borderId="0" applyAlignment="1" pivotButton="0" quotePrefix="0" xfId="0">
      <alignment horizontal="center" vertical="top"/>
    </xf>
    <xf numFmtId="0" fontId="0" fillId="0" borderId="0" applyAlignment="1" pivotButton="0" quotePrefix="0" xfId="0">
      <alignment horizontal="center" vertical="top" wrapText="1"/>
    </xf>
    <xf numFmtId="0" fontId="0" fillId="5" borderId="0" applyAlignment="1" pivotButton="0" quotePrefix="0" xfId="0">
      <alignment horizontal="left" vertical="top" wrapText="1"/>
    </xf>
    <xf numFmtId="0" fontId="0" fillId="0" borderId="0" applyAlignment="1" pivotButton="0" quotePrefix="0" xfId="0">
      <alignment horizontal="center" vertical="top"/>
    </xf>
    <xf numFmtId="4" fontId="0" fillId="0" borderId="0" applyAlignment="1" pivotButton="0" quotePrefix="0" xfId="0">
      <alignment horizontal="right" vertical="top"/>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3"/>
  <chart>
    <title>
      <tx>
        <rich>
          <a:bodyPr/>
          <a:p>
            <a:pPr>
              <a:defRPr/>
            </a:pPr>
            <a:r>
              <a:t>Lover-boy score by release year (per pairing)</a:t>
            </a:r>
          </a:p>
        </rich>
      </tx>
    </title>
    <plotArea>
      <scatterChart>
        <ser>
          <idx val="0"/>
          <order val="0"/>
          <tx>
            <v>Lover-boy score</v>
          </tx>
          <spPr>
            <a:ln>
              <a:noFill/>
              <a:prstDash val="solid"/>
            </a:ln>
          </spPr>
          <marker>
            <symbol val="circle"/>
            <size val="7"/>
            <spPr>
              <a:ln>
                <a:prstDash val="solid"/>
              </a:ln>
            </spPr>
          </marker>
          <xVal>
            <numRef>
              <f>'Romances'!$D$2:$D$77</f>
            </numRef>
          </xVal>
          <yVal>
            <numRef>
              <f>'Romances'!$V$2:$V$77</f>
            </numRef>
          </yVal>
        </ser>
        <axId val="10"/>
        <axId val="20"/>
      </scatterChart>
      <valAx>
        <axId val="10"/>
        <scaling>
          <orientation val="minMax"/>
          <max val="1990"/>
          <min val="1962"/>
        </scaling>
        <delete val="0"/>
        <axPos val="l"/>
        <majorGridlines/>
        <title>
          <tx>
            <rich>
              <a:bodyPr/>
              <a:p>
                <a:pPr>
                  <a:defRPr/>
                </a:pPr>
                <a:r>
                  <a:t>Release year</a:t>
                </a:r>
              </a:p>
            </rich>
          </tx>
        </title>
        <majorTickMark val="none"/>
        <minorTickMark val="none"/>
        <crossAx val="20"/>
      </valAx>
      <valAx>
        <axId val="20"/>
        <scaling>
          <orientation val="minMax"/>
          <max val="10"/>
          <min val="0"/>
        </scaling>
        <delete val="0"/>
        <axPos val="l"/>
        <majorGridlines/>
        <title>
          <tx>
            <rich>
              <a:bodyPr/>
              <a:p>
                <a:pPr>
                  <a:defRPr/>
                </a:pPr>
                <a:r>
                  <a:t>Lover-boy score</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Romantic co-star frequency</a:t>
            </a:r>
          </a:p>
        </rich>
      </tx>
    </title>
    <plotArea>
      <barChart>
        <barDir val="bar"/>
        <grouping val="clustered"/>
        <ser>
          <idx val="0"/>
          <order val="0"/>
          <tx>
            <strRef>
              <f>'Overview'!B47</f>
            </strRef>
          </tx>
          <spPr>
            <a:ln>
              <a:prstDash val="solid"/>
            </a:ln>
          </spPr>
          <cat>
            <numRef>
              <f>'Overview'!$A$48:$A$57</f>
            </numRef>
          </cat>
          <val>
            <numRef>
              <f>'Overview'!$B$48:$B$57</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3"/>
  <chart>
    <title>
      <tx>
        <rich>
          <a:bodyPr/>
          <a:p>
            <a:pPr>
              <a:defRPr/>
            </a:pPr>
            <a:r>
              <a:t>Pair friction vs external opposition</a:t>
            </a:r>
          </a:p>
        </rich>
      </tx>
    </title>
    <plotArea>
      <scatterChart>
        <ser>
          <idx val="0"/>
          <order val="0"/>
          <tx>
            <v>External opposition</v>
          </tx>
          <spPr>
            <a:ln>
              <a:noFill/>
              <a:prstDash val="solid"/>
            </a:ln>
          </spPr>
          <marker>
            <symbol val="circle"/>
            <size val="7"/>
            <spPr>
              <a:ln>
                <a:prstDash val="solid"/>
              </a:ln>
            </spPr>
          </marker>
          <xVal>
            <numRef>
              <f>'Romances'!$Q$2:$Q$77</f>
            </numRef>
          </xVal>
          <yVal>
            <numRef>
              <f>'Romances'!$S$2:$S$77</f>
            </numRef>
          </yVal>
        </ser>
        <axId val="10"/>
        <axId val="20"/>
      </scatterChart>
      <valAx>
        <axId val="10"/>
        <scaling>
          <orientation val="minMax"/>
          <max val="10"/>
          <min val="0"/>
        </scaling>
        <delete val="0"/>
        <axPos val="l"/>
        <majorGridlines/>
        <title>
          <tx>
            <rich>
              <a:bodyPr/>
              <a:p>
                <a:pPr>
                  <a:defRPr/>
                </a:pPr>
                <a:r>
                  <a:t>Pair friction</a:t>
                </a:r>
              </a:p>
            </rich>
          </tx>
        </title>
        <majorTickMark val="none"/>
        <minorTickMark val="none"/>
        <crossAx val="20"/>
      </valAx>
      <valAx>
        <axId val="20"/>
        <scaling>
          <orientation val="minMax"/>
          <max val="10"/>
          <min val="0"/>
        </scaling>
        <delete val="0"/>
        <axPos val="l"/>
        <majorGridlines/>
        <title>
          <tx>
            <rich>
              <a:bodyPr/>
              <a:p>
                <a:pPr>
                  <a:defRPr/>
                </a:pPr>
                <a:r>
                  <a:t>External opposition</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Average romance centrality by decade</a:t>
            </a:r>
          </a:p>
        </rich>
      </tx>
    </title>
    <plotArea>
      <barChart>
        <barDir val="col"/>
        <grouping val="clustered"/>
        <ser>
          <idx val="0"/>
          <order val="0"/>
          <tx>
            <strRef>
              <f>'Overview'!C60</f>
            </strRef>
          </tx>
          <spPr>
            <a:ln>
              <a:prstDash val="solid"/>
            </a:ln>
          </spPr>
          <cat>
            <numRef>
              <f>'Overview'!$A$61:$A$66</f>
            </numRef>
          </cat>
          <val>
            <numRef>
              <f>'Overview'!$C$61:$C$66</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0"/>
          <min val="0"/>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20</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6</col>
      <colOff>0</colOff>
      <row>37</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oneCellAnchor>
    <from>
      <col>6</col>
      <colOff>0</colOff>
      <row>54</row>
      <rowOff>0</rowOff>
    </from>
    <ext cx="5760000" cy="27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hyperlink" Target="https://en.wikipedia.org/wiki/List_of_roles_and_awards_of_Shashi_Kapoor" TargetMode="External" Id="rId1" /><Relationship Type="http://schemas.openxmlformats.org/officeDocument/2006/relationships/hyperlink" Target="https://en.wikipedia.org/wiki/Aag_(1948_film)" TargetMode="External" Id="rId2" /><Relationship Type="http://schemas.openxmlformats.org/officeDocument/2006/relationships/hyperlink" Target="https://en.wikipedia.org/wiki/Sangram_(1950_film)" TargetMode="External" Id="rId3" /><Relationship Type="http://schemas.openxmlformats.org/officeDocument/2006/relationships/hyperlink" Target="https://en.wikipedia.org/wiki/Awaara" TargetMode="External" Id="rId4" /><Relationship Type="http://schemas.openxmlformats.org/officeDocument/2006/relationships/hyperlink" Target="https://en.wikipedia.org/wiki/Daana_Paani_(1953_film)" TargetMode="External" Id="rId5" /><Relationship Type="http://schemas.openxmlformats.org/officeDocument/2006/relationships/hyperlink" Target="https://en.wikipedia.org/wiki/Dharmputra" TargetMode="External" Id="rId6" /><Relationship Type="http://schemas.openxmlformats.org/officeDocument/2006/relationships/hyperlink" Target="https://en.wikipedia.org/wiki/Prem_Patra" TargetMode="External" Id="rId7" /><Relationship Type="http://schemas.openxmlformats.org/officeDocument/2006/relationships/hyperlink" Target="https://en.wikipedia.org/wiki/The_Householder" TargetMode="External" Id="rId8" /><Relationship Type="http://schemas.openxmlformats.org/officeDocument/2006/relationships/hyperlink" Target="https://en.wikipedia.org/wiki/Yeh_Dil_Kisko_Doon" TargetMode="External" Id="rId9" /><Relationship Type="http://schemas.openxmlformats.org/officeDocument/2006/relationships/hyperlink" Target="https://en.wikipedia.org/wiki/Benazir_(film)" TargetMode="External" Id="rId10" /><Relationship Type="http://schemas.openxmlformats.org/officeDocument/2006/relationships/hyperlink" Target="https://en.wikipedia.org/wiki/Shakespeare_Wallah" TargetMode="External" Id="rId11" /><Relationship Type="http://schemas.openxmlformats.org/officeDocument/2006/relationships/hyperlink" Target="https://en.wikipedia.org/wiki/Waqt_(1965_film)" TargetMode="External" Id="rId12" /><Relationship Type="http://schemas.openxmlformats.org/officeDocument/2006/relationships/hyperlink" Target="https://en.wikipedia.org/wiki/Jab_Jab_Phool_Khile" TargetMode="External" Id="rId13" /><Relationship Type="http://schemas.openxmlformats.org/officeDocument/2006/relationships/hyperlink" Target="https://en.wikipedia.org/wiki/Pyar_Kiye_Jaa" TargetMode="External" Id="rId14" /><Relationship Type="http://schemas.openxmlformats.org/officeDocument/2006/relationships/hyperlink" Target="https://en.wikipedia.org/wiki/Neend_Hamari_Khwab_Tumhare_(1966_film)" TargetMode="External" Id="rId15" /><Relationship Type="http://schemas.openxmlformats.org/officeDocument/2006/relationships/hyperlink" Target="https://en.wikipedia.org/wiki/Pretty_Polly_(film)" TargetMode="External" Id="rId16" /><Relationship Type="http://schemas.openxmlformats.org/officeDocument/2006/relationships/hyperlink" Target="https://en.wikipedia.org/wiki/Aamne_Samne_(1967_film)" TargetMode="External" Id="rId17" /><Relationship Type="http://schemas.openxmlformats.org/officeDocument/2006/relationships/hyperlink" Target="https://en.wikipedia.org/wiki/Haseena_Maan_Jayegi" TargetMode="External" Id="rId18" /><Relationship Type="http://schemas.openxmlformats.org/officeDocument/2006/relationships/hyperlink" Target="https://en.wikipedia.org/wiki/Kanyadaan_(1968_film)" TargetMode="External" Id="rId19" /><Relationship Type="http://schemas.openxmlformats.org/officeDocument/2006/relationships/hyperlink" Target="https://en.wikipedia.org/wiki/Raja_Saab" TargetMode="External" Id="rId20" /><Relationship Type="http://schemas.openxmlformats.org/officeDocument/2006/relationships/hyperlink" Target="https://en.wikipedia.org/wiki/Pyar_Ka_Mausam" TargetMode="External" Id="rId21" /><Relationship Type="http://schemas.openxmlformats.org/officeDocument/2006/relationships/hyperlink" Target="https://en.wikipedia.org/wiki/Jahan_Pyar_Miley" TargetMode="External" Id="rId22" /><Relationship Type="http://schemas.openxmlformats.org/officeDocument/2006/relationships/hyperlink" Target="https://en.wikipedia.org/wiki/Ek_Shrimaan_Ek_Shrimati" TargetMode="External" Id="rId23" /><Relationship Type="http://schemas.openxmlformats.org/officeDocument/2006/relationships/hyperlink" Target="https://en.wikipedia.org/wiki/Suhana_Safar" TargetMode="External" Id="rId24" /><Relationship Type="http://schemas.openxmlformats.org/officeDocument/2006/relationships/hyperlink" Target="https://en.wikipedia.org/wiki/Rootha_Na_Karo" TargetMode="External" Id="rId25" /><Relationship Type="http://schemas.openxmlformats.org/officeDocument/2006/relationships/hyperlink" Target="https://en.wikipedia.org/wiki/Abhinetri_(1970_film)" TargetMode="External" Id="rId26" /><Relationship Type="http://schemas.openxmlformats.org/officeDocument/2006/relationships/hyperlink" Target="https://en.wikipedia.org/wiki/My_Love_(1970_film)" TargetMode="External" Id="rId27" /><Relationship Type="http://schemas.openxmlformats.org/officeDocument/2006/relationships/hyperlink" Target="https://en.wikipedia.org/wiki/Bombay_Talkie" TargetMode="External" Id="rId28" /><Relationship Type="http://schemas.openxmlformats.org/officeDocument/2006/relationships/hyperlink" Target="https://en.wikipedia.org/wiki/Sharmeelee" TargetMode="External" Id="rId29" /><Relationship Type="http://schemas.openxmlformats.org/officeDocument/2006/relationships/hyperlink" Target="https://en.wikipedia.org/wiki/Patanga_(1971_film)" TargetMode="External" Id="rId30" /><Relationship Type="http://schemas.openxmlformats.org/officeDocument/2006/relationships/hyperlink" Target="https://en.wikipedia.org/wiki/Siddhartha_(1972_film)" TargetMode="External" Id="rId31" /><Relationship Type="http://schemas.openxmlformats.org/officeDocument/2006/relationships/hyperlink" Target="https://en.wikipedia.org/wiki/Janwar_Aur_Insaan" TargetMode="External" Id="rId32" /><Relationship Type="http://schemas.openxmlformats.org/officeDocument/2006/relationships/hyperlink" Target="https://en.wikipedia.org/wiki/Aa_Gale_Lag_Jaa_(1973_film)" TargetMode="External" Id="rId33" /><Relationship Type="http://schemas.openxmlformats.org/officeDocument/2006/relationships/hyperlink" Target="https://en.wikipedia.org/wiki/Naina_(1973_film)" TargetMode="External" Id="rId34" /><Relationship Type="http://schemas.openxmlformats.org/officeDocument/2006/relationships/hyperlink" Target="https://en.wikipedia.org/wiki/Chor_Machaye_Shor" TargetMode="External" Id="rId35" /><Relationship Type="http://schemas.openxmlformats.org/officeDocument/2006/relationships/hyperlink" Target="https://en.wikipedia.org/wiki/Paap_Aur_Punya" TargetMode="External" Id="rId36" /><Relationship Type="http://schemas.openxmlformats.org/officeDocument/2006/relationships/hyperlink" Target="https://en.wikipedia.org/wiki/Roti_Kapada_Aur_Makaan" TargetMode="External" Id="rId37" /><Relationship Type="http://schemas.openxmlformats.org/officeDocument/2006/relationships/hyperlink" Target="https://en.wikipedia.org/wiki/Jeevan_Sangram" TargetMode="External" Id="rId38" /><Relationship Type="http://schemas.openxmlformats.org/officeDocument/2006/relationships/hyperlink" Target="https://en.wikipedia.org/wiki/Insaaniyat" TargetMode="External" Id="rId39" /><Relationship Type="http://schemas.openxmlformats.org/officeDocument/2006/relationships/hyperlink" Target="https://en.wikipedia.org/wiki/Anari_(1975_film)" TargetMode="External" Id="rId40" /><Relationship Type="http://schemas.openxmlformats.org/officeDocument/2006/relationships/hyperlink" Target="https://en.wikipedia.org/wiki/Deewaar" TargetMode="External" Id="rId41" /><Relationship Type="http://schemas.openxmlformats.org/officeDocument/2006/relationships/hyperlink" Target="https://en.wikipedia.org/wiki/Prem_Kahani_(1975_film)" TargetMode="External" Id="rId42" /><Relationship Type="http://schemas.openxmlformats.org/officeDocument/2006/relationships/hyperlink" Target="https://en.wikipedia.org/wiki/Chori_Mera_Kaam" TargetMode="External" Id="rId43" /><Relationship Type="http://schemas.openxmlformats.org/officeDocument/2006/relationships/hyperlink" Target="https://en.wikipedia.org/wiki/Salaakhen_(1975_film)" TargetMode="External" Id="rId44" /><Relationship Type="http://schemas.openxmlformats.org/officeDocument/2006/relationships/hyperlink" Target="https://en.wikipedia.org/wiki/Kabhi_Kabhie" TargetMode="External" Id="rId45" /><Relationship Type="http://schemas.openxmlformats.org/officeDocument/2006/relationships/hyperlink" Target="https://en.wikipedia.org/wiki/Shankar_Dada" TargetMode="External" Id="rId46" /><Relationship Type="http://schemas.openxmlformats.org/officeDocument/2006/relationships/hyperlink" Target="https://en.wikipedia.org/wiki/Fakira" TargetMode="External" Id="rId47" /><Relationship Type="http://schemas.openxmlformats.org/officeDocument/2006/relationships/hyperlink" Target="https://en.wikipedia.org/wiki/Naach_Uthe_Sansaar" TargetMode="External" Id="rId48" /><Relationship Type="http://schemas.openxmlformats.org/officeDocument/2006/relationships/hyperlink" Target="https://en.wikipedia.org/wiki/Koi_Jeeta_Koi_Haara" TargetMode="External" Id="rId49" /><Relationship Type="http://schemas.openxmlformats.org/officeDocument/2006/relationships/hyperlink" Target="https://en.wikipedia.org/wiki/Deewaangee" TargetMode="External" Id="rId50" /><Relationship Type="http://schemas.openxmlformats.org/officeDocument/2006/relationships/hyperlink" Target="https://en.wikipedia.org/wiki/Aap_Beati" TargetMode="External" Id="rId51" /><Relationship Type="http://schemas.openxmlformats.org/officeDocument/2006/relationships/hyperlink" Target="https://en.wikipedia.org/wiki/Immaan_Dharam" TargetMode="External" Id="rId52" /><Relationship Type="http://schemas.openxmlformats.org/officeDocument/2006/relationships/hyperlink" Target="https://en.wikipedia.org/wiki/Hira_Aur_Patthar" TargetMode="External" Id="rId53" /><Relationship Type="http://schemas.openxmlformats.org/officeDocument/2006/relationships/hyperlink" Target="https://en.wikipedia.org/wiki/Mukti_(1977_film)" TargetMode="External" Id="rId54" /><Relationship Type="http://schemas.openxmlformats.org/officeDocument/2006/relationships/hyperlink" Target="https://en.wikipedia.org/wiki/Doosara_Aadmi" TargetMode="External" Id="rId55" /><Relationship Type="http://schemas.openxmlformats.org/officeDocument/2006/relationships/hyperlink" Target="https://en.wikipedia.org/wiki/Farishta_Ya_Qatil" TargetMode="External" Id="rId56" /><Relationship Type="http://schemas.openxmlformats.org/officeDocument/2006/relationships/hyperlink" Target="https://en.wikipedia.org/wiki/Chor_Sipahee" TargetMode="External" Id="rId57" /><Relationship Type="http://schemas.openxmlformats.org/officeDocument/2006/relationships/hyperlink" Target="https://en.wikipedia.org/wiki/Chakkar_Pe_Chakkar" TargetMode="External" Id="rId58" /><Relationship Type="http://schemas.openxmlformats.org/officeDocument/2006/relationships/hyperlink" Target="https://en.wikipedia.org/wiki/Rahu_Ketu_(1978_film)" TargetMode="External" Id="rId59" /><Relationship Type="http://schemas.openxmlformats.org/officeDocument/2006/relationships/hyperlink" Target="https://en.wikipedia.org/wiki/Phaansi" TargetMode="External" Id="rId60" /><Relationship Type="http://schemas.openxmlformats.org/officeDocument/2006/relationships/hyperlink" Target="https://en.wikipedia.org/wiki/Satyam_Shivam_Sundaram" TargetMode="External" Id="rId61" /><Relationship Type="http://schemas.openxmlformats.org/officeDocument/2006/relationships/hyperlink" Target="https://en.wikipedia.org/wiki/Trishul_(film)" TargetMode="External" Id="rId62" /><Relationship Type="http://schemas.openxmlformats.org/officeDocument/2006/relationships/hyperlink" Target="https://en.wikipedia.org/wiki/Do_Musafir" TargetMode="External" Id="rId63" /><Relationship Type="http://schemas.openxmlformats.org/officeDocument/2006/relationships/hyperlink" Target="https://en.wikipedia.org/wiki/Trishna_(1978_film)" TargetMode="External" Id="rId64" /><Relationship Type="http://schemas.openxmlformats.org/officeDocument/2006/relationships/hyperlink" Target="https://en.wikipedia.org/wiki/Apna_Khoon" TargetMode="External" Id="rId65" /><Relationship Type="http://schemas.openxmlformats.org/officeDocument/2006/relationships/hyperlink" Target="https://en.wikipedia.org/wiki/Heeralaal_Pannalaal_(film)" TargetMode="External" Id="rId66" /><Relationship Type="http://schemas.openxmlformats.org/officeDocument/2006/relationships/hyperlink" Target="https://en.wikipedia.org/wiki/Atithee" TargetMode="External" Id="rId67" /><Relationship Type="http://schemas.openxmlformats.org/officeDocument/2006/relationships/hyperlink" Target="https://en.wikipedia.org/wiki/Amar_Shakti" TargetMode="External" Id="rId68" /><Relationship Type="http://schemas.openxmlformats.org/officeDocument/2006/relationships/hyperlink" Target="https://en.wikipedia.org/wiki/Aahuti_(1978_film)" TargetMode="External" Id="rId69" /><Relationship Type="http://schemas.openxmlformats.org/officeDocument/2006/relationships/hyperlink" Target="https://en.wikipedia.org/wiki/Gautam_Govinda" TargetMode="External" Id="rId70" /><Relationship Type="http://schemas.openxmlformats.org/officeDocument/2006/relationships/hyperlink" Target="https://en.wikipedia.org/wiki/Junoon_(1978_film)" TargetMode="External" Id="rId71" /><Relationship Type="http://schemas.openxmlformats.org/officeDocument/2006/relationships/hyperlink" Target="https://en.wikipedia.org/wiki/Duniya_Meri_Jeb_Mein" TargetMode="External" Id="rId72" /><Relationship Type="http://schemas.openxmlformats.org/officeDocument/2006/relationships/hyperlink" Target="https://en.wikipedia.org/wiki/Kaala_Patthar" TargetMode="External" Id="rId73" /><Relationship Type="http://schemas.openxmlformats.org/officeDocument/2006/relationships/hyperlink" Target="https://en.wikipedia.org/wiki/Suhaag_(1979_film)" TargetMode="External" Id="rId74" /><Relationship Type="http://schemas.openxmlformats.org/officeDocument/2006/relationships/hyperlink" Target="https://en.wikipedia.org/wiki/Kali_Ghata_(1980_film)" TargetMode="External" Id="rId75" /><Relationship Type="http://schemas.openxmlformats.org/officeDocument/2006/relationships/hyperlink" Target="https://en.wikipedia.org/wiki/Do_Aur_Do_Paanch" TargetMode="External" Id="rId76" /><Relationship Type="http://schemas.openxmlformats.org/officeDocument/2006/relationships/hyperlink" Target="https://en.wikipedia.org/wiki/Neeyat_(1980_film)" TargetMode="External" Id="rId77" /><Relationship Type="http://schemas.openxmlformats.org/officeDocument/2006/relationships/hyperlink" Target="https://en.wikipedia.org/wiki/Shaan_(1980_film)" TargetMode="External" Id="rId78" /><Relationship Type="http://schemas.openxmlformats.org/officeDocument/2006/relationships/hyperlink" Target="https://en.wikipedia.org/wiki/Kranti" TargetMode="External" Id="rId79" /><Relationship Type="http://schemas.openxmlformats.org/officeDocument/2006/relationships/hyperlink" Target="https://en.wikipedia.org/wiki/Krodhi" TargetMode="External" Id="rId80" /><Relationship Type="http://schemas.openxmlformats.org/officeDocument/2006/relationships/hyperlink" Target="https://en.wikipedia.org/wiki/Kalyug_(1981_film)" TargetMode="External" Id="rId81" /><Relationship Type="http://schemas.openxmlformats.org/officeDocument/2006/relationships/hyperlink" Target="https://en.wikipedia.org/wiki/Silsila_(1981_film)" TargetMode="External" Id="rId82" /><Relationship Type="http://schemas.openxmlformats.org/officeDocument/2006/relationships/hyperlink" Target="https://en.wikipedia.org/wiki/Baseraa" TargetMode="External" Id="rId83" /><Relationship Type="http://schemas.openxmlformats.org/officeDocument/2006/relationships/hyperlink" Target="https://en.wikipedia.org/wiki/Maan_Gaye_Ustaad" TargetMode="External" Id="rId84" /><Relationship Type="http://schemas.openxmlformats.org/officeDocument/2006/relationships/hyperlink" Target="https://en.wikipedia.org/wiki/Vakil_Babu" TargetMode="External" Id="rId85" /><Relationship Type="http://schemas.openxmlformats.org/officeDocument/2006/relationships/hyperlink" Target="https://en.wikipedia.org/wiki/Vijeta_(1982_film)" TargetMode="External" Id="rId86" /><Relationship Type="http://schemas.openxmlformats.org/officeDocument/2006/relationships/hyperlink" Target="https://en.wikipedia.org/wiki/Namak_Halaal" TargetMode="External" Id="rId87" /><Relationship Type="http://schemas.openxmlformats.org/officeDocument/2006/relationships/hyperlink" Target="https://en.wikipedia.org/wiki/Sawaal_(film)" TargetMode="External" Id="rId88" /><Relationship Type="http://schemas.openxmlformats.org/officeDocument/2006/relationships/hyperlink" Target="https://en.wikipedia.org/wiki/Bezubaan" TargetMode="External" Id="rId89" /><Relationship Type="http://schemas.openxmlformats.org/officeDocument/2006/relationships/hyperlink" Target="https://en.wikipedia.org/wiki/Heat_and_Dust_(film)" TargetMode="External" Id="rId90" /><Relationship Type="http://schemas.openxmlformats.org/officeDocument/2006/relationships/hyperlink" Target="https://en.wikipedia.org/wiki/Door-Desh" TargetMode="External" Id="rId91" /><Relationship Type="http://schemas.openxmlformats.org/officeDocument/2006/relationships/hyperlink" Target="https://en.wikipedia.org/wiki/Bandhan_Kuchchey_Dhaagon_Ka" TargetMode="External" Id="rId92" /><Relationship Type="http://schemas.openxmlformats.org/officeDocument/2006/relationships/hyperlink" Target="https://en.wikipedia.org/wiki/Ghar_Ek_Mandir_(film)" TargetMode="External" Id="rId93" /><Relationship Type="http://schemas.openxmlformats.org/officeDocument/2006/relationships/hyperlink" Target="https://en.wikipedia.org/wiki/Zameen_Aasmaan_(1984_film)" TargetMode="External" Id="rId94" /><Relationship Type="http://schemas.openxmlformats.org/officeDocument/2006/relationships/hyperlink" Target="https://en.wikipedia.org/wiki/Utsav" TargetMode="External" Id="rId95" /><Relationship Type="http://schemas.openxmlformats.org/officeDocument/2006/relationships/hyperlink" Target="https://en.wikipedia.org/wiki/Pighalta_Aasman" TargetMode="External" Id="rId96" /><Relationship Type="http://schemas.openxmlformats.org/officeDocument/2006/relationships/hyperlink" Target="https://en.wikipedia.org/wiki/Aandhi-Toofan" TargetMode="External" Id="rId97" /><Relationship Type="http://schemas.openxmlformats.org/officeDocument/2006/relationships/hyperlink" Target="https://en.wikipedia.org/wiki/Bepanaah" TargetMode="External" Id="rId98" /><Relationship Type="http://schemas.openxmlformats.org/officeDocument/2006/relationships/hyperlink" Target="https://en.wikipedia.org/wiki/Alag_Alag" TargetMode="External" Id="rId99" /><Relationship Type="http://schemas.openxmlformats.org/officeDocument/2006/relationships/hyperlink" Target="https://en.wikipedia.org/wiki/Bhavani_Junction" TargetMode="External" Id="rId100" /><Relationship Type="http://schemas.openxmlformats.org/officeDocument/2006/relationships/hyperlink" Target="https://en.wikipedia.org/wiki/Ilzaam" TargetMode="External" Id="rId101" /><Relationship Type="http://schemas.openxmlformats.org/officeDocument/2006/relationships/hyperlink" Target="https://en.wikipedia.org/wiki/Swati_(1986_film)" TargetMode="External" Id="rId102" /><Relationship Type="http://schemas.openxmlformats.org/officeDocument/2006/relationships/hyperlink" Target="https://en.wikipedia.org/wiki/Maa_Beti" TargetMode="External" Id="rId103" /><Relationship Type="http://schemas.openxmlformats.org/officeDocument/2006/relationships/hyperlink" Target="https://en.wikipedia.org/wiki/New_Delhi_Times" TargetMode="External" Id="rId104" /><Relationship Type="http://schemas.openxmlformats.org/officeDocument/2006/relationships/hyperlink" Target="https://en.wikipedia.org/wiki/Ek_Main_Aur_Ek_Tu_(1986_film)" TargetMode="External" Id="rId105" /><Relationship Type="http://schemas.openxmlformats.org/officeDocument/2006/relationships/hyperlink" Target="https://en.wikipedia.org/wiki/Ijaazat" TargetMode="External" Id="rId106" /><Relationship Type="http://schemas.openxmlformats.org/officeDocument/2006/relationships/hyperlink" Target="https://en.wikipedia.org/wiki/Sindoor_(1987_film)" TargetMode="External" Id="rId107" /><Relationship Type="http://schemas.openxmlformats.org/officeDocument/2006/relationships/hyperlink" Target="https://en.wikipedia.org/wiki/Sammy_and_Rosie_Get_Laid" TargetMode="External" Id="rId108" /><Relationship Type="http://schemas.openxmlformats.org/officeDocument/2006/relationships/hyperlink" Target="https://en.wikipedia.org/wiki/Pyar_Ki_Jeet_(1987_film)" TargetMode="External" Id="rId109" /><Relationship Type="http://schemas.openxmlformats.org/officeDocument/2006/relationships/hyperlink" Target="https://en.wikipedia.org/wiki/Naam_O_Nishan" TargetMode="External" Id="rId110" /><Relationship Type="http://schemas.openxmlformats.org/officeDocument/2006/relationships/hyperlink" Target="https://en.wikipedia.org/wiki/Commando_(1988_film)" TargetMode="External" Id="rId111" /><Relationship Type="http://schemas.openxmlformats.org/officeDocument/2006/relationships/hyperlink" Target="https://en.wikipedia.org/wiki/Hum_To_Chale_Pardes" TargetMode="External" Id="rId112" /><Relationship Type="http://schemas.openxmlformats.org/officeDocument/2006/relationships/hyperlink" Target="https://en.wikipedia.org/wiki/The_Deceivers_(film)" TargetMode="External" Id="rId113" /><Relationship Type="http://schemas.openxmlformats.org/officeDocument/2006/relationships/hyperlink" Target="https://en.wikipedia.org/wiki/Meri_Zabaan" TargetMode="External" Id="rId114" /><Relationship Type="http://schemas.openxmlformats.org/officeDocument/2006/relationships/hyperlink" Target="https://en.wikipedia.org/wiki/Farz_Ki_Jung" TargetMode="External" Id="rId115" /><Relationship Type="http://schemas.openxmlformats.org/officeDocument/2006/relationships/hyperlink" Target="https://en.wikipedia.org/wiki/Gair_Kanooni" TargetMode="External" Id="rId116" /><Relationship Type="http://schemas.openxmlformats.org/officeDocument/2006/relationships/hyperlink" Target="https://en.wikipedia.org/wiki/Clerk_(1989_film)" TargetMode="External" Id="rId117" /><Relationship Type="http://schemas.openxmlformats.org/officeDocument/2006/relationships/hyperlink" Target="https://en.wikipedia.org/wiki/Touhean" TargetMode="External" Id="rId118" /><Relationship Type="http://schemas.openxmlformats.org/officeDocument/2006/relationships/hyperlink" Target="https://en.wikipedia.org/wiki/Oonch_Neech_Beech" TargetMode="External" Id="rId119" /><Relationship Type="http://schemas.openxmlformats.org/officeDocument/2006/relationships/hyperlink" Target="https://en.wikipedia.org/wiki/Akayla" TargetMode="External" Id="rId120" /><Relationship Type="http://schemas.openxmlformats.org/officeDocument/2006/relationships/hyperlink" Target="https://en.wikipedia.org/wiki/Raiszaada" TargetMode="External" Id="rId121" /><Relationship Type="http://schemas.openxmlformats.org/officeDocument/2006/relationships/hyperlink" Target="https://en.wikipedia.org/wiki/In_Custody_(film)" TargetMode="External" Id="rId122" /><Relationship Type="http://schemas.openxmlformats.org/officeDocument/2006/relationships/hyperlink" Target="https://en.wikipedia.org/wiki/Jinnah_(film)" TargetMode="External" Id="rId123" /><Relationship Type="http://schemas.openxmlformats.org/officeDocument/2006/relationships/hyperlink" Target="https://en.wikipedia.org/wiki/Swami_Vivekananda_(1998_film)" TargetMode="External" Id="rId124" /><Relationship Type="http://schemas.openxmlformats.org/officeDocument/2006/relationships/hyperlink" Target="https://en.wikipedia.org/wiki/Side_Streets_(1998_film)" TargetMode="External" Id="rId125" /><Relationship Type="http://schemas.openxmlformats.org/officeDocument/2006/relationships/hyperlink" Target="https://en.wikipedia.org/wiki/Ghar_Bazar" TargetMode="External" Id="rId126" /><Relationship Type="http://schemas.openxmlformats.org/officeDocument/2006/relationships/hyperlink" Target="https://en.wikipedia.org/wiki/Samadhi_(1950_film)" TargetMode="External" Id="rId127" /><Relationship Type="http://schemas.openxmlformats.org/officeDocument/2006/relationships/hyperlink" Target="https://en.wikipedia.org/wiki/Shashi_Kapoor" TargetMode="External" Id="rId128" /><Relationship Type="http://schemas.openxmlformats.org/officeDocument/2006/relationships/hyperlink" Target="https://en.wikipedia.org/wiki/Laxmikant%E2%80%93Pyarelal" TargetMode="External" Id="rId129" /><Relationship Type="http://schemas.openxmlformats.org/officeDocument/2006/relationships/hyperlink" Target="https://en.wikipedia.org/wiki/Kalyanji%E2%80%93Anandji" TargetMode="External" Id="rId130" /><Relationship Type="http://schemas.openxmlformats.org/officeDocument/2006/relationships/hyperlink" Target="https://en.wikipedia.org/wiki/R._D._Burman" TargetMode="External" Id="rId131" /><Relationship Type="http://schemas.openxmlformats.org/officeDocument/2006/relationships/hyperlink" Target="https://en.wikipedia.org/wiki/Bappi_Lahiri" TargetMode="External" Id="rId132" /><Relationship Type="http://schemas.openxmlformats.org/officeDocument/2006/relationships/hyperlink" Target="https://en.wikipedia.org/wiki/Yash_Chopra" TargetMode="External" Id="rId133" /><Relationship Type="http://schemas.openxmlformats.org/officeDocument/2006/relationships/hyperlink" Target="https://en.wikipedia.org/wiki/Ismail_Merchant" TargetMode="External" Id="rId134" /><Relationship Type="http://schemas.openxmlformats.org/officeDocument/2006/relationships/hyperlink" Target="https://en.wikipedia.org/wiki/Kader_Khan" TargetMode="External" Id="rId135" /><Relationship Type="http://schemas.openxmlformats.org/officeDocument/2006/relationships/hyperlink" Target="https://en.wikipedia.org/wiki/Shankar%E2%80%93Jaikishan" TargetMode="External" Id="rId136" /><Relationship Type="http://schemas.openxmlformats.org/officeDocument/2006/relationships/hyperlink" Target="https://en.wikipedia.org/wiki/Salim%E2%80%93Javed" TargetMode="External" Id="rId137" /><Relationship Type="http://schemas.openxmlformats.org/officeDocument/2006/relationships/hyperlink" Target="https://en.wikipedia.org/wiki/S._M._Abbas" TargetMode="External" Id="rId138" /><Relationship Type="http://schemas.openxmlformats.org/officeDocument/2006/relationships/hyperlink" Target="https://en.wikipedia.org/wiki/Sachin_Bhowmick" TargetMode="External" Id="rId139" /><Relationship Type="http://schemas.openxmlformats.org/officeDocument/2006/relationships/hyperlink" Target="https://en.wikipedia.org/wiki/Filmistan" TargetMode="External" Id="rId140" /><Relationship Type="http://schemas.openxmlformats.org/officeDocument/2006/relationships/hyperlink" Target="https://en.wikipedia.org/wiki/Inder_Raj_Anand" TargetMode="External" Id="rId141" /><Relationship Type="http://schemas.openxmlformats.org/officeDocument/2006/relationships/hyperlink" Target="https://en.wikipedia.org/wiki/James_Ivory" TargetMode="External" Id="rId142" /><Relationship Type="http://schemas.openxmlformats.org/officeDocument/2006/relationships/hyperlink" Target="https://en.wikipedia.org/wiki/Mohammed_Zahur_Khayyam" TargetMode="External" Id="rId143" /><Relationship Type="http://schemas.openxmlformats.org/officeDocument/2006/relationships/hyperlink" Target="https://en.wikipedia.org/wiki/Rajesh_Roshan" TargetMode="External" Id="rId144" /><Relationship Type="http://schemas.openxmlformats.org/officeDocument/2006/relationships/hyperlink" Target="https://en.wikipedia.org/wiki/Ravindra_Jain" TargetMode="External" Id="rId145" /><Relationship Type="http://schemas.openxmlformats.org/officeDocument/2006/relationships/hyperlink" Target="https://en.wikipedia.org/wiki/Ruth_Prawer_Jhabvala" TargetMode="External" Id="rId146" /><Relationship Type="http://schemas.openxmlformats.org/officeDocument/2006/relationships/hyperlink" Target="https://en.wikipedia.org/wiki/Sagar_Sarhadi" TargetMode="External" Id="rId147" /><Relationship Type="http://schemas.openxmlformats.org/officeDocument/2006/relationships/hyperlink" Target="https://en.wikipedia.org/wiki/Samir_Ganguly" TargetMode="External" Id="rId148" /><Relationship Type="http://schemas.openxmlformats.org/officeDocument/2006/relationships/hyperlink" Target="https://en.wikipedia.org/wiki/Satyadev_Dubey" TargetMode="External" Id="rId149" /><Relationship Type="http://schemas.openxmlformats.org/officeDocument/2006/relationships/hyperlink" Target="https://en.wikipedia.org/wiki/Shashi_Kapoor" TargetMode="External" Id="rId150" /><Relationship Type="http://schemas.openxmlformats.org/officeDocument/2006/relationships/hyperlink" Target="https://en.wikipedia.org/wiki/Shibu_Mitra" TargetMode="External" Id="rId151" /><Relationship Type="http://schemas.openxmlformats.org/officeDocument/2006/relationships/hyperlink" Target="https://en.wikipedia.org/wiki/Yash_Raj_Films" TargetMode="External" Id="rId152" /><Relationship Type="http://schemas.openxmlformats.org/officeDocument/2006/relationships/hyperlink" Target="https://en.wikipedia.org/wiki/Babbar_Subhash" TargetMode="External" Id="rId153" /><Relationship Type="http://schemas.openxmlformats.org/officeDocument/2006/relationships/hyperlink" Target="https://en.wikipedia.org/wiki/C._Ramchandra" TargetMode="External" Id="rId154" /><Relationship Type="http://schemas.openxmlformats.org/officeDocument/2006/relationships/hyperlink" Target="https://en.wikipedia.org/wiki/Dhruva_Chatterjee" TargetMode="External" Id="rId155" /><Relationship Type="http://schemas.openxmlformats.org/officeDocument/2006/relationships/hyperlink" Target="https://en.wikipedia.org/wiki/Gulzar" TargetMode="External" Id="rId156" /><Relationship Type="http://schemas.openxmlformats.org/officeDocument/2006/relationships/hyperlink" Target="https://en.wikipedia.org/wiki/K.A._Narayan" TargetMode="External" Id="rId157" /><Relationship Type="http://schemas.openxmlformats.org/officeDocument/2006/relationships/hyperlink" Target="https://en.wikipedia.org/wiki/Manoj_Kumar" TargetMode="External" Id="rId158" /><Relationship Type="http://schemas.openxmlformats.org/officeDocument/2006/relationships/hyperlink" Target="https://en.wikipedia.org/wiki/R._K._Films" TargetMode="External" Id="rId159" /><Relationship Type="http://schemas.openxmlformats.org/officeDocument/2006/relationships/hyperlink" Target="https://en.wikipedia.org/wiki/Rahi_Masoom_Raza" TargetMode="External" Id="rId160" /><Relationship Type="http://schemas.openxmlformats.org/officeDocument/2006/relationships/hyperlink" Target="https://en.wikipedia.org/wiki/Raj_Kapoor" TargetMode="External" Id="rId161" /><Relationship Type="http://schemas.openxmlformats.org/officeDocument/2006/relationships/hyperlink" Target="https://en.wikipedia.org/wiki/Ramesh_Sippy" TargetMode="External" Id="rId162" /><Relationship Type="http://schemas.openxmlformats.org/officeDocument/2006/relationships/hyperlink" Target="https://en.wikipedia.org/wiki/Ramesh_Talwar" TargetMode="External" Id="rId163" /><Relationship Type="http://schemas.openxmlformats.org/officeDocument/2006/relationships/hyperlink" Target="https://en.wikipedia.org/wiki/S._D._Burman" TargetMode="External" Id="rId164" /><Relationship Type="http://schemas.openxmlformats.org/officeDocument/2006/relationships/hyperlink" Target="https://en.wikipedia.org/wiki/Salil_Chowdhury" TargetMode="External" Id="rId165" /><Relationship Type="http://schemas.openxmlformats.org/officeDocument/2006/relationships/hyperlink" Target="https://en.wikipedia.org/wiki/Subodh_Mukherjee" TargetMode="External" Id="rId166" /><Relationship Type="http://schemas.openxmlformats.org/officeDocument/2006/relationships/hyperlink" Target="https://en.wikipedia.org/wiki/Usha_Khanna" TargetMode="External" Id="rId167" /><Relationship Type="http://schemas.openxmlformats.org/officeDocument/2006/relationships/hyperlink" Target="https://en.wikipedia.org/wiki/Vanraj_Bhatia" TargetMode="External" Id="rId168" /><Relationship Type="http://schemas.openxmlformats.org/officeDocument/2006/relationships/hyperlink" Target="https://en.wikipedia.org/wiki/Akhtar_ul_Iman" TargetMode="External" Id="rId169" /><Relationship Type="http://schemas.openxmlformats.org/officeDocument/2006/relationships/hyperlink" Target="https://en.wikipedia.org/wiki/Anil_Ganguly" TargetMode="External" Id="rId170" /><Relationship Type="http://schemas.openxmlformats.org/officeDocument/2006/relationships/hyperlink" Target="https://en.wikipedia.org/wiki/Anu_Malik" TargetMode="External" Id="rId171" /><Relationship Type="http://schemas.openxmlformats.org/officeDocument/2006/relationships/hyperlink" Target="https://en.wikipedia.org/wiki/Asit_Sen_(director)" TargetMode="External" Id="rId172" /><Relationship Type="http://schemas.openxmlformats.org/officeDocument/2006/relationships/hyperlink" Target="https://en.wikipedia.org/wiki/B._R._Chopra" TargetMode="External" Id="rId173" /><Relationship Type="http://schemas.openxmlformats.org/officeDocument/2006/relationships/hyperlink" Target="https://en.wikipedia.org/wiki/B._R._Chopra" TargetMode="External" Id="rId174" /><Relationship Type="http://schemas.openxmlformats.org/officeDocument/2006/relationships/hyperlink" Target="https://en.wikipedia.org/wiki/G._P._Sippy" TargetMode="External" Id="rId175" /><Relationship Type="http://schemas.openxmlformats.org/officeDocument/2006/relationships/hyperlink" Target="https://en.wikipedia.org/wiki/Girish_Karnad" TargetMode="External" Id="rId176" /><Relationship Type="http://schemas.openxmlformats.org/officeDocument/2006/relationships/hyperlink" Target="https://en.wikipedia.org/wiki/Gulshan_Rai" TargetMode="External" Id="rId177" /><Relationship Type="http://schemas.openxmlformats.org/officeDocument/2006/relationships/hyperlink" Target="https://en.wikipedia.org/wiki/Harmesh_Malhotra" TargetMode="External" Id="rId178" /><Relationship Type="http://schemas.openxmlformats.org/officeDocument/2006/relationships/hyperlink" Target="https://en.wikipedia.org/wiki/Jainendra_Jain_(screenwriter)" TargetMode="External" Id="rId179" /><Relationship Type="http://schemas.openxmlformats.org/officeDocument/2006/relationships/hyperlink" Target="https://en.wikipedia.org/wiki/K._Asif" TargetMode="External" Id="rId180" /><Relationship Type="http://schemas.openxmlformats.org/officeDocument/2006/relationships/hyperlink" Target="https://en.wikipedia.org/wiki/Manmohan_Desai" TargetMode="External" Id="rId181" /><Relationship Type="http://schemas.openxmlformats.org/officeDocument/2006/relationships/hyperlink" Target="https://en.wikipedia.org/wiki/Merchant_Ivory_Productions" TargetMode="External" Id="rId182" /><Relationship Type="http://schemas.openxmlformats.org/officeDocument/2006/relationships/hyperlink" Target="https://en.wikipedia.org/wiki/Mushir_Alam" TargetMode="External" Id="rId183" /><Relationship Type="http://schemas.openxmlformats.org/officeDocument/2006/relationships/hyperlink" Target="https://en.wikipedia.org/wiki/Pahlaj_Nihalani" TargetMode="External" Id="rId184" /><Relationship Type="http://schemas.openxmlformats.org/officeDocument/2006/relationships/hyperlink" Target="https://en.wikipedia.org/wiki/Prakash_Mehra" TargetMode="External" Id="rId185" /><Relationship Type="http://schemas.openxmlformats.org/officeDocument/2006/relationships/hyperlink" Target="https://en.wikipedia.org/wiki/R._K._Films" TargetMode="External" Id="rId186" /><Relationship Type="http://schemas.openxmlformats.org/officeDocument/2006/relationships/hyperlink" Target="https://en.wikipedia.org/wiki/Rajkamal_Kalamandir" TargetMode="External" Id="rId187" /><Relationship Type="http://schemas.openxmlformats.org/officeDocument/2006/relationships/hyperlink" Target="https://en.wikipedia.org/wiki/Sandow_M._M._A._Chinnappa_Thevar" TargetMode="External" Id="rId188" /><Relationship Type="http://schemas.openxmlformats.org/officeDocument/2006/relationships/hyperlink" Target="https://en.wikipedia.org/wiki/Shyam_Benegal" TargetMode="External" Id="rId189" /><Relationship Type="http://schemas.openxmlformats.org/officeDocument/2006/relationships/hyperlink" Target="https://en.wikipedia.org/wiki/Subhash_Ghai" TargetMode="External" Id="rId190" /><Relationship Type="http://schemas.openxmlformats.org/officeDocument/2006/relationships/hyperlink" Target="https://en.wikipedia.org/wiki/Trimurti_Films" TargetMode="External" Id="rId191" /><Relationship Type="http://schemas.openxmlformats.org/officeDocument/2006/relationships/hyperlink" Target="https://en.wikipedia.org/wiki/Ved_Rahi" TargetMode="External" Id="rId192" /><Relationship Type="http://schemas.openxmlformats.org/officeDocument/2006/relationships/hyperlink" Target="https://en.wikipedia.org/wiki/Zakir_Hussain_(musician)" TargetMode="External" Id="rId193" /><Relationship Type="http://schemas.openxmlformats.org/officeDocument/2006/relationships/hyperlink" Target="https://en.wikipedia.org/wiki/Ajay_Kashyap" TargetMode="External" Id="rId194" /><Relationship Type="http://schemas.openxmlformats.org/officeDocument/2006/relationships/hyperlink" Target="https://en.wikipedia.org/wiki/Ajit_Varman" TargetMode="External" Id="rId195" /><Relationship Type="http://schemas.openxmlformats.org/officeDocument/2006/relationships/hyperlink" Target="https://en.wikipedia.org/wiki/Akbar_Ahmed" TargetMode="External" Id="rId196" /><Relationship Type="http://schemas.openxmlformats.org/officeDocument/2006/relationships/hyperlink" Target="https://en.wikipedia.org/wiki/Akhtar_Mirza" TargetMode="External" Id="rId197" /><Relationship Type="http://schemas.openxmlformats.org/officeDocument/2006/relationships/hyperlink" Target="https://en.wikipedia.org/wiki/Amit_Khanna" TargetMode="External" Id="rId198" /><Relationship Type="http://schemas.openxmlformats.org/officeDocument/2006/relationships/hyperlink" Target="https://en.wikipedia.org/wiki/Anand%E2%80%93Milind" TargetMode="External" Id="rId199" /><Relationship Type="http://schemas.openxmlformats.org/officeDocument/2006/relationships/hyperlink" Target="https://en.wikipedia.org/wiki/Anees_Bazmee" TargetMode="External" Id="rId200" /><Relationship Type="http://schemas.openxmlformats.org/officeDocument/2006/relationships/hyperlink" Target="https://en.wikipedia.org/wiki/Anil_Sharma_(director)" TargetMode="External" Id="rId201" /><Relationship Type="http://schemas.openxmlformats.org/officeDocument/2006/relationships/hyperlink" Target="https://en.wikipedia.org/wiki/Anita_Desai" TargetMode="External" Id="rId202" /><Relationship Type="http://schemas.openxmlformats.org/officeDocument/2006/relationships/hyperlink" Target="https://en.wikipedia.org/wiki/Arun_Bhatt" TargetMode="External" Id="rId203" /><Relationship Type="http://schemas.openxmlformats.org/officeDocument/2006/relationships/hyperlink" Target="https://en.wikipedia.org/wiki/B._R._Ishara" TargetMode="External" Id="rId204" /><Relationship Type="http://schemas.openxmlformats.org/officeDocument/2006/relationships/hyperlink" Target="https://en.wikipedia.org/wiki/B._V._Karanth" TargetMode="External" Id="rId205" /><Relationship Type="http://schemas.openxmlformats.org/officeDocument/2006/relationships/hyperlink" Target="https://en.wikipedia.org/wiki/Bapu_(director)" TargetMode="External" Id="rId206" /><Relationship Type="http://schemas.openxmlformats.org/officeDocument/2006/relationships/hyperlink" Target="https://en.wikipedia.org/wiki/Bhappi_Sonie" TargetMode="External" Id="rId207" /><Relationship Type="http://schemas.openxmlformats.org/officeDocument/2006/relationships/hyperlink" Target="https://en.wikipedia.org/wiki/Bharat_Rangachary" TargetMode="External" Id="rId208" /><Relationship Type="http://schemas.openxmlformats.org/officeDocument/2006/relationships/hyperlink" Target="https://en.wikipedia.org/wiki/Bimal_Roy" TargetMode="External" Id="rId209" /><Relationship Type="http://schemas.openxmlformats.org/officeDocument/2006/relationships/hyperlink" Target="https://en.wikipedia.org/wiki/Bishwanath_Prasad_Shahabadi" TargetMode="External" Id="rId210" /><Relationship Type="http://schemas.openxmlformats.org/officeDocument/2006/relationships/hyperlink" Target="https://en.wikipedia.org/wiki/Bombay_Talkies" TargetMode="External" Id="rId211" /><Relationship Type="http://schemas.openxmlformats.org/officeDocument/2006/relationships/hyperlink" Target="https://en.wikipedia.org/wiki/Brij_Sadanah" TargetMode="External" Id="rId212" /><Relationship Type="http://schemas.openxmlformats.org/officeDocument/2006/relationships/hyperlink" Target="https://en.wikipedia.org/wiki/C._V._Sridhar" TargetMode="External" Id="rId213" /><Relationship Type="http://schemas.openxmlformats.org/officeDocument/2006/relationships/hyperlink" Target="https://en.wikipedia.org/wiki/Tapi_Chanakya" TargetMode="External" Id="rId214" /><Relationship Type="http://schemas.openxmlformats.org/officeDocument/2006/relationships/hyperlink" Target="https://en.wikipedia.org/wiki/Chithralaya" TargetMode="External" Id="rId215" /><Relationship Type="http://schemas.openxmlformats.org/officeDocument/2006/relationships/hyperlink" Target="https://en.wikipedia.org/wiki/Chithralaya_Gopu" TargetMode="External" Id="rId216" /><Relationship Type="http://schemas.openxmlformats.org/officeDocument/2006/relationships/hyperlink" Target="https://en.wikipedia.org/wiki/Conrad_Rooks" TargetMode="External" Id="rId217" /><Relationship Type="http://schemas.openxmlformats.org/officeDocument/2006/relationships/hyperlink" Target="https://en.wikipedia.org/wiki/Deepak_Shivdasani" TargetMode="External" Id="rId218" /><Relationship Type="http://schemas.openxmlformats.org/officeDocument/2006/relationships/hyperlink" Target="https://en.wikipedia.org/wiki/Sandow_M._M._A._Chinnappa_Thevar" TargetMode="External" Id="rId219" /><Relationship Type="http://schemas.openxmlformats.org/officeDocument/2006/relationships/hyperlink" Target="https://en.wikipedia.org/wiki/Devendra_Goel" TargetMode="External" Id="rId220" /><Relationship Type="http://schemas.openxmlformats.org/officeDocument/2006/relationships/hyperlink" Target="https://en.wikipedia.org/wiki/Sandow_M._M._A._Chinnappa_Thevar" TargetMode="External" Id="rId221" /><Relationship Type="http://schemas.openxmlformats.org/officeDocument/2006/relationships/hyperlink" Target="https://en.wikipedia.org/wiki/Dilip_Chitre" TargetMode="External" Id="rId222" /><Relationship Type="http://schemas.openxmlformats.org/officeDocument/2006/relationships/hyperlink" Target="https://en.wikipedia.org/wiki/Donald_Rosenfeld" TargetMode="External" Id="rId223" /><Relationship Type="http://schemas.openxmlformats.org/officeDocument/2006/relationships/hyperlink" Target="https://en.wikipedia.org/wiki/Evan_Lurie" TargetMode="External" Id="rId224" /><Relationship Type="http://schemas.openxmlformats.org/officeDocument/2006/relationships/hyperlink" Target="https://en.wikipedia.org/wiki/Film4_Productions" TargetMode="External" Id="rId225" /><Relationship Type="http://schemas.openxmlformats.org/officeDocument/2006/relationships/hyperlink" Target="https://en.wikipedia.org/wiki/G._V._Iyer" TargetMode="External" Id="rId226" /><Relationship Type="http://schemas.openxmlformats.org/officeDocument/2006/relationships/hyperlink" Target="https://en.wikipedia.org/wiki/George_W._George" TargetMode="External" Id="rId227" /><Relationship Type="http://schemas.openxmlformats.org/officeDocument/2006/relationships/hyperlink" Target="https://en.wikipedia.org/wiki/Govind_Nihalani" TargetMode="External" Id="rId228" /><Relationship Type="http://schemas.openxmlformats.org/officeDocument/2006/relationships/hyperlink" Target="https://en.wikipedia.org/wiki/Gulshan_Nanda" TargetMode="External" Id="rId229" /><Relationship Type="http://schemas.openxmlformats.org/officeDocument/2006/relationships/hyperlink" Target="https://en.wikipedia.org/wiki/Guy_Green_(filmmaker)" TargetMode="External" Id="rId230" /><Relationship Type="http://schemas.openxmlformats.org/officeDocument/2006/relationships/hyperlink" Target="https://en.wikipedia.org/wiki/Gyan_Mukherjee" TargetMode="External" Id="rId231" /><Relationship Type="http://schemas.openxmlformats.org/officeDocument/2006/relationships/hyperlink" Target="https://en.wikipedia.org/wiki/Hanif_Kureishi" TargetMode="External" Id="rId232" /><Relationship Type="http://schemas.openxmlformats.org/officeDocument/2006/relationships/hyperlink" Target="https://en.wikipedia.org/wiki/Hemant_Kumar" TargetMode="External" Id="rId233" /><Relationship Type="http://schemas.openxmlformats.org/officeDocument/2006/relationships/hyperlink" Target="https://en.wikipedia.org/wiki/Indeevar" TargetMode="External" Id="rId234" /><Relationship Type="http://schemas.openxmlformats.org/officeDocument/2006/relationships/hyperlink" Target="https://en.wikipedia.org/wiki/Iqbal_Qureshi" TargetMode="External" Id="rId235" /><Relationship Type="http://schemas.openxmlformats.org/officeDocument/2006/relationships/hyperlink" Target="https://en.wikipedia.org/wiki/Ismat_Chughtai" TargetMode="External" Id="rId236" /><Relationship Type="http://schemas.openxmlformats.org/officeDocument/2006/relationships/hyperlink" Target="https://en.wikipedia.org/wiki/Jamil_Dehlavi" TargetMode="External" Id="rId237" /><Relationship Type="http://schemas.openxmlformats.org/officeDocument/2006/relationships/hyperlink" Target="https://en.wikipedia.org/wiki/John_Scott_(composer)" TargetMode="External" Id="rId238" /><Relationship Type="http://schemas.openxmlformats.org/officeDocument/2006/relationships/hyperlink" Target="https://en.wikipedia.org/wiki/K._Bapayya" TargetMode="External" Id="rId239" /><Relationship Type="http://schemas.openxmlformats.org/officeDocument/2006/relationships/hyperlink" Target="https://en.wikipedia.org/wiki/K._Rangaraj" TargetMode="External" Id="rId240" /><Relationship Type="http://schemas.openxmlformats.org/officeDocument/2006/relationships/hyperlink" Target="https://en.wikipedia.org/wiki/K._Ravi_Shankar" TargetMode="External" Id="rId241" /><Relationship Type="http://schemas.openxmlformats.org/officeDocument/2006/relationships/hyperlink" Target="https://en.wikipedia.org/wiki/Kaifi_Azmi" TargetMode="External" Id="rId242" /><Relationship Type="http://schemas.openxmlformats.org/officeDocument/2006/relationships/hyperlink" Target="https://en.wikipedia.org/wiki/Kalpataru_(director)" TargetMode="External" Id="rId243" /><Relationship Type="http://schemas.openxmlformats.org/officeDocument/2006/relationships/hyperlink" Target="https://en.wikipedia.org/wiki/Keith_Waterhouse" TargetMode="External" Id="rId244" /><Relationship Type="http://schemas.openxmlformats.org/officeDocument/2006/relationships/hyperlink" Target="https://en.wikipedia.org/wiki/Khwaja_Ahmad_Abbas" TargetMode="External" Id="rId245" /><Relationship Type="http://schemas.openxmlformats.org/officeDocument/2006/relationships/hyperlink" Target="https://en.wikipedia.org/wiki/Kranthi_Kumar" TargetMode="External" Id="rId246" /><Relationship Type="http://schemas.openxmlformats.org/officeDocument/2006/relationships/hyperlink" Target="https://en.wikipedia.org/wiki/L._V._Prasad" TargetMode="External" Id="rId247" /><Relationship Type="http://schemas.openxmlformats.org/officeDocument/2006/relationships/hyperlink" Target="https://en.wikipedia.org/wiki/Lekh_Tandon" TargetMode="External" Id="rId248" /><Relationship Type="http://schemas.openxmlformats.org/officeDocument/2006/relationships/hyperlink" Target="https://en.wikipedia.org/wiki/Louis_Banks" TargetMode="External" Id="rId249" /><Relationship Type="http://schemas.openxmlformats.org/officeDocument/2006/relationships/hyperlink" Target="https://en.wikipedia.org/wiki/Lynn_Nottage" TargetMode="External" Id="rId250" /><Relationship Type="http://schemas.openxmlformats.org/officeDocument/2006/relationships/hyperlink" Target="https://en.wikipedia.org/wiki/M._G._Hashmat" TargetMode="External" Id="rId251" /><Relationship Type="http://schemas.openxmlformats.org/officeDocument/2006/relationships/hyperlink" Target="https://en.wikipedia.org/wiki/Madan_Mohan_(composer)" TargetMode="External" Id="rId252" /><Relationship Type="http://schemas.openxmlformats.org/officeDocument/2006/relationships/hyperlink" Target="https://en.wikipedia.org/wiki/Michael_Hirst_(writer)" TargetMode="External" Id="rId253" /><Relationship Type="http://schemas.openxmlformats.org/officeDocument/2006/relationships/hyperlink" Target="https://en.wikipedia.org/wiki/Michel_Legrand" TargetMode="External" Id="rId254" /><Relationship Type="http://schemas.openxmlformats.org/officeDocument/2006/relationships/hyperlink" Target="https://en.wikipedia.org/wiki/Mohan_Segal" TargetMode="External" Id="rId255" /><Relationship Type="http://schemas.openxmlformats.org/officeDocument/2006/relationships/hyperlink" Target="https://en.wikipedia.org/wiki/Datta_Naik" TargetMode="External" Id="rId256" /><Relationship Type="http://schemas.openxmlformats.org/officeDocument/2006/relationships/hyperlink" Target="https://en.wikipedia.org/wiki/Nabendu_Ghosh" TargetMode="External" Id="rId257" /><Relationship Type="http://schemas.openxmlformats.org/officeDocument/2006/relationships/hyperlink" Target="https://en.wikipedia.org/wiki/Nasir_Hussain" TargetMode="External" Id="rId258" /><Relationship Type="http://schemas.openxmlformats.org/officeDocument/2006/relationships/hyperlink" Target="https://en.wikipedia.org/wiki/Nicholas_Meyer" TargetMode="External" Id="rId259" /><Relationship Type="http://schemas.openxmlformats.org/officeDocument/2006/relationships/hyperlink" Target="https://en.wikipedia.org/wiki/Nigel_Clarke_(composer)" TargetMode="External" Id="rId260" /><Relationship Type="http://schemas.openxmlformats.org/officeDocument/2006/relationships/hyperlink" Target="https://en.wikipedia.org/wiki/Pamela_Chopra" TargetMode="External" Id="rId261" /><Relationship Type="http://schemas.openxmlformats.org/officeDocument/2006/relationships/hyperlink" Target="https://en.wikipedia.org/wiki/Paul_Mayersberg" TargetMode="External" Id="rId262" /><Relationship Type="http://schemas.openxmlformats.org/officeDocument/2006/relationships/hyperlink" Target="https://en.wikipedia.org/wiki/Prafulla_Roy" TargetMode="External" Id="rId263" /><Relationship Type="http://schemas.openxmlformats.org/officeDocument/2006/relationships/hyperlink" Target="https://en.wikipedia.org/wiki/Qamar_Jalalabadi" TargetMode="External" Id="rId264" /><Relationship Type="http://schemas.openxmlformats.org/officeDocument/2006/relationships/hyperlink" Target="https://en.wikipedia.org/wiki/Raamlaxman" TargetMode="External" Id="rId265" /><Relationship Type="http://schemas.openxmlformats.org/officeDocument/2006/relationships/hyperlink" Target="https://en.wikipedia.org/wiki/Raj_Khosla" TargetMode="External" Id="rId266" /><Relationship Type="http://schemas.openxmlformats.org/officeDocument/2006/relationships/hyperlink" Target="https://en.wikipedia.org/wiki/Rajesh_Khanna" TargetMode="External" Id="rId267" /><Relationship Type="http://schemas.openxmlformats.org/officeDocument/2006/relationships/hyperlink" Target="https://en.wikipedia.org/wiki/Rajendra_Krishan" TargetMode="External" Id="rId268" /><Relationship Type="http://schemas.openxmlformats.org/officeDocument/2006/relationships/hyperlink" Target="https://en.wikipedia.org/wiki/Ramesh_Behl" TargetMode="External" Id="rId269" /><Relationship Type="http://schemas.openxmlformats.org/officeDocument/2006/relationships/hyperlink" Target="https://en.wikipedia.org/wiki/Ramesh_Saigal" TargetMode="External" Id="rId270" /><Relationship Type="http://schemas.openxmlformats.org/officeDocument/2006/relationships/hyperlink" Target="https://en.wikipedia.org/wiki/Ravi_(composer)" TargetMode="External" Id="rId271" /><Relationship Type="http://schemas.openxmlformats.org/officeDocument/2006/relationships/hyperlink" Target="https://en.wikipedia.org/wiki/Ravi_Tandon" TargetMode="External" Id="rId272" /><Relationship Type="http://schemas.openxmlformats.org/officeDocument/2006/relationships/hyperlink" Target="https://en.wikipedia.org/wiki/Richard_Robbins_(composer)" TargetMode="External" Id="rId273" /><Relationship Type="http://schemas.openxmlformats.org/officeDocument/2006/relationships/hyperlink" Target="https://en.wikipedia.org/wiki/Ruskin_Bond" TargetMode="External" Id="rId274" /><Relationship Type="http://schemas.openxmlformats.org/officeDocument/2006/relationships/hyperlink" Target="https://en.wikipedia.org/wiki/Sukhdev_Singh_Sandhu" TargetMode="External" Id="rId275" /><Relationship Type="http://schemas.openxmlformats.org/officeDocument/2006/relationships/hyperlink" Target="https://en.wikipedia.org/wiki/Salim_Khan" TargetMode="External" Id="rId276" /><Relationship Type="http://schemas.openxmlformats.org/officeDocument/2006/relationships/hyperlink" Target="https://en.wikipedia.org/wiki/Santosh_Saroj" TargetMode="External" Id="rId277" /><Relationship Type="http://schemas.openxmlformats.org/officeDocument/2006/relationships/hyperlink" Target="https://en.wikipedia.org/wiki/Sarah_Radclyffe" TargetMode="External" Id="rId278" /><Relationship Type="http://schemas.openxmlformats.org/officeDocument/2006/relationships/hyperlink" Target="https://en.wikipedia.org/wiki/Satyajit_Ray" TargetMode="External" Id="rId279" /><Relationship Type="http://schemas.openxmlformats.org/officeDocument/2006/relationships/hyperlink" Target="https://en.wikipedia.org/wiki/Saawan_Kumar_Tak" TargetMode="External" Id="rId280" /><Relationship Type="http://schemas.openxmlformats.org/officeDocument/2006/relationships/hyperlink" Target="https://en.wikipedia.org/wiki/Shahrukh_Husain" TargetMode="External" Id="rId281" /><Relationship Type="http://schemas.openxmlformats.org/officeDocument/2006/relationships/hyperlink" Target="https://en.wikipedia.org/wiki/Shakti_Samanta" TargetMode="External" Id="rId282" /><Relationship Type="http://schemas.openxmlformats.org/officeDocument/2006/relationships/hyperlink" Target="https://en.wikipedia.org/wiki/Shammi_(actress)" TargetMode="External" Id="rId283" /><Relationship Type="http://schemas.openxmlformats.org/officeDocument/2006/relationships/hyperlink" Target="https://en.wikipedia.org/wiki/Sharad_Joshi" TargetMode="External" Id="rId284" /><Relationship Type="http://schemas.openxmlformats.org/officeDocument/2006/relationships/hyperlink" Target="https://en.wikipedia.org/wiki/Shiv%E2%80%93Hari" TargetMode="External" Id="rId285" /><Relationship Type="http://schemas.openxmlformats.org/officeDocument/2006/relationships/hyperlink" Target="https://en.wikipedia.org/wiki/Stanley_Myers" TargetMode="External" Id="rId286" /><Relationship Type="http://schemas.openxmlformats.org/officeDocument/2006/relationships/hyperlink" Target="https://en.wikipedia.org/wiki/Stephen_Frears" TargetMode="External" Id="rId287" /><Relationship Type="http://schemas.openxmlformats.org/officeDocument/2006/relationships/hyperlink" Target="https://en.wikipedia.org/wiki/Subodh_Ghosh" TargetMode="External" Id="rId288" /><Relationship Type="http://schemas.openxmlformats.org/officeDocument/2006/relationships/hyperlink" Target="https://en.wikipedia.org/wiki/Sukhdev_Singh_Sandhu" TargetMode="External" Id="rId289" /><Relationship Type="http://schemas.openxmlformats.org/officeDocument/2006/relationships/hyperlink" Target="https://en.wikipedia.org/wiki/Suraj_Sanim" TargetMode="External" Id="rId290" /><Relationship Type="http://schemas.openxmlformats.org/officeDocument/2006/relationships/hyperlink" Target="https://en.wikipedia.org/wiki/Surinder_Kapoor" TargetMode="External" Id="rId291" /><Relationship Type="http://schemas.openxmlformats.org/officeDocument/2006/relationships/hyperlink" Target="https://en.wikipedia.org/wiki/T._Subbarami_Reddy" TargetMode="External" Id="rId292" /><Relationship Type="http://schemas.openxmlformats.org/officeDocument/2006/relationships/hyperlink" Target="https://en.wikipedia.org/wiki/Tim_Bevan" TargetMode="External" Id="rId293" /><Relationship Type="http://schemas.openxmlformats.org/officeDocument/2006/relationships/hyperlink" Target="https://en.wikipedia.org/wiki/Tinnu_Anand" TargetMode="External" Id="rId294" /><Relationship Type="http://schemas.openxmlformats.org/officeDocument/2006/relationships/hyperlink" Target="https://en.wikipedia.org/wiki/Tony_Gerber" TargetMode="External" Id="rId295" /><Relationship Type="http://schemas.openxmlformats.org/officeDocument/2006/relationships/hyperlink" Target="https://en.wikipedia.org/wiki/Ali_Akbar_Khan" TargetMode="External" Id="rId296" /><Relationship Type="http://schemas.openxmlformats.org/officeDocument/2006/relationships/hyperlink" Target="https://en.wikipedia.org/wiki/Sultan_Khan_(musician)" TargetMode="External" Id="rId297" /><Relationship Type="http://schemas.openxmlformats.org/officeDocument/2006/relationships/hyperlink" Target="https://en.wikipedia.org/wiki/Verma_Malik" TargetMode="External" Id="rId298" /><Relationship Type="http://schemas.openxmlformats.org/officeDocument/2006/relationships/hyperlink" Target="https://en.wikipedia.org/wiki/Vijay_(director)" TargetMode="External" Id="rId299" /><Relationship Type="http://schemas.openxmlformats.org/officeDocument/2006/relationships/hyperlink" Target="https://en.wikipedia.org/wiki/Vijay_Bhatt" TargetMode="External" Id="rId300" /><Relationship Type="http://schemas.openxmlformats.org/officeDocument/2006/relationships/hyperlink" Target="https://en.wikipedia.org/wiki/Vijaya_Bhaskar" TargetMode="External" Id="rId301" /><Relationship Type="http://schemas.openxmlformats.org/officeDocument/2006/relationships/hyperlink" Target="https://en.wikipedia.org/wiki/Willis_Hall" TargetMode="External" Id="rId302" /><Relationship Type="http://schemas.openxmlformats.org/officeDocument/2006/relationships/hyperlink" Target="https://en.wikipedia.org/wiki/Working_Title_Films" TargetMode="External" Id="rId303" /><Relationship Type="http://schemas.openxmlformats.org/officeDocument/2006/relationships/hyperlink" Target="https://en.wikipedia.org/wiki/10th_Filmfare_Awards" TargetMode="External" Id="rId304" /><Relationship Type="http://schemas.openxmlformats.org/officeDocument/2006/relationships/hyperlink" Target="https://en.wikipedia.org/wiki/13th_Filmfare_Awards" TargetMode="External" Id="rId305" /><Relationship Type="http://schemas.openxmlformats.org/officeDocument/2006/relationships/hyperlink" Target="https://en.wikipedia.org/wiki/14th_Filmfare_Awards" TargetMode="External" Id="rId306" /><Relationship Type="http://schemas.openxmlformats.org/officeDocument/2006/relationships/hyperlink" Target="https://en.wikipedia.org/wiki/18th_Filmfare_Awards" TargetMode="External" Id="rId307" /><Relationship Type="http://schemas.openxmlformats.org/officeDocument/2006/relationships/hyperlink" Target="https://en.wikipedia.org/wiki/21st_Filmfare_Awards" TargetMode="External" Id="rId308" /><Relationship Type="http://schemas.openxmlformats.org/officeDocument/2006/relationships/hyperlink" Target="https://en.wikipedia.org/wiki/22nd_Filmfare_Awards" TargetMode="External" Id="rId309" /><Relationship Type="http://schemas.openxmlformats.org/officeDocument/2006/relationships/hyperlink" Target="https://en.wikipedia.org/wiki/23rd_Filmfare_Awards" TargetMode="External" Id="rId310" /><Relationship Type="http://schemas.openxmlformats.org/officeDocument/2006/relationships/hyperlink" Target="https://en.wikipedia.org/wiki/24th_Filmfare_Awards" TargetMode="External" Id="rId311" /><Relationship Type="http://schemas.openxmlformats.org/officeDocument/2006/relationships/hyperlink" Target="https://en.wikipedia.org/wiki/25th_Filmfare_Awards" TargetMode="External" Id="rId312" /><Relationship Type="http://schemas.openxmlformats.org/officeDocument/2006/relationships/hyperlink" Target="https://en.wikipedia.org/wiki/26th_Filmfare_Awards" TargetMode="External" Id="rId313" /><Relationship Type="http://schemas.openxmlformats.org/officeDocument/2006/relationships/hyperlink" Target="https://en.wikipedia.org/wiki/27th_Filmfare_Awards" TargetMode="External" Id="rId314" /><Relationship Type="http://schemas.openxmlformats.org/officeDocument/2006/relationships/hyperlink" Target="https://en.wikipedia.org/wiki/28th_Filmfare_Awards" TargetMode="External" Id="rId315" /><Relationship Type="http://schemas.openxmlformats.org/officeDocument/2006/relationships/hyperlink" Target="https://en.wikipedia.org/wiki/29th_Filmfare_Awards" TargetMode="External" Id="rId316" /><Relationship Type="http://schemas.openxmlformats.org/officeDocument/2006/relationships/hyperlink" Target="https://en.wikipedia.org/wiki/30th_Filmfare_Awards" TargetMode="External" Id="rId317" /><Relationship Type="http://schemas.openxmlformats.org/officeDocument/2006/relationships/hyperlink" Target="https://en.wikipedia.org/wiki/31st_Filmfare_Awards" TargetMode="External" Id="rId318" /><Relationship Type="http://schemas.openxmlformats.org/officeDocument/2006/relationships/hyperlink" Target="https://en.wikipedia.org/wiki/33rd_Filmfare_Awards" TargetMode="External" Id="rId319" /><Relationship Type="http://schemas.openxmlformats.org/officeDocument/2006/relationships/hyperlink" Target="https://en.wikipedia.org/wiki/34th_Filmfare_Awards" TargetMode="External" Id="rId320" /><Relationship Type="http://schemas.openxmlformats.org/officeDocument/2006/relationships/hyperlink" Target="https://en.wikipedia.org/wiki/55th_Filmfare_Awards" TargetMode="External" Id="rId321" /><Relationship Type="http://schemas.openxmlformats.org/officeDocument/2006/relationships/hyperlink" Target="https://en.wikipedia.org/wiki/9th_National_Film_Awards" TargetMode="External" Id="rId322" /><Relationship Type="http://schemas.openxmlformats.org/officeDocument/2006/relationships/hyperlink" Target="https://en.wikipedia.org/wiki/26th_National_Film_Awards" TargetMode="External" Id="rId323" /><Relationship Type="http://schemas.openxmlformats.org/officeDocument/2006/relationships/hyperlink" Target="https://en.wikipedia.org/wiki/32nd_National_Film_Awards" TargetMode="External" Id="rId324" /><Relationship Type="http://schemas.openxmlformats.org/officeDocument/2006/relationships/hyperlink" Target="https://en.wikipedia.org/wiki/33rd_National_Film_Awards" TargetMode="External" Id="rId325" /><Relationship Type="http://schemas.openxmlformats.org/officeDocument/2006/relationships/hyperlink" Target="https://en.wikipedia.org/wiki/35th_National_Film_Awards" TargetMode="External" Id="rId326" /><Relationship Type="http://schemas.openxmlformats.org/officeDocument/2006/relationships/hyperlink" Target="https://en.wikipedia.org/wiki/41st_National_Film_Awards" TargetMode="External" Id="rId327" /><Relationship Type="http://schemas.openxmlformats.org/officeDocument/2006/relationships/hyperlink" Target="https://en.wikipedia.org/wiki/43rd_National_Film_Awards" TargetMode="External" Id="rId328" /><Relationship Type="http://schemas.openxmlformats.org/officeDocument/2006/relationships/hyperlink" Target="https://en.wikipedia.org/wiki/62nd_National_Film_Awards" TargetMode="External" Id="rId329" /><Relationship Type="http://schemas.openxmlformats.org/officeDocument/2006/relationships/hyperlink" Target="https://en.wikipedia.org/wiki/37th_British_Academy_Film_Awards" TargetMode="External" Id="rId330" /><Relationship Type="http://schemas.openxmlformats.org/officeDocument/2006/relationships/hyperlink" Target="https://en.wikipedia.org/wiki/1953_Cannes_Film_Festival" TargetMode="External" Id="rId331" /><Relationship Type="http://schemas.openxmlformats.org/officeDocument/2006/relationships/hyperlink" Target="https://en.wikipedia.org/wiki/15th_Berlin_International_Film_Festival" TargetMode="External" Id="rId332" /><Relationship Type="http://schemas.openxmlformats.org/officeDocument/2006/relationships/hyperlink" Target="https://en.wikipedia.org/wiki/List_of_Padma_Bhushan_award_recipients_(2010%E2%80%932019)" TargetMode="External" Id="rId333" /><Relationship Type="http://schemas.openxmlformats.org/officeDocument/2006/relationships/hyperlink" Target="https://en.wikipedia.org/wiki/Dadasaheb_Phalke_Award" TargetMode="External" Id="rId334" /><Relationship Type="http://schemas.openxmlformats.org/officeDocument/2006/relationships/hyperlink" Target="https://en.wikipedia.org/wiki/Filmfare_Lifetime_Achievement_Award" TargetMode="External" Id="rId335" /><Relationship Type="http://schemas.openxmlformats.org/officeDocument/2006/relationships/hyperlink" Target="https://web.archive.org/web/20100601/http://boxofficeindia.com/showProd.php?itemCat=171&amp;catName=MTk2NQ==" TargetMode="External" Id="rId336" /><Relationship Type="http://schemas.openxmlformats.org/officeDocument/2006/relationships/hyperlink" Target="https://web.archive.org/web/20100601/http://boxofficeindia.com/showProd.php?itemCat=172&amp;catName=MTk2Ng==" TargetMode="External" Id="rId337" /><Relationship Type="http://schemas.openxmlformats.org/officeDocument/2006/relationships/hyperlink" Target="https://web.archive.org/web/20100601/http://boxofficeindia.com/showProd.php?itemCat=173&amp;catName=MTk2Nw==" TargetMode="External" Id="rId338" /><Relationship Type="http://schemas.openxmlformats.org/officeDocument/2006/relationships/hyperlink" Target="https://web.archive.org/web/20100601/http://boxofficeindia.com/showProd.php?itemCat=174&amp;catName=MTk2OA==" TargetMode="External" Id="rId339" /><Relationship Type="http://schemas.openxmlformats.org/officeDocument/2006/relationships/hyperlink" Target="https://web.archive.org/web/20100601/http://boxofficeindia.com/showProd.php?itemCat=179&amp;catName=MTk3Mw==" TargetMode="External" Id="rId340" /><Relationship Type="http://schemas.openxmlformats.org/officeDocument/2006/relationships/hyperlink" Target="https://web.archive.org/web/20100601/http://boxofficeindia.com/showProd.php?itemCat=180&amp;catName=MTk3NA==" TargetMode="External" Id="rId341" /><Relationship Type="http://schemas.openxmlformats.org/officeDocument/2006/relationships/hyperlink" Target="https://web.archive.org/web/20100601/http://boxofficeindia.com/showProd.php?itemCat=182&amp;catName=MTk3Ng==" TargetMode="External" Id="rId342" /><Relationship Type="http://schemas.openxmlformats.org/officeDocument/2006/relationships/hyperlink" Target="https://web.archive.org/web/20100601/http://boxofficeindia.com/showProd.php?itemCat=183&amp;catName=MTk3Nw==" TargetMode="External" Id="rId343" /><Relationship Type="http://schemas.openxmlformats.org/officeDocument/2006/relationships/hyperlink" Target="https://web.archive.org/web/20100601/http://boxofficeindia.com/showProd.php?itemCat=184&amp;catName=MTk3OA==" TargetMode="External" Id="rId344" /><Relationship Type="http://schemas.openxmlformats.org/officeDocument/2006/relationships/hyperlink" Target="https://web.archive.org/web/20100601/http://boxofficeindia.com/showProd.php?itemCat=185&amp;catName=MTk3OQ==" TargetMode="External" Id="rId345" /><Relationship Type="http://schemas.openxmlformats.org/officeDocument/2006/relationships/hyperlink" Target="https://web.archive.org/web/20100601/http://boxofficeindia.com/showProd.php?itemCat=186&amp;catName=MTk4MA==" TargetMode="External" Id="rId346" /><Relationship Type="http://schemas.openxmlformats.org/officeDocument/2006/relationships/hyperlink" Target="https://web.archive.org/web/20100601/http://boxofficeindia.com/showProd.php?itemCat=187&amp;catName=MTk4MQ==" TargetMode="External" Id="rId347" /><Relationship Type="http://schemas.openxmlformats.org/officeDocument/2006/relationships/hyperlink" Target="https://web.archive.org/web/20100601/http://boxofficeindia.com/showProd.php?itemCat=188&amp;catName=MTk4Mg==" TargetMode="External" Id="rId348" /><Relationship Type="http://schemas.openxmlformats.org/officeDocument/2006/relationships/hyperlink" Target="https://web.archive.org/web/20100601/http://boxofficeindia.com/showProd.php?itemCat=197&amp;catName=MTk5MQ==" TargetMode="External" Id="rId349" /><Relationship Type="http://schemas.openxmlformats.org/officeDocument/2006/relationships/hyperlink" Target="https://www.boxofficeindia.com/movie.php?movieid=3163" TargetMode="External" Id="rId350" /><Relationship Type="http://schemas.openxmlformats.org/officeDocument/2006/relationships/hyperlink" Target="https://www.boxofficeindia.com/movie.php?movieid=2587" TargetMode="External" Id="rId351" /><Relationship Type="http://schemas.openxmlformats.org/officeDocument/2006/relationships/hyperlink" Target="https://web.archive.org/web/20191213071725/https://www.thehindu.com/features/cinema/Samadhi-1950/article15518037.ece" TargetMode="External" Id="rId352" /><Relationship Type="http://schemas.openxmlformats.org/officeDocument/2006/relationships/hyperlink" Target="https://web.archive.org/web/20180522042012/http://www.thehindu.com/features/cinema/Abhinetri-1970/article15577821.ece" TargetMode="External" Id="rId353" /><Relationship Type="http://schemas.openxmlformats.org/officeDocument/2006/relationships/hyperlink" Target="https://web.archive.org/web/20130715233400/http://www.thehindu.com/features/cinema/sharmilee-1971/article4905163.ece" TargetMode="External" Id="rId354" /><Relationship Type="http://schemas.openxmlformats.org/officeDocument/2006/relationships/hyperlink" Target="https://www.thehindu.com/features/friday-review/chori-mera-kaam-1975/article6683094.ece" TargetMode="External" Id="rId355" /><Relationship Type="http://schemas.openxmlformats.org/officeDocument/2006/relationships/hyperlink" Target="https://www.thehindu.com/features/friday-review/aap-beati-1976/article7456284.ece" TargetMode="External" Id="rId356" /><Relationship Type="http://schemas.openxmlformats.org/officeDocument/2006/relationships/hyperlink" Target="https://www.thehindu.com/features/friday-review/blast-from-the-past-immaan-dharam-1977/article6913098.ece" TargetMode="External" Id="rId357" /><Relationship Type="http://schemas.openxmlformats.org/officeDocument/2006/relationships/hyperlink" Target="https://www.thehindu.com/features/friday-review/mukti-1977/article8621742.ece" TargetMode="External" Id="rId358" /><Relationship Type="http://schemas.openxmlformats.org/officeDocument/2006/relationships/hyperlink" Target="https://web.archive.org/web/20141202230616/http://www.thehindu.com/features/cinema/cinema-columns/blast-from-the-past-satyam-shivam-sundaram-1977/article6445425.ece" TargetMode="External" Id="rId359" /><Relationship Type="http://schemas.openxmlformats.org/officeDocument/2006/relationships/hyperlink" Target="https://www.thehindu.com/features/friday-review/atithee-1978/article7919780.ece" TargetMode="External" Id="rId360" /><Relationship Type="http://schemas.openxmlformats.org/officeDocument/2006/relationships/hyperlink" Target="https://web.archive.org/web/20221018055132/https://www.thehindu.com/features/friday-review/heeralal-pannalal-1978/article6422569.ece" TargetMode="External" Id="rId361" /><Relationship Type="http://schemas.openxmlformats.org/officeDocument/2006/relationships/hyperlink" Target="https://www.thehindu.com/features/friday-review/blast-from-the-past-junoon-1978/article6196818.ece" TargetMode="External" Id="rId362" /></Relationships>
</file>

<file path=xl/worksheets/sheet1.xml><?xml version="1.0" encoding="utf-8"?>
<worksheet xmlns="http://schemas.openxmlformats.org/spreadsheetml/2006/main">
  <sheetPr>
    <outlinePr summaryBelow="1" summaryRight="1"/>
    <pageSetUpPr/>
  </sheetPr>
  <dimension ref="A1:AN71"/>
  <sheetViews>
    <sheetView workbookViewId="0">
      <selection activeCell="A1" sqref="A1"/>
    </sheetView>
  </sheetViews>
  <sheetFormatPr baseColWidth="8" defaultRowHeight="15"/>
  <cols>
    <col width="40" customWidth="1" min="1" max="1"/>
    <col width="38" customWidth="1" min="2" max="2"/>
    <col width="14" customWidth="1" min="3" max="3"/>
    <col width="52" customWidth="1" min="4" max="4"/>
    <col width="14" customWidth="1" min="5" max="5"/>
    <col width="3" customWidth="1" min="6" max="6"/>
    <col hidden="1" width="13" customWidth="1" min="40" max="40"/>
  </cols>
  <sheetData>
    <row r="1">
      <c r="A1" s="1" t="inlineStr">
        <is>
          <t>Shashi Kapoor: Filmography Overview</t>
        </is>
      </c>
      <c r="AN1" t="inlineStr">
        <is>
          <t>Overall Relationship Classification</t>
        </is>
      </c>
    </row>
    <row r="2">
      <c r="A2" s="2" t="inlineStr">
        <is>
          <t>Generated 2026-10-08 from the research files. Research cutoff: 2026-09-21. Released feature-film acting appearances by Shashi Kapoor (18 March 1938 – 4 December 2017), whose acting career runs from the child role in Aag (1948) to Ghar Bazar (1998). Includes lead, co-lead, supporting and antagonist roles, cameos and guest appearances, appearances as himself, narration, child roles, and his English-language work for Merchant Ivory and others (The Householder, Shakespeare Wallah, Pretty Polly, Bombay Talkie, Siddhartha, Heat and Dust, Sammy and Rosie Get Laid, The Deceivers, In Custody, Jinnah, Side Streets). Excluded: seven titles the Wikipedia filmography marks unreleased (Jise Tu Kabool Kar Le, Ek Do Teen Chaar, Pyar To Hona Hi Tha, Do Guru, Chakma, Bandh Honth, Apna Ghar); films he produced or directed without acting (36 Chowringhee Lane, 1981; Ajooba, 1991; the Soviet version Vozvrashcheniye Bagdadskogo Vora, 1988); his assistant-director credits (Post Box 999, Guest House, Shriman Satyawadi, Dulha Dulhan, Manoranjan); and television, including the miniseries Gulliver's Travels (1996), in which he played the Rajah. Bachpan (1945) is excluded: its cast lists a 'Shashi Kapoor', but the film is a Basant Pictures production of Homi Wadia and the credit belongs to the older same-named child actor of mythologicals, billed 'Shashi Kapoor Sr.', whom Kapoor's own article cites as the reason he was billed 'Shashiraj' as a child. Samadhi (1950) is included although the Wikipedia filmography table omits it, because the Shashi Kapoor article's career section names it among his child-artist films and the film article casts him as Pratap, the young brother of Ashok Kumar's Shekhar; the same article's early-life section says he made four child films, which conflicts, and with Samadhi the count is five. Release dates are Indian theatrical dates where the film article gives them, otherwise the year. Four films sit in a different year from the one the filmography table gives, each noted on the row: Jahan Pyar Mile (article title Jahan Pyar Miley, released 30 October 1970), Rootha Na Karo (infobox 31 December 1969 against a 1970 year in both the article text and the filmography table), Touhean (completed 1987, released 20 November 1992) and In Custody (Tokyo Film Festival, October 1993, with 1994 New York and London releases). Box-office figures without a nett/gross label are kept in research notes rather than in the money columns. Films without a Wikipedia article rest on the filmography table alone and are graded accordingly; two of them, Swayamvar (1980) and Ek Aur Ek Gyaarah (1981), are linked in that table to the biographies of Moushumi Chatterjee and Vinod Khanna rather than to film articles, which is an error on Wikipedia's side.</t>
        </is>
      </c>
      <c r="AN2" t="inlineStr">
        <is>
          <t>Frictionless idealized romance</t>
        </is>
      </c>
    </row>
    <row r="3">
      <c r="AN3" t="inlineStr">
        <is>
          <t>United couple versus external world</t>
        </is>
      </c>
    </row>
    <row r="4">
      <c r="A4" s="3" t="inlineStr">
        <is>
          <t>Career summary</t>
        </is>
      </c>
      <c r="AN4" t="inlineStr">
        <is>
          <t>Friendship to love</t>
        </is>
      </c>
    </row>
    <row r="5">
      <c r="A5" s="4" t="inlineStr">
        <is>
          <t>Metric</t>
        </is>
      </c>
      <c r="B5" s="4" t="inlineStr">
        <is>
          <t>Value</t>
        </is>
      </c>
      <c r="C5" s="4" t="inlineStr">
        <is>
          <t>Method</t>
        </is>
      </c>
      <c r="D5" s="4" t="inlineStr">
        <is>
          <t>Notes</t>
        </is>
      </c>
      <c r="AN5" t="inlineStr">
        <is>
          <t>Rivals to lovers</t>
        </is>
      </c>
    </row>
    <row r="6" ht="19" customHeight="1">
      <c r="A6" s="5" t="inlineStr">
        <is>
          <t>Actor</t>
        </is>
      </c>
      <c r="B6" s="5" t="inlineStr">
        <is>
          <t>Shashi Kapoor</t>
        </is>
      </c>
      <c r="C6" s="5" t="inlineStr">
        <is>
          <t>Research file</t>
        </is>
      </c>
      <c r="D6" s="5" t="inlineStr"/>
      <c r="AN6" t="inlineStr">
        <is>
          <t>Playful conflict masking attraction</t>
        </is>
      </c>
    </row>
    <row r="7" ht="19" customHeight="1">
      <c r="A7" s="5" t="inlineStr">
        <is>
          <t>Career period</t>
        </is>
      </c>
      <c r="B7" s="5">
        <f>IF(COUNT(Films!$D$2:$D$155)=0,"n/a",MIN(Films!$D$2:$D$155)&amp;"–"&amp;MAX(Films!$D$2:$D$155))</f>
        <v/>
      </c>
      <c r="C7" s="5" t="inlineStr">
        <is>
          <t>Formula</t>
        </is>
      </c>
      <c r="D7" s="5" t="inlineStr">
        <is>
          <t>First to latest theatrical release year in Films</t>
        </is>
      </c>
      <c r="AN7" t="inlineStr">
        <is>
          <t>Genuine incompatibility gradually resolved</t>
        </is>
      </c>
    </row>
    <row r="8" ht="19" customHeight="1">
      <c r="A8" s="5" t="inlineStr">
        <is>
          <t>Research cutoff date</t>
        </is>
      </c>
      <c r="B8" s="6" t="n">
        <v>46286</v>
      </c>
      <c r="C8" s="5" t="inlineStr">
        <is>
          <t>Research file</t>
        </is>
      </c>
      <c r="D8" s="5" t="inlineStr"/>
      <c r="AN8" t="inlineStr">
        <is>
          <t>Established relationship</t>
        </is>
      </c>
    </row>
    <row r="9" ht="19" customHeight="1">
      <c r="A9" s="5" t="inlineStr">
        <is>
          <t>Total released acting films</t>
        </is>
      </c>
      <c r="B9" s="5">
        <f>COUNTA(Films!$A$2:$A$155)</f>
        <v/>
      </c>
      <c r="C9" s="5" t="inlineStr">
        <is>
          <t>Formula</t>
        </is>
      </c>
      <c r="D9" s="5" t="inlineStr"/>
      <c r="AN9" t="inlineStr">
        <is>
          <t>Marriage under strain</t>
        </is>
      </c>
    </row>
    <row r="10" ht="19" customHeight="1">
      <c r="A10" s="5" t="inlineStr">
        <is>
          <t>Lead and co-lead films</t>
        </is>
      </c>
      <c r="B10" s="5">
        <f>COUNTIF(Films!$T$2:$T$155,"Lead")+COUNTIF(Films!$T$2:$T$155,"Co-lead")+COUNTIF(Films!$T$2:$T$155,"Ensemble lead")</f>
        <v/>
      </c>
      <c r="C10" s="5" t="inlineStr">
        <is>
          <t>Formula</t>
        </is>
      </c>
      <c r="D10" s="5" t="inlineStr">
        <is>
          <t>Role Type: Lead, Co-lead, Ensemble lead</t>
        </is>
      </c>
      <c r="AN10" t="inlineStr">
        <is>
          <t>Relationship damaged by mistrust</t>
        </is>
      </c>
    </row>
    <row r="11" ht="19" customHeight="1">
      <c r="A11" s="5" t="inlineStr">
        <is>
          <t>Supporting roles</t>
        </is>
      </c>
      <c r="B11" s="5">
        <f>COUNTIF(Films!$T$2:$T$155,"Supporting")+COUNTIF(Films!$T$2:$T$155,"Antagonist")</f>
        <v/>
      </c>
      <c r="C11" s="5" t="inlineStr">
        <is>
          <t>Formula</t>
        </is>
      </c>
      <c r="D11" s="5" t="inlineStr">
        <is>
          <t>Role Type: Supporting, Antagonist</t>
        </is>
      </c>
      <c r="AN11" t="inlineStr">
        <is>
          <t>Relationship manipulated by outsiders</t>
        </is>
      </c>
    </row>
    <row r="12" ht="19" customHeight="1">
      <c r="A12" s="5" t="inlineStr">
        <is>
          <t>Cameos and special appearances</t>
        </is>
      </c>
      <c r="B12" s="5">
        <f>COUNTIF(Films!$T$2:$T$155,"Cameo")+COUNTIF(Films!$T$2:$T$155,"Extended special appearance")+COUNTIF(Films!$T$2:$T$155,"Self appearance")</f>
        <v/>
      </c>
      <c r="C12" s="5" t="inlineStr">
        <is>
          <t>Formula</t>
        </is>
      </c>
      <c r="D12" s="5" t="inlineStr">
        <is>
          <t>Role Type: Cameo, Extended special appearance, Self appearance</t>
        </is>
      </c>
      <c r="AN12" t="inlineStr">
        <is>
          <t>Forbidden love</t>
        </is>
      </c>
    </row>
    <row r="13" ht="19" customHeight="1">
      <c r="A13" s="5" t="inlineStr">
        <is>
          <t>Voice, narration and child roles</t>
        </is>
      </c>
      <c r="B13" s="5">
        <f>COUNTIF(Films!$T$2:$T$155,"Voice role")+COUNTIF(Films!$T$2:$T$155,"Narrator")+COUNTIF(Films!$T$2:$T$155,"Child role")</f>
        <v/>
      </c>
      <c r="C13" s="5" t="inlineStr">
        <is>
          <t>Formula</t>
        </is>
      </c>
      <c r="D13" s="5" t="inlineStr">
        <is>
          <t>Role Type: Voice role, Narrator, Child role</t>
        </is>
      </c>
      <c r="AN13" t="inlineStr">
        <is>
          <t>Unrequited love</t>
        </is>
      </c>
    </row>
    <row r="14" ht="19" customHeight="1">
      <c r="A14" s="5" t="inlineStr">
        <is>
          <t>Films with central romance</t>
        </is>
      </c>
      <c r="B14" s="5">
        <f>COUNTIF(Films!$AE$2:$AE$155,"Central")</f>
        <v/>
      </c>
      <c r="C14" s="5" t="inlineStr">
        <is>
          <t>Formula</t>
        </is>
      </c>
      <c r="D14" s="5" t="inlineStr">
        <is>
          <t>Romance Presence: Central</t>
        </is>
      </c>
      <c r="AN14" t="inlineStr">
        <is>
          <t>Love triangle</t>
        </is>
      </c>
    </row>
    <row r="15" ht="19" customHeight="1">
      <c r="A15" s="5" t="inlineStr">
        <is>
          <t>Films with major romance</t>
        </is>
      </c>
      <c r="B15" s="5">
        <f>COUNTIF(Films!$AE$2:$AE$155,"Major")</f>
        <v/>
      </c>
      <c r="C15" s="5" t="inlineStr">
        <is>
          <t>Formula</t>
        </is>
      </c>
      <c r="D15" s="5" t="inlineStr">
        <is>
          <t>Romance Presence: Major</t>
        </is>
      </c>
      <c r="AN15" t="inlineStr">
        <is>
          <t>Tragic lovers</t>
        </is>
      </c>
    </row>
    <row r="16" ht="19" customHeight="1">
      <c r="A16" s="5" t="inlineStr">
        <is>
          <t>Films with secondary romance</t>
        </is>
      </c>
      <c r="B16" s="5">
        <f>COUNTIF(Films!$AE$2:$AE$155,"Secondary")</f>
        <v/>
      </c>
      <c r="C16" s="5" t="inlineStr">
        <is>
          <t>Formula</t>
        </is>
      </c>
      <c r="D16" s="5" t="inlineStr">
        <is>
          <t>Romance Presence: Secondary</t>
        </is>
      </c>
      <c r="AN16" t="inlineStr">
        <is>
          <t>Unequal or coercive relationship</t>
        </is>
      </c>
    </row>
    <row r="17" ht="19" customHeight="1">
      <c r="A17" s="5" t="inlineStr">
        <is>
          <t>Films with minor or implied romance</t>
        </is>
      </c>
      <c r="B17" s="5">
        <f>COUNTIF(Films!$AE$2:$AE$155,"Minor")+COUNTIF(Films!$AE$2:$AE$155,"Implied")</f>
        <v/>
      </c>
      <c r="C17" s="5" t="inlineStr">
        <is>
          <t>Formula</t>
        </is>
      </c>
      <c r="D17" s="5" t="inlineStr">
        <is>
          <t>Romance Presence: Minor, Implied</t>
        </is>
      </c>
      <c r="AN17" t="inlineStr">
        <is>
          <t>Obsessive pursuit</t>
        </is>
      </c>
    </row>
    <row r="18" ht="19" customHeight="1">
      <c r="A18" s="5" t="inlineStr">
        <is>
          <t>Films without meaningful romance</t>
        </is>
      </c>
      <c r="B18" s="5">
        <f>COUNTIF(Films!$AE$2:$AE$155,"None")</f>
        <v/>
      </c>
      <c r="C18" s="5" t="inlineStr">
        <is>
          <t>Formula</t>
        </is>
      </c>
      <c r="D18" s="5" t="inlineStr">
        <is>
          <t>Romance Presence: None</t>
        </is>
      </c>
      <c r="AN18" t="inlineStr">
        <is>
          <t>Romance subordinate to another genre</t>
        </is>
      </c>
    </row>
    <row r="19" ht="19" customHeight="1">
      <c r="A19" s="5" t="inlineStr">
        <is>
          <t>Distinct principal female co-stars</t>
        </is>
      </c>
      <c r="B19" s="5" t="n">
        <v>62</v>
      </c>
      <c r="C19" s="5" t="inlineStr">
        <is>
          <t>Build script</t>
        </is>
      </c>
      <c r="D19" s="5" t="inlineStr">
        <is>
          <t>Distinct names in Principal Female Lead or Leads</t>
        </is>
      </c>
      <c r="AN19" t="inlineStr">
        <is>
          <t>Multiple romantic relationships</t>
        </is>
      </c>
    </row>
    <row r="20" ht="19" customHeight="1">
      <c r="A20" s="5" t="inlineStr">
        <is>
          <t>Romantic pairings recorded</t>
        </is>
      </c>
      <c r="B20" s="5">
        <f>COUNTA(Romances!$A$2:$A$77)</f>
        <v/>
      </c>
      <c r="C20" s="5" t="inlineStr">
        <is>
          <t>Formula</t>
        </is>
      </c>
      <c r="D20" s="5" t="inlineStr"/>
      <c r="AN20" t="inlineStr">
        <is>
          <t>No meaningful romance</t>
        </is>
      </c>
    </row>
    <row r="21" ht="19" customHeight="1">
      <c r="A21" s="5" t="inlineStr">
        <is>
          <t>Most frequent romantic co-star</t>
        </is>
      </c>
      <c r="B21" s="5" t="inlineStr">
        <is>
          <t>Sharmila Tagore (10 films)</t>
        </is>
      </c>
      <c r="C21" s="5" t="inlineStr">
        <is>
          <t>Build script</t>
        </is>
      </c>
      <c r="D21" s="5" t="inlineStr">
        <is>
          <t>Films with a Romances row for her</t>
        </is>
      </c>
    </row>
    <row r="22" ht="19" customHeight="1">
      <c r="A22" s="5" t="inlineStr">
        <is>
          <t>Most frequent director</t>
        </is>
      </c>
      <c r="B22" s="5" t="inlineStr">
        <is>
          <t>Yash Chopra (7 films)</t>
        </is>
      </c>
      <c r="C22" s="5" t="inlineStr">
        <is>
          <t>Build script</t>
        </is>
      </c>
      <c r="D22" s="5" t="inlineStr"/>
    </row>
    <row r="23" ht="19" customHeight="1">
      <c r="A23" s="5" t="inlineStr">
        <is>
          <t>Most frequent producer or production banner</t>
        </is>
      </c>
      <c r="B23" s="5" t="inlineStr">
        <is>
          <t>Filmistan; Yash Raj Films (4 films each)</t>
        </is>
      </c>
      <c r="C23" s="5" t="inlineStr">
        <is>
          <t>Build script</t>
        </is>
      </c>
      <c r="D23" s="5" t="inlineStr">
        <is>
          <t>From Production Banner</t>
        </is>
      </c>
    </row>
    <row r="24" ht="19" customHeight="1">
      <c r="A24" s="5" t="inlineStr">
        <is>
          <t>Most frequent music director</t>
        </is>
      </c>
      <c r="B24" s="5" t="inlineStr">
        <is>
          <t>Laxmikant–Pyarelal (27 films)</t>
        </is>
      </c>
      <c r="C24" s="5" t="inlineStr">
        <is>
          <t>Build script</t>
        </is>
      </c>
      <c r="D24" s="5" t="inlineStr">
        <is>
          <t>From Song Composer</t>
        </is>
      </c>
    </row>
    <row r="25" ht="19" customHeight="1">
      <c r="A25" s="5" t="inlineStr">
        <is>
          <t>Average pair-friction score</t>
        </is>
      </c>
      <c r="B25" s="7">
        <f>IFERROR(ROUND(AVERAGE(Romances!$Q$2:$Q$77),1),"n/a")</f>
        <v/>
      </c>
      <c r="C25" s="5" t="inlineStr">
        <is>
          <t>Formula</t>
        </is>
      </c>
      <c r="D25" s="5" t="inlineStr">
        <is>
          <t>Per pairing</t>
        </is>
      </c>
    </row>
    <row r="26" ht="19" customHeight="1">
      <c r="A26" s="5" t="inlineStr">
        <is>
          <t>Average external-opposition score</t>
        </is>
      </c>
      <c r="B26" s="7">
        <f>IFERROR(ROUND(AVERAGE(Romances!$S$2:$S$77),1),"n/a")</f>
        <v/>
      </c>
      <c r="C26" s="5" t="inlineStr">
        <is>
          <t>Formula</t>
        </is>
      </c>
      <c r="D26" s="5" t="inlineStr">
        <is>
          <t>Per pairing</t>
        </is>
      </c>
    </row>
    <row r="27" ht="19" customHeight="1">
      <c r="A27" s="5" t="inlineStr">
        <is>
          <t>Average lover-boy score</t>
        </is>
      </c>
      <c r="B27" s="7">
        <f>IFERROR(ROUND(AVERAGE(Romances!$V$2:$V$77),1),"n/a")</f>
        <v/>
      </c>
      <c r="C27" s="5" t="inlineStr">
        <is>
          <t>Formula</t>
        </is>
      </c>
      <c r="D27" s="5" t="inlineStr">
        <is>
          <t>Per pairing</t>
        </is>
      </c>
    </row>
    <row r="28" ht="19" customHeight="1">
      <c r="A28" s="5" t="inlineStr">
        <is>
          <t>Average romance-centrality score</t>
        </is>
      </c>
      <c r="B28" s="7">
        <f>IFERROR(ROUND(AVERAGE(Films!$AF$2:$AF$155),1),"n/a")</f>
        <v/>
      </c>
      <c r="C28" s="5" t="inlineStr">
        <is>
          <t>Formula</t>
        </is>
      </c>
      <c r="D28" s="5" t="inlineStr">
        <is>
          <t>Per film</t>
        </is>
      </c>
    </row>
    <row r="29" ht="19" customHeight="1">
      <c r="A29" s="5" t="inlineStr">
        <is>
          <t>Highest-grossing film</t>
        </is>
      </c>
      <c r="B29" s="5" t="inlineStr">
        <is>
          <t>n/a</t>
        </is>
      </c>
      <c r="C29" s="5" t="inlineStr">
        <is>
          <t>Build script</t>
        </is>
      </c>
      <c r="D29" s="5" t="inlineStr">
        <is>
          <t>No numeric worldwide gross with a currency recorded</t>
        </is>
      </c>
    </row>
    <row r="30" ht="34" customHeight="1">
      <c r="A30" s="5" t="inlineStr">
        <is>
          <t>Award wins received by the actor</t>
        </is>
      </c>
      <c r="B30" s="5">
        <f>COUNTIFS(Awards!$I$2:$I$157,"Win",Awards!$G$2:$G$157,"*Shashi Kapoor*")</f>
        <v/>
      </c>
      <c r="C30" s="5" t="inlineStr">
        <is>
          <t>Formula</t>
        </is>
      </c>
      <c r="D30" s="5" t="inlineStr">
        <is>
          <t>Awards rows whose Recipient includes the actor, in any capacity: acting, directing, producing, honours</t>
        </is>
      </c>
    </row>
    <row r="31" ht="19" customHeight="1">
      <c r="A31" s="5" t="inlineStr">
        <is>
          <t>Acting award wins</t>
        </is>
      </c>
      <c r="B31" s="5">
        <f>COUNTIFS(Awards!$I$2:$I$157,"Win",Awards!$G$2:$G$157,"*Shashi Kapoor*",Awards!$H$2:$H$157,"Actor")</f>
        <v/>
      </c>
      <c r="C31" s="5" t="inlineStr">
        <is>
          <t>Formula</t>
        </is>
      </c>
      <c r="D31" s="5" t="inlineStr">
        <is>
          <t>As above, limited to Recipient Type 'Actor'</t>
        </is>
      </c>
    </row>
    <row r="32" ht="19" customHeight="1">
      <c r="A32" s="5" t="inlineStr">
        <is>
          <t>Award nominations received by the actor</t>
        </is>
      </c>
      <c r="B32" s="5">
        <f>COUNTIFS(Awards!$I$2:$I$157,"Nomination",Awards!$G$2:$G$157,"*Shashi Kapoor*")</f>
        <v/>
      </c>
      <c r="C32" s="5" t="inlineStr">
        <is>
          <t>Formula</t>
        </is>
      </c>
      <c r="D32" s="5" t="inlineStr">
        <is>
          <t>Nominations that did not win</t>
        </is>
      </c>
    </row>
    <row r="33" ht="19" customHeight="1">
      <c r="A33" s="5" t="inlineStr">
        <is>
          <t>Award wins for his films (all recipients)</t>
        </is>
      </c>
      <c r="B33" s="5">
        <f>COUNTIF(Awards!$I$2:$I$157,"Win")</f>
        <v/>
      </c>
      <c r="C33" s="5" t="inlineStr">
        <is>
          <t>Formula</t>
        </is>
      </c>
      <c r="D33" s="5" t="inlineStr"/>
    </row>
    <row r="34" ht="19" customHeight="1">
      <c r="A34" s="5" t="inlineStr">
        <is>
          <t>Source-confidence summary (films)</t>
        </is>
      </c>
      <c r="B34" s="5">
        <f>"High "&amp;COUNTIF(Films!$AS$2:$AS$155,"High")&amp;" · "&amp;"Medium "&amp;COUNTIF(Films!$AS$2:$AS$155,"Medium")&amp;" · "&amp;"Low "&amp;COUNTIF(Films!$AS$2:$AS$155,"Low")&amp;" · "&amp;"Unknown "&amp;COUNTIF(Films!$AS$2:$AS$155,"Unknown")</f>
        <v/>
      </c>
      <c r="C34" s="5" t="inlineStr">
        <is>
          <t>Formula</t>
        </is>
      </c>
      <c r="D34" s="5" t="inlineStr">
        <is>
          <t>Confidence Grade in Films</t>
        </is>
      </c>
    </row>
    <row r="35" ht="34" customHeight="1">
      <c r="A35" s="5" t="inlineStr">
        <is>
          <t>Sources by reliability tier</t>
        </is>
      </c>
      <c r="B35" s="5">
        <f>"A "&amp;COUNTIF(Sources!$L$2:$L$363,"A")&amp;" · "&amp;"B "&amp;COUNTIF(Sources!$L$2:$L$363,"B")&amp;" · "&amp;"C "&amp;COUNTIF(Sources!$L$2:$L$363,"C")&amp;" · "&amp;"D "&amp;COUNTIF(Sources!$L$2:$L$363,"D")</f>
        <v/>
      </c>
      <c r="C35" s="5" t="inlineStr">
        <is>
          <t>Formula</t>
        </is>
      </c>
      <c r="D35" s="5" t="inlineStr">
        <is>
          <t>A official · B reputable press · C reference databases · D weak</t>
        </is>
      </c>
    </row>
    <row r="37">
      <c r="A37" s="3" t="inlineStr">
        <is>
          <t>Career phases</t>
        </is>
      </c>
    </row>
    <row r="38">
      <c r="A38" s="4" t="inlineStr">
        <is>
          <t>Phase</t>
        </is>
      </c>
      <c r="B38" s="4" t="inlineStr">
        <is>
          <t>Years</t>
        </is>
      </c>
      <c r="C38" s="4" t="inlineStr">
        <is>
          <t>Films</t>
        </is>
      </c>
      <c r="D38" s="4" t="inlineStr">
        <is>
          <t>Summary</t>
        </is>
      </c>
      <c r="E38" s="4" t="inlineStr">
        <is>
          <t>Avg lover-boy score</t>
        </is>
      </c>
    </row>
    <row r="39" ht="94" customHeight="1">
      <c r="A39" s="5" t="inlineStr">
        <is>
          <t>Child actor</t>
        </is>
      </c>
      <c r="B39" s="5" t="inlineStr">
        <is>
          <t>1948–1953</t>
        </is>
      </c>
      <c r="C39" s="8">
        <f>COUNTIFS(Films!$D$2:$D$155,"&gt;=1948",Films!$D$2:$D$155,"&lt;=1953")</f>
        <v/>
      </c>
      <c r="D39" s="5" t="inlineStr">
        <is>
          <t>Billed as Shashiraj to avoid confusion with an older actor of the same name, Kapoor plays the child version of his brother Raj Kapoor's characters in Aag and Awaara and of Ashok Kumar's in Sangram, alongside Samadhi and Daana Paani. These are family-firm appearances arranged around Prithvi Theatres rather than a career, and they carry no romantic content.</t>
        </is>
      </c>
      <c r="E39" s="7">
        <f>IFERROR(ROUND(AVERAGEIFS(Romances!$V$2:$V$77,Romances!$D$2:$D$77,"&gt;=1948",Romances!$D$2:$D$77,"&lt;=1953"),1),"n/a")</f>
        <v/>
      </c>
    </row>
    <row r="40" ht="94" customHeight="1">
      <c r="A40" s="5" t="inlineStr">
        <is>
          <t>Debut as a leading man</t>
        </is>
      </c>
      <c r="B40" s="5" t="inlineStr">
        <is>
          <t>1961–1964</t>
        </is>
      </c>
      <c r="C40" s="8">
        <f>COUNTIFS(Films!$D$2:$D$155,"&gt;=1961",Films!$D$2:$D$155,"&lt;=1964")</f>
        <v/>
      </c>
      <c r="D40" s="5" t="inlineStr">
        <is>
          <t>Kapoor returns as an adult lead in Yash Chopra's partition drama Dharmputra and in Char Diwari, both commercial failures, followed by modest successes in Bimal Roy's Prem Patra and Yeh Dil Kisko Doon. The period also opens the parallel English-language career that runs beside the Hindi one for thirty years, beginning with James Ivory's The Householder (1963).</t>
        </is>
      </c>
      <c r="E40" s="7">
        <f>IFERROR(ROUND(AVERAGEIFS(Romances!$V$2:$V$77,Romances!$D$2:$D$77,"&gt;=1961",Romances!$D$2:$D$77,"&lt;=1964"),1),"n/a")</f>
        <v/>
      </c>
    </row>
    <row r="41" ht="124" customHeight="1">
      <c r="A41" s="5" t="inlineStr">
        <is>
          <t>Romantic stardom</t>
        </is>
      </c>
      <c r="B41" s="5" t="inlineStr">
        <is>
          <t>1965–1973</t>
        </is>
      </c>
      <c r="C41" s="8">
        <f>COUNTIFS(Films!$D$2:$D$155,"&gt;=1965",Films!$D$2:$D$155,"&lt;=1973")</f>
        <v/>
      </c>
      <c r="D41" s="5" t="inlineStr">
        <is>
          <t>Waqt and Jab Jab Phool Khile, both released in 1965, make him a star; the latter wins him the BFJA Best Actor award and fixes the gentle, courteous romantic persona that the project's romance scoring is largely built to measure. Hits with Kanyadaan, Haseena Maan Jayegi, Sharmeelee and Aa Gale Lag Jaa follow, opposite Nanda, Asha Parekh, Babita, Rakhee and Sharmila Tagore, while Shakespeare Wallah, Bombay Talkie and Siddhartha run the art-cinema track in parallel.</t>
        </is>
      </c>
      <c r="E41" s="7">
        <f>IFERROR(ROUND(AVERAGEIFS(Romances!$V$2:$V$77,Romances!$D$2:$D$77,"&gt;=1965",Romances!$D$2:$D$77,"&lt;=1973"),1),"n/a")</f>
        <v/>
      </c>
    </row>
    <row r="42" ht="169" customHeight="1">
      <c r="A42" s="5" t="inlineStr">
        <is>
          <t>Peak commercial years and the multi-starrer</t>
        </is>
      </c>
      <c r="B42" s="5" t="inlineStr">
        <is>
          <t>1974–1982</t>
        </is>
      </c>
      <c r="C42" s="8">
        <f>COUNTIFS(Films!$D$2:$D$155,"&gt;=1974",Films!$D$2:$D$155,"&lt;=1982")</f>
        <v/>
      </c>
      <c r="D42" s="5" t="inlineStr">
        <is>
          <t>Chor Machaye Shor and Roti Kapada Aur Makaan take the top two box-office places of 1974 and make him one of the most saleable stars of the decade. The defining pattern is the multi-starrer, above all opposite Amitabh Bachchan in Deewaar (Filmfare Best Supporting Actor), Kabhi Kabhie, Immaan Dharam, Trishul, Kaala Patthar, Suhaag, Shaan, Silsila and Namak Halaal, where his function is frequently the lawful or forgiving brother and romance is subordinate to the male pairing. He simultaneously funds a parallel-cinema slate through Film-Valas, producing and starring in Junoon and Kalyug and producing 36 Chowringhee Lane and Vijeta.</t>
        </is>
      </c>
      <c r="E42" s="7">
        <f>IFERROR(ROUND(AVERAGEIFS(Romances!$V$2:$V$77,Romances!$D$2:$D$77,"&gt;=1974",Romances!$D$2:$D$77,"&lt;=1982"),1),"n/a")</f>
        <v/>
      </c>
    </row>
    <row r="43" ht="124" customHeight="1">
      <c r="A43" s="5" t="inlineStr">
        <is>
          <t>Parallel cinema, character roles and decline</t>
        </is>
      </c>
      <c r="B43" s="5" t="inlineStr">
        <is>
          <t>1983–1991</t>
        </is>
      </c>
      <c r="C43" s="8">
        <f>COUNTIFS(Films!$D$2:$D$155,"&gt;=1983",Films!$D$2:$D$155,"&lt;=1991")</f>
        <v/>
      </c>
      <c r="D43" s="5" t="inlineStr">
        <is>
          <t>Star power wanes after 1982 and Kapoor shifts toward prestige and character work: Utsav, which he also produced, and New Delhi Times, which brings the National Film Award for Best Actor and a second BFJA award. He takes supporting and cameo parts in mainstream films (Ghar Ek Mandir, Ilzaam, Ijaazat, Sindoor, his last box-office success), continues the English-language line with Heat and Dust, Sammy and Rosie Get Laid and The Deceivers, and directs Ajooba in 1991.</t>
        </is>
      </c>
      <c r="E43" s="7">
        <f>IFERROR(ROUND(AVERAGEIFS(Romances!$V$2:$V$77,Romances!$D$2:$D$77,"&gt;=1983",Romances!$D$2:$D$77,"&lt;=1991"),1),"n/a")</f>
        <v/>
      </c>
    </row>
    <row r="44" ht="124" customHeight="1">
      <c r="A44" s="5" t="inlineStr">
        <is>
          <t>Final films and retirement</t>
        </is>
      </c>
      <c r="B44" s="5" t="inlineStr">
        <is>
          <t>1992–1998</t>
        </is>
      </c>
      <c r="C44" s="8">
        <f>COUNTIFS(Films!$D$2:$D$155,"&gt;=1992",Films!$D$2:$D$155,"&lt;=1998")</f>
        <v/>
      </c>
      <c r="D44" s="5" t="inlineStr">
        <is>
          <t>Work thins to a handful of late and delayed releases. In Custody brings a National Film Award Special Jury recognition, and the career closes in 1998 with the narrator of Jinnah, a cameo in Swami Vivekananda, Side Streets and the long-delayed Ghar Bazar, after which he stops acting. Lifetime honours follow in retirement: the Filmfare Lifetime Achievement Award in 2010, the Padma Bhushan in 2011 and the Dadasaheb Phalke Award in 2015.</t>
        </is>
      </c>
      <c r="E44" s="7">
        <f>IFERROR(ROUND(AVERAGEIFS(Romances!$V$2:$V$77,Romances!$D$2:$D$77,"&gt;=1992",Romances!$D$2:$D$77,"&lt;=1998"),1),"n/a")</f>
        <v/>
      </c>
    </row>
    <row r="46">
      <c r="A46" s="3" t="inlineStr">
        <is>
          <t>Romantic co-stars (top 10)</t>
        </is>
      </c>
    </row>
    <row r="47">
      <c r="A47" s="4" t="inlineStr">
        <is>
          <t>Actress</t>
        </is>
      </c>
      <c r="B47" s="4" t="inlineStr">
        <is>
          <t>Films with a pairing</t>
        </is>
      </c>
    </row>
    <row r="48" ht="19" customHeight="1">
      <c r="A48" s="5" t="inlineStr">
        <is>
          <t>Sharmila Tagore</t>
        </is>
      </c>
      <c r="B48" s="5" t="n">
        <v>10</v>
      </c>
    </row>
    <row r="49" ht="19" customHeight="1">
      <c r="A49" s="5" t="inlineStr">
        <is>
          <t>Raakhee</t>
        </is>
      </c>
      <c r="B49" s="5" t="n">
        <v>8</v>
      </c>
    </row>
    <row r="50" ht="19" customHeight="1">
      <c r="A50" s="5" t="inlineStr">
        <is>
          <t>Zeenat Aman</t>
        </is>
      </c>
      <c r="B50" s="5" t="n">
        <v>6</v>
      </c>
    </row>
    <row r="51" ht="19" customHeight="1">
      <c r="A51" s="5" t="inlineStr">
        <is>
          <t>Hema Malini</t>
        </is>
      </c>
      <c r="B51" s="5" t="n">
        <v>5</v>
      </c>
    </row>
    <row r="52" ht="19" customHeight="1">
      <c r="A52" s="5" t="inlineStr">
        <is>
          <t>Rekha</t>
        </is>
      </c>
      <c r="B52" s="5" t="n">
        <v>5</v>
      </c>
    </row>
    <row r="53" ht="19" customHeight="1">
      <c r="A53" s="5" t="inlineStr">
        <is>
          <t>Nanda</t>
        </is>
      </c>
      <c r="B53" s="5" t="n">
        <v>4</v>
      </c>
    </row>
    <row r="54" ht="19" customHeight="1">
      <c r="A54" s="5" t="inlineStr">
        <is>
          <t>Asha Parekh</t>
        </is>
      </c>
      <c r="B54" s="5" t="n">
        <v>3</v>
      </c>
    </row>
    <row r="55" ht="19" customHeight="1">
      <c r="A55" s="5" t="inlineStr">
        <is>
          <t>Parveen Babi</t>
        </is>
      </c>
      <c r="B55" s="5" t="n">
        <v>3</v>
      </c>
    </row>
    <row r="56" ht="19" customHeight="1">
      <c r="A56" s="5" t="inlineStr">
        <is>
          <t>Babita</t>
        </is>
      </c>
      <c r="B56" s="5" t="n">
        <v>2</v>
      </c>
    </row>
    <row r="57" ht="19" customHeight="1">
      <c r="A57" s="5" t="inlineStr">
        <is>
          <t>Mumtaz</t>
        </is>
      </c>
      <c r="B57" s="5" t="n">
        <v>2</v>
      </c>
    </row>
    <row r="59">
      <c r="A59" s="3" t="inlineStr">
        <is>
          <t>Romance centrality by decade</t>
        </is>
      </c>
    </row>
    <row r="60">
      <c r="A60" s="4" t="inlineStr">
        <is>
          <t>Decade</t>
        </is>
      </c>
      <c r="B60" s="4" t="inlineStr">
        <is>
          <t>Films</t>
        </is>
      </c>
      <c r="C60" s="4" t="inlineStr">
        <is>
          <t>Avg romance centrality</t>
        </is>
      </c>
    </row>
    <row r="61" ht="19" customHeight="1">
      <c r="A61" s="5" t="inlineStr">
        <is>
          <t>1940s</t>
        </is>
      </c>
      <c r="B61" s="8" t="n">
        <v>1</v>
      </c>
      <c r="C61" s="7" t="n">
        <v>8</v>
      </c>
    </row>
    <row r="62" ht="19" customHeight="1">
      <c r="A62" s="5" t="inlineStr">
        <is>
          <t>1950s</t>
        </is>
      </c>
      <c r="B62" s="8" t="n">
        <v>4</v>
      </c>
      <c r="C62" s="7" t="n">
        <v>5.3</v>
      </c>
    </row>
    <row r="63" ht="19" customHeight="1">
      <c r="A63" s="5" t="inlineStr">
        <is>
          <t>1960s</t>
        </is>
      </c>
      <c r="B63" s="8" t="n">
        <v>25</v>
      </c>
      <c r="C63" s="7" t="n">
        <v>7.9</v>
      </c>
    </row>
    <row r="64" ht="19" customHeight="1">
      <c r="A64" s="5" t="inlineStr">
        <is>
          <t>1970s</t>
        </is>
      </c>
      <c r="B64" s="8" t="n">
        <v>57</v>
      </c>
      <c r="C64" s="7" t="n">
        <v>7.2</v>
      </c>
    </row>
    <row r="65" ht="19" customHeight="1">
      <c r="A65" s="5" t="inlineStr">
        <is>
          <t>1980s</t>
        </is>
      </c>
      <c r="B65" s="8" t="n">
        <v>57</v>
      </c>
      <c r="C65" s="7" t="n">
        <v>6.4</v>
      </c>
    </row>
    <row r="66" ht="19" customHeight="1">
      <c r="A66" s="5" t="inlineStr">
        <is>
          <t>1990s</t>
        </is>
      </c>
      <c r="B66" s="8" t="n">
        <v>10</v>
      </c>
      <c r="C66" s="7" t="n">
        <v>5.5</v>
      </c>
    </row>
    <row r="68">
      <c r="A68" s="3" t="inlineStr">
        <is>
          <t>Column colour key</t>
        </is>
      </c>
    </row>
    <row r="69">
      <c r="A69" s="9" t="inlineStr">
        <is>
          <t>Fact</t>
        </is>
      </c>
      <c r="B69" t="inlineStr">
        <is>
          <t>Fact: credits, dates, figures and descriptive fields</t>
        </is>
      </c>
    </row>
    <row r="70">
      <c r="A70" s="10" t="inlineStr">
        <is>
          <t>Score</t>
        </is>
      </c>
      <c r="B70" t="inlineStr">
        <is>
          <t>Score (0–10): cells shaded white (0) to orange (10)</t>
        </is>
      </c>
    </row>
    <row r="71">
      <c r="A71" s="11" t="inlineStr">
        <is>
          <t>Analysis</t>
        </is>
      </c>
      <c r="B71" t="inlineStr">
        <is>
          <t>Interpretive analysis: header green, cells tinted green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T1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12" customWidth="1" min="3" max="3"/>
    <col width="9" customWidth="1" min="4" max="4"/>
    <col width="9" customWidth="1" min="5" max="5"/>
    <col width="14" customWidth="1" min="6" max="6"/>
    <col width="16" customWidth="1" min="7" max="7"/>
    <col width="16" customWidth="1" min="8" max="8"/>
    <col width="10" customWidth="1" min="9" max="9"/>
    <col width="22" customWidth="1" min="10" max="10"/>
    <col width="26" customWidth="1" min="11" max="11"/>
    <col width="24" customWidth="1" min="12" max="12"/>
    <col width="26" customWidth="1" min="13" max="13"/>
    <col width="26" customWidth="1" min="14" max="14"/>
    <col width="22" customWidth="1" min="15" max="15"/>
    <col width="22" customWidth="1" min="16" max="16"/>
    <col width="22" customWidth="1" min="17" max="17"/>
    <col width="20" customWidth="1" min="18" max="18"/>
    <col width="22" customWidth="1" min="19" max="19"/>
    <col width="20" customWidth="1" min="20" max="20"/>
    <col width="11" customWidth="1" min="21" max="21"/>
    <col width="22" customWidth="1" min="22" max="22"/>
    <col width="26" customWidth="1" min="23" max="23"/>
    <col width="60" customWidth="1" min="24" max="24"/>
    <col width="36" customWidth="1" min="25" max="25"/>
    <col width="36" customWidth="1" min="26" max="26"/>
    <col width="40" customWidth="1" min="27" max="27"/>
    <col width="18" customWidth="1" min="28" max="28"/>
    <col width="30" customWidth="1" min="29" max="29"/>
    <col width="26" customWidth="1" min="30" max="30"/>
    <col width="14" customWidth="1" min="31" max="31"/>
    <col width="10" customWidth="1" min="32" max="32"/>
    <col width="30" customWidth="1" min="33" max="33"/>
    <col width="15" customWidth="1" min="34" max="34"/>
    <col width="15" customWidth="1" min="35" max="35"/>
    <col width="15" customWidth="1" min="36" max="36"/>
    <col width="15" customWidth="1" min="37" max="37"/>
    <col width="15" customWidth="1" min="38" max="38"/>
    <col width="13" customWidth="1" min="39" max="39"/>
    <col width="16" customWidth="1" min="40" max="40"/>
    <col width="11" customWidth="1" min="41" max="41"/>
    <col width="45" customWidth="1" min="42" max="42"/>
    <col width="40" customWidth="1" min="43" max="43"/>
    <col width="22" customWidth="1" min="44" max="44"/>
    <col width="12" customWidth="1" min="45" max="45"/>
    <col width="45" customWidth="1" min="46" max="46"/>
  </cols>
  <sheetData>
    <row r="1" ht="51" customHeight="1">
      <c r="A1" s="12" t="inlineStr">
        <is>
          <t>Film ID</t>
        </is>
      </c>
      <c r="B1" s="12" t="inlineStr">
        <is>
          <t>Title</t>
        </is>
      </c>
      <c r="C1" s="12" t="inlineStr">
        <is>
          <t>Release Date</t>
        </is>
      </c>
      <c r="D1" s="12" t="inlineStr">
        <is>
          <t>Release Year</t>
        </is>
      </c>
      <c r="E1" s="12" t="inlineStr">
        <is>
          <t>Decade</t>
        </is>
      </c>
      <c r="F1" s="12" t="inlineStr">
        <is>
          <t>Language</t>
        </is>
      </c>
      <c r="G1" s="12" t="inlineStr">
        <is>
          <t>Genre</t>
        </is>
      </c>
      <c r="H1" s="12" t="inlineStr">
        <is>
          <t>Secondary Genre</t>
        </is>
      </c>
      <c r="I1" s="12" t="inlineStr">
        <is>
          <t>Runtime</t>
        </is>
      </c>
      <c r="J1" s="12" t="inlineStr">
        <is>
          <t>Director</t>
        </is>
      </c>
      <c r="K1" s="12" t="inlineStr">
        <is>
          <t>Producer or Producers</t>
        </is>
      </c>
      <c r="L1" s="12" t="inlineStr">
        <is>
          <t>Production Banner</t>
        </is>
      </c>
      <c r="M1" s="12" t="inlineStr">
        <is>
          <t>Writer or Writers</t>
        </is>
      </c>
      <c r="N1" s="12" t="inlineStr">
        <is>
          <t>Source Material or Remake Status</t>
        </is>
      </c>
      <c r="O1" s="12" t="inlineStr">
        <is>
          <t>Song Composer</t>
        </is>
      </c>
      <c r="P1" s="12" t="inlineStr">
        <is>
          <t>Background-Score Composer</t>
        </is>
      </c>
      <c r="Q1" s="12" t="inlineStr">
        <is>
          <t>Lyricist</t>
        </is>
      </c>
      <c r="R1" s="12" t="inlineStr">
        <is>
          <t>Actor’s Character</t>
        </is>
      </c>
      <c r="S1" s="12" t="inlineStr">
        <is>
          <t>Alternate Identity or Double Role</t>
        </is>
      </c>
      <c r="T1" s="12" t="inlineStr">
        <is>
          <t>Role Type</t>
        </is>
      </c>
      <c r="U1" s="12" t="inlineStr">
        <is>
          <t>Billing Position</t>
        </is>
      </c>
      <c r="V1" s="12" t="inlineStr">
        <is>
          <t>Character Occupation</t>
        </is>
      </c>
      <c r="W1" s="12" t="inlineStr">
        <is>
          <t>Character Social Background</t>
        </is>
      </c>
      <c r="X1" s="13" t="inlineStr">
        <is>
          <t>Role Gist</t>
        </is>
      </c>
      <c r="Y1" s="13" t="inlineStr">
        <is>
          <t>Principal Motivation</t>
        </is>
      </c>
      <c r="Z1" s="13" t="inlineStr">
        <is>
          <t>Principal Conflict</t>
        </is>
      </c>
      <c r="AA1" s="13" t="inlineStr">
        <is>
          <t>Character Arc</t>
        </is>
      </c>
      <c r="AB1" s="13" t="inlineStr">
        <is>
          <t>Moral Alignment</t>
        </is>
      </c>
      <c r="AC1" s="12" t="inlineStr">
        <is>
          <t>Character Outcome</t>
        </is>
      </c>
      <c r="AD1" s="12" t="inlineStr">
        <is>
          <t>Principal Female Lead or Leads</t>
        </is>
      </c>
      <c r="AE1" s="12" t="inlineStr">
        <is>
          <t>Romance Presence</t>
        </is>
      </c>
      <c r="AF1" s="14" t="inlineStr">
        <is>
          <t>Romance Centrality Score</t>
        </is>
      </c>
      <c r="AG1" s="13" t="inlineStr">
        <is>
          <t>Overall Relationship Classification</t>
        </is>
      </c>
      <c r="AH1" s="12" t="inlineStr">
        <is>
          <t>Budget</t>
        </is>
      </c>
      <c r="AI1" s="12" t="inlineStr">
        <is>
          <t>Domestic Nett</t>
        </is>
      </c>
      <c r="AJ1" s="12" t="inlineStr">
        <is>
          <t>Domestic Gross</t>
        </is>
      </c>
      <c r="AK1" s="12" t="inlineStr">
        <is>
          <t>Overseas Gross</t>
        </is>
      </c>
      <c r="AL1" s="12" t="inlineStr">
        <is>
          <t>Worldwide Gross</t>
        </is>
      </c>
      <c r="AM1" s="12" t="inlineStr">
        <is>
          <t>Currency</t>
        </is>
      </c>
      <c r="AN1" s="12" t="inlineStr">
        <is>
          <t>Box-Office Verdict</t>
        </is>
      </c>
      <c r="AO1" s="12" t="inlineStr">
        <is>
          <t>Annual Box-Office Rank</t>
        </is>
      </c>
      <c r="AP1" s="13" t="inlineStr">
        <is>
          <t>Critical Reception Summary</t>
        </is>
      </c>
      <c r="AQ1" s="13" t="inlineStr">
        <is>
          <t>Recognition or Legacy</t>
        </is>
      </c>
      <c r="AR1" s="12" t="inlineStr">
        <is>
          <t>Source IDs</t>
        </is>
      </c>
      <c r="AS1" s="12" t="inlineStr">
        <is>
          <t>Confidence Grade</t>
        </is>
      </c>
      <c r="AT1" s="12" t="inlineStr">
        <is>
          <t>Research Notes</t>
        </is>
      </c>
    </row>
    <row r="2" ht="139" customHeight="1">
      <c r="A2" s="15" t="inlineStr">
        <is>
          <t>FILM-001</t>
        </is>
      </c>
      <c r="B2" s="5" t="inlineStr">
        <is>
          <t>Aag</t>
        </is>
      </c>
      <c r="C2" s="16" t="n">
        <v>17751</v>
      </c>
      <c r="D2" s="17" t="n">
        <v>1948</v>
      </c>
      <c r="E2" s="5" t="inlineStr">
        <is>
          <t>1940s</t>
        </is>
      </c>
      <c r="F2" s="5" t="inlineStr">
        <is>
          <t>Hindi</t>
        </is>
      </c>
      <c r="G2" s="5" t="inlineStr">
        <is>
          <t>Drama</t>
        </is>
      </c>
      <c r="H2" s="5" t="inlineStr">
        <is>
          <t>Musical romance</t>
        </is>
      </c>
      <c r="I2" s="17" t="n">
        <v>130</v>
      </c>
      <c r="J2" s="5" t="inlineStr">
        <is>
          <t>Raj Kapoor</t>
        </is>
      </c>
      <c r="K2" s="5" t="inlineStr">
        <is>
          <t>Raj Kapoor</t>
        </is>
      </c>
      <c r="L2" s="5" t="inlineStr">
        <is>
          <t>R. K. Films</t>
        </is>
      </c>
      <c r="M2" s="5" t="inlineStr">
        <is>
          <t>Inder Raj Anand</t>
        </is>
      </c>
      <c r="N2" s="5" t="n"/>
      <c r="O2" s="5" t="inlineStr">
        <is>
          <t>Ram Ganguly</t>
        </is>
      </c>
      <c r="P2" s="5" t="n"/>
      <c r="Q2" s="5" t="n"/>
      <c r="R2" s="5" t="inlineStr">
        <is>
          <t>Young Kewal Khanna</t>
        </is>
      </c>
      <c r="S2" s="5" t="n"/>
      <c r="T2" s="5" t="inlineStr">
        <is>
          <t>Child role</t>
        </is>
      </c>
      <c r="U2" s="18" t="n"/>
      <c r="V2" s="5" t="inlineStr">
        <is>
          <t>Schoolboy</t>
        </is>
      </c>
      <c r="W2" s="5" t="inlineStr">
        <is>
          <t>Prosperous Punjabi family of lawyers</t>
        </is>
      </c>
      <c r="X2" s="19" t="inlineStr">
        <is>
          <t>Aged ten, Kapoor plays the boyhood of Raj Kapoor's Kewal in the opening flashback: a schoolboy obsessed with theatre who is smitten with his classmate Nirmala, nicknamed Nimmi, and plans a neighbourhood play with her as his heroine. She leaves the city on the day of the premiere. The desertion plants the double obsession, theatre and a girl named Nimmi, that drives the adult character.</t>
        </is>
      </c>
      <c r="Y2" s="19" t="inlineStr">
        <is>
          <t>To stage his own play, with Nimmi as its heroine.</t>
        </is>
      </c>
      <c r="Z2" s="19" t="inlineStr">
        <is>
          <t>A theatrical calling against a lawyer family's expectations, and the loss of Nimmi on the eve of his first production.</t>
        </is>
      </c>
      <c r="AA2" s="19" t="inlineStr">
        <is>
          <t>No arc of his own; the segment exists to establish the wound and the ambition the adult Kewal carries through the rest of the film.</t>
        </is>
      </c>
      <c r="AB2" s="19" t="inlineStr">
        <is>
          <t>Innocent</t>
        </is>
      </c>
      <c r="AC2" s="5" t="inlineStr">
        <is>
          <t>Hands the part off to Raj Kapoor as the flashback moves to adulthood.</t>
        </is>
      </c>
      <c r="AD2" s="5" t="inlineStr">
        <is>
          <t>Nargis; Kamini Kaushal; Nigar Sultana</t>
        </is>
      </c>
      <c r="AE2" s="5" t="inlineStr">
        <is>
          <t>Minor</t>
        </is>
      </c>
      <c r="AF2" s="20" t="n">
        <v>8</v>
      </c>
      <c r="AG2" s="19" t="inlineStr">
        <is>
          <t>Unrequited love</t>
        </is>
      </c>
      <c r="AH2" s="5" t="n"/>
      <c r="AI2" s="5" t="n"/>
      <c r="AJ2" s="5" t="n"/>
      <c r="AK2" s="5" t="n"/>
      <c r="AL2" s="5" t="n"/>
      <c r="AM2" s="5" t="n"/>
      <c r="AN2" s="5" t="inlineStr">
        <is>
          <t>Average</t>
        </is>
      </c>
      <c r="AO2" s="18" t="n"/>
      <c r="AP2" s="19" t="inlineStr">
        <is>
          <t>Raj Kapoor's directorial debut drew a mixed contemporary response and did average business, though it is now read as the founding statement of the R.K. banner.</t>
        </is>
      </c>
      <c r="AQ2" s="19" t="inlineStr">
        <is>
          <t>Raj Kapoor's first film as producer and director and the first production of R. K. Films; Kapoor's screen debut.</t>
        </is>
      </c>
      <c r="AR2" s="5" t="inlineStr">
        <is>
          <t>SOURCE-001; SOURCE-002; SOURCE-128</t>
        </is>
      </c>
      <c r="AS2" s="5" t="inlineStr">
        <is>
          <t>Medium</t>
        </is>
      </c>
      <c r="AT2" s="5" t="inlineStr">
        <is>
          <t>Filmography notes: Child artist. Played the young Kewal Khanna, the child version of Raj Kapoor's character, billed as Shashiraj. The infobox credits Ram Ganguly for music with Kamal Gangoli as assistant; only Ganguly is entered as composer. Romance centrality is scored for the film, in which Kewal's pursuit of three women called Nimmi is the spine; Kapoor's own segment carries only the childhood infatuation, so no Romances row is created for a ten-year-old's schoolroom attachment.</t>
        </is>
      </c>
    </row>
    <row r="3" ht="109" customHeight="1">
      <c r="A3" s="15" t="inlineStr">
        <is>
          <t>FILM-002</t>
        </is>
      </c>
      <c r="B3" s="5" t="inlineStr">
        <is>
          <t>Sangram</t>
        </is>
      </c>
      <c r="C3" s="5" t="inlineStr">
        <is>
          <t>1950</t>
        </is>
      </c>
      <c r="D3" s="17" t="n">
        <v>1950</v>
      </c>
      <c r="E3" s="5" t="inlineStr">
        <is>
          <t>1950s</t>
        </is>
      </c>
      <c r="F3" s="5" t="inlineStr">
        <is>
          <t>Hindi</t>
        </is>
      </c>
      <c r="G3" s="5" t="inlineStr">
        <is>
          <t>Crime drama</t>
        </is>
      </c>
      <c r="H3" s="5" t="inlineStr">
        <is>
          <t>Social drama</t>
        </is>
      </c>
      <c r="I3" s="18" t="n"/>
      <c r="J3" s="5" t="inlineStr">
        <is>
          <t>Gyan Mukherjee</t>
        </is>
      </c>
      <c r="K3" s="5" t="inlineStr">
        <is>
          <t>Sargam Pictures' Unit</t>
        </is>
      </c>
      <c r="L3" s="5" t="inlineStr">
        <is>
          <t>Bombay Talkies</t>
        </is>
      </c>
      <c r="M3" s="5" t="inlineStr">
        <is>
          <t>Gyan Mukherjee; Vrajendra Gaur</t>
        </is>
      </c>
      <c r="N3" s="5" t="n"/>
      <c r="O3" s="5" t="inlineStr">
        <is>
          <t>C. Ramchandra</t>
        </is>
      </c>
      <c r="P3" s="5" t="n"/>
      <c r="Q3" s="5" t="n"/>
      <c r="R3" s="5" t="inlineStr">
        <is>
          <t>Young Kumar</t>
        </is>
      </c>
      <c r="S3" s="5" t="n"/>
      <c r="T3" s="5" t="inlineStr">
        <is>
          <t>Child role</t>
        </is>
      </c>
      <c r="U3" s="18" t="n"/>
      <c r="V3" s="5" t="inlineStr">
        <is>
          <t>Schoolboy</t>
        </is>
      </c>
      <c r="W3" s="5" t="inlineStr">
        <is>
          <t>Son of a police officer; motherless</t>
        </is>
      </c>
      <c r="X3" s="19" t="inlineStr">
        <is>
          <t>Kapoor plays the childhood of Ashok Kumar's Kunwar, the indulged motherless son of a policeman who drifts into the company of ruffians, gambles, and in one fit of rage fires his father's pistol at a playmate. His father's intervention keeps him out of the lock-up. The segment supplies the spoiling that explains the criminal the adult becomes.</t>
        </is>
      </c>
      <c r="Y3" s="19" t="inlineStr">
        <is>
          <t>To get whatever he demands, which his father always grants.</t>
        </is>
      </c>
      <c r="Z3" s="19" t="inlineStr">
        <is>
          <t>An indulgent father against the boy's worsening company.</t>
        </is>
      </c>
      <c r="AA3" s="19" t="inlineStr">
        <is>
          <t>Establishes the causation the film argues for; the corruption is shown, not resolved.</t>
        </is>
      </c>
      <c r="AB3" s="19" t="inlineStr">
        <is>
          <t>Morally unformed</t>
        </is>
      </c>
      <c r="AC3" s="5" t="inlineStr">
        <is>
          <t>Grows into the adult Kunwar, who is eventually shot dead by his own father.</t>
        </is>
      </c>
      <c r="AD3" s="5" t="inlineStr">
        <is>
          <t>Nalini Jaywant</t>
        </is>
      </c>
      <c r="AE3" s="5" t="inlineStr">
        <is>
          <t>None</t>
        </is>
      </c>
      <c r="AF3" s="20" t="n">
        <v>4</v>
      </c>
      <c r="AG3" s="19" t="inlineStr">
        <is>
          <t>No meaningful romance</t>
        </is>
      </c>
      <c r="AH3" s="5" t="n"/>
      <c r="AI3" s="5" t="n"/>
      <c r="AJ3" s="5" t="n"/>
      <c r="AK3" s="5" t="n"/>
      <c r="AL3" s="5" t="n"/>
      <c r="AM3" s="5" t="n"/>
      <c r="AN3" s="5" t="inlineStr">
        <is>
          <t>Blockbuster</t>
        </is>
      </c>
      <c r="AO3" s="18" t="n"/>
      <c r="AP3" s="19" t="inlineStr">
        <is>
          <t>A major commercial success of its year, credited to Gyan Mukherjee's direction, C. Ramchandra's songs and Josef Wirsching's black-and-white camerawork.</t>
        </is>
      </c>
      <c r="AQ3" s="19" t="inlineStr">
        <is>
          <t>Reported as the sixth highest-earning Indian film of 1950.</t>
        </is>
      </c>
      <c r="AR3" s="5" t="inlineStr">
        <is>
          <t>SOURCE-001; SOURCE-003; SOURCE-128</t>
        </is>
      </c>
      <c r="AS3" s="5" t="inlineStr">
        <is>
          <t>Medium</t>
        </is>
      </c>
      <c r="AT3" s="5" t="inlineStr">
        <is>
          <t>Filmography notes: Child artist. Played the child version of Ashok Kumar's character. The film article reports roughly Rs 55 lakh in profits; profit is not a gross or nett measure and is therefore kept here rather than in the money columns. The adult Kunwar's romance with Kanta belongs to Ashok Kumar, not to Kapoor's segment.</t>
        </is>
      </c>
    </row>
    <row r="4" ht="289" customHeight="1">
      <c r="A4" s="15" t="inlineStr">
        <is>
          <t>FILM-003</t>
        </is>
      </c>
      <c r="B4" s="5" t="inlineStr">
        <is>
          <t>Samadhi</t>
        </is>
      </c>
      <c r="C4" s="5" t="inlineStr">
        <is>
          <t>1950</t>
        </is>
      </c>
      <c r="D4" s="17" t="n">
        <v>1950</v>
      </c>
      <c r="E4" s="5" t="inlineStr">
        <is>
          <t>1950s</t>
        </is>
      </c>
      <c r="F4" s="5" t="inlineStr">
        <is>
          <t>Hindi</t>
        </is>
      </c>
      <c r="G4" s="5" t="inlineStr">
        <is>
          <t>Spy thriller</t>
        </is>
      </c>
      <c r="H4" s="5" t="inlineStr">
        <is>
          <t>War drama</t>
        </is>
      </c>
      <c r="I4" s="17" t="n">
        <v>156</v>
      </c>
      <c r="J4" s="5" t="inlineStr">
        <is>
          <t>Ramesh Saigal</t>
        </is>
      </c>
      <c r="K4" s="5" t="inlineStr">
        <is>
          <t>Filmistan</t>
        </is>
      </c>
      <c r="L4" s="5" t="inlineStr">
        <is>
          <t>Filmistan</t>
        </is>
      </c>
      <c r="M4" s="5" t="inlineStr">
        <is>
          <t>Qamar Jalalabadi; Ramesh Saigal</t>
        </is>
      </c>
      <c r="N4" s="5" t="n"/>
      <c r="O4" s="5" t="inlineStr">
        <is>
          <t>C. Ramchandra</t>
        </is>
      </c>
      <c r="P4" s="5" t="n"/>
      <c r="Q4" s="5" t="inlineStr">
        <is>
          <t>Rajinder Krishan</t>
        </is>
      </c>
      <c r="R4" s="5" t="inlineStr">
        <is>
          <t>Pratap</t>
        </is>
      </c>
      <c r="S4" s="5" t="n"/>
      <c r="T4" s="5" t="inlineStr">
        <is>
          <t>Child role</t>
        </is>
      </c>
      <c r="U4" s="18" t="n"/>
      <c r="V4" s="5" t="inlineStr">
        <is>
          <t>Schoolboy</t>
        </is>
      </c>
      <c r="W4" s="5" t="inlineStr">
        <is>
          <t>Family of a blind father; brothers divided between the INA and the British Indian Army</t>
        </is>
      </c>
      <c r="X4" s="19" t="inlineStr">
        <is>
          <t>Kapoor plays Pratap, the young brother whom Shekhar (Ashok Kumar) leaves behind with their blind father when he joins Subhas Chandra Bose's Indian National Army. The part is small and domestic, supplying the household cost of Shekhar's enlistment while the plot proper follows the INA, the rival brother in British service and the spy sisters.</t>
        </is>
      </c>
      <c r="Y4" s="19" t="inlineStr">
        <is>
          <t>To keep the household together while his brother is away at war.</t>
        </is>
      </c>
      <c r="Z4" s="19" t="inlineStr">
        <is>
          <t>Abandonment, as the war divides his family.</t>
        </is>
      </c>
      <c r="AA4" s="19" t="inlineStr">
        <is>
          <t>Static; a fixed point of domestic loss against which the brothers' opposed loyalties are measured.</t>
        </is>
      </c>
      <c r="AB4" s="19" t="inlineStr">
        <is>
          <t>Innocent</t>
        </is>
      </c>
      <c r="AC4" s="5" t="inlineStr">
        <is>
          <t>Not separately resolved by the plot summary.</t>
        </is>
      </c>
      <c r="AD4" s="5" t="inlineStr">
        <is>
          <t>Nalini Jaywant; Kuldip Kaur</t>
        </is>
      </c>
      <c r="AE4" s="5" t="inlineStr">
        <is>
          <t>None</t>
        </is>
      </c>
      <c r="AF4" s="20" t="n">
        <v>5</v>
      </c>
      <c r="AG4" s="19" t="inlineStr">
        <is>
          <t>No meaningful romance</t>
        </is>
      </c>
      <c r="AH4" s="5" t="n"/>
      <c r="AI4" s="21" t="n">
        <v>0.75</v>
      </c>
      <c r="AJ4" s="21" t="n">
        <v>1.35</v>
      </c>
      <c r="AK4" s="5" t="n"/>
      <c r="AL4" s="5" t="n"/>
      <c r="AM4" s="5" t="inlineStr">
        <is>
          <t>INR crore</t>
        </is>
      </c>
      <c r="AN4" s="5" t="inlineStr">
        <is>
          <t>Blockbuster</t>
        </is>
      </c>
      <c r="AO4" s="20" t="n">
        <v>1</v>
      </c>
      <c r="AP4" s="19" t="inlineStr">
        <is>
          <t>A major success built on its Indian National Army subject and the song 'Gore Gore O Banke Chore'. In a retrospective notice for The Hindu, Suresh Kohli wrote that the film, despite a weak and contrived script, handles its conflict and dramatic situations and succeeds through brilliant performances, particularly by Ashok Kumar and Kuldip Kaur, and recorded it as the year's biggest hit with a gross profit of Rs 75 lakh.</t>
        </is>
      </c>
      <c r="AQ4" s="19" t="inlineStr">
        <is>
          <t>Reported as the highest-earning Indian film of 1950.</t>
        </is>
      </c>
      <c r="AR4" s="5" t="inlineStr">
        <is>
          <t>SOURCE-001; SOURCE-127; SOURCE-128; SOURCE-354</t>
        </is>
      </c>
      <c r="AS4" s="5" t="inlineStr">
        <is>
          <t>Medium</t>
        </is>
      </c>
      <c r="AT4" s="5" t="inlineStr">
        <is>
          <t>Filmography notes: Child artist. Not listed in the Wikipedia filmography table, which gives four child-artist credits; added because the Shashi Kapoor article's career section names Samadhi (1950) among his child-artist films and the film article casts him as Pratap, the young brother of Ashok Kumar's Shekhar. The same article's early-life section says he worked in four Hindi films as a child actor, which conflicts; with Samadhi the count is five. Gross and nett figures are the film article's nominal 1950 rupee amounts (Rs 1,35,00,000 gross and Rs 75,00,000 nett), converted to crore; they are film-level and not attributable to Kapoor's role. The romance is Shekhar's with Lily, not Pratap's. The Hindu's retrospective notice gives a gross profit of Rs 75 lakh, which is a profit figure rather than a nett or gross collection and is therefore kept here rather than in the money columns; Box Office India's nett of Rs 0.75 crore stands in the column. Kapoor appears as the child Pratap.</t>
        </is>
      </c>
    </row>
    <row r="5" ht="184" customHeight="1">
      <c r="A5" s="15" t="inlineStr">
        <is>
          <t>FILM-004</t>
        </is>
      </c>
      <c r="B5" s="5" t="inlineStr">
        <is>
          <t>Awaara</t>
        </is>
      </c>
      <c r="C5" s="16" t="n">
        <v>18976</v>
      </c>
      <c r="D5" s="17" t="n">
        <v>1951</v>
      </c>
      <c r="E5" s="5" t="inlineStr">
        <is>
          <t>1950s</t>
        </is>
      </c>
      <c r="F5" s="5" t="inlineStr">
        <is>
          <t>Hindustani</t>
        </is>
      </c>
      <c r="G5" s="5" t="inlineStr">
        <is>
          <t>Crime drama</t>
        </is>
      </c>
      <c r="H5" s="5" t="inlineStr">
        <is>
          <t>Social melodrama</t>
        </is>
      </c>
      <c r="I5" s="17" t="n">
        <v>168</v>
      </c>
      <c r="J5" s="5" t="inlineStr">
        <is>
          <t>Raj Kapoor</t>
        </is>
      </c>
      <c r="K5" s="5" t="inlineStr">
        <is>
          <t>Raj Kapoor</t>
        </is>
      </c>
      <c r="L5" s="5" t="inlineStr">
        <is>
          <t>All India Film Corporation; R. K. Films</t>
        </is>
      </c>
      <c r="M5" s="5" t="inlineStr">
        <is>
          <t>Khwaja Ahmad Abbas; V. P. Sathe</t>
        </is>
      </c>
      <c r="N5" s="5" t="n"/>
      <c r="O5" s="5" t="inlineStr">
        <is>
          <t>Shankar–Jaikishan</t>
        </is>
      </c>
      <c r="P5" s="5" t="n"/>
      <c r="Q5" s="5" t="n"/>
      <c r="R5" s="5" t="inlineStr">
        <is>
          <t>Young Raj</t>
        </is>
      </c>
      <c r="S5" s="5" t="n"/>
      <c r="T5" s="5" t="inlineStr">
        <is>
          <t>Child role</t>
        </is>
      </c>
      <c r="U5" s="20" t="n">
        <v>6</v>
      </c>
      <c r="V5" s="5" t="inlineStr">
        <is>
          <t>Street child and shoeshiner</t>
        </is>
      </c>
      <c r="W5" s="5" t="inlineStr">
        <is>
          <t>Born on the streets to a judge's cast-out wife; raised in extreme poverty</t>
        </is>
      </c>
      <c r="X5" s="19" t="inlineStr">
        <is>
          <t>Kapoor plays the boyhood of Raj, the son Judge Raghunath disowned before birth, growing up in the poverty his mother was thrown into. He is struck off the school rolls while working as a shoeshiner, befriends the schoolgirl Rita, and is talked into his first theft by Jagga to feed his starving mother. The segment carries the film's whole argument about environment over blood.</t>
        </is>
      </c>
      <c r="Y5" s="19" t="inlineStr">
        <is>
          <t>To keep his mother alive.</t>
        </is>
      </c>
      <c r="Z5" s="19" t="inlineStr">
        <is>
          <t>Destitution against the judge's belief that criminals are born, not made.</t>
        </is>
      </c>
      <c r="AA5" s="19" t="inlineStr">
        <is>
          <t>Moves from schoolboy to thief under economic compulsion, which is precisely the thesis the adult trial will litigate.</t>
        </is>
      </c>
      <c r="AB5" s="19" t="inlineStr">
        <is>
          <t>Innocent, driven to crime</t>
        </is>
      </c>
      <c r="AC5" s="5" t="inlineStr">
        <is>
          <t>Grows into the adult Raj (Raj Kapoor).</t>
        </is>
      </c>
      <c r="AD5" s="5" t="inlineStr">
        <is>
          <t>Nargis</t>
        </is>
      </c>
      <c r="AE5" s="5" t="inlineStr">
        <is>
          <t>Implied</t>
        </is>
      </c>
      <c r="AF5" s="20" t="n">
        <v>7</v>
      </c>
      <c r="AG5" s="19" t="inlineStr">
        <is>
          <t>Friendship to love</t>
        </is>
      </c>
      <c r="AH5" s="5" t="n"/>
      <c r="AI5" s="5" t="n"/>
      <c r="AJ5" s="21" t="n">
        <v>2.1</v>
      </c>
      <c r="AK5" s="21" t="n">
        <v>3.45</v>
      </c>
      <c r="AL5" s="5" t="n"/>
      <c r="AM5" s="5" t="inlineStr">
        <is>
          <t>INR crore</t>
        </is>
      </c>
      <c r="AN5" s="5" t="inlineStr">
        <is>
          <t>All-time blockbuster</t>
        </is>
      </c>
      <c r="AO5" s="18" t="n"/>
      <c r="AP5" s="19" t="inlineStr">
        <is>
          <t>Entered in competition at the 1953 Cannes Film Festival, where it was nominated for the Grand Prize. Indiatimes later placed it among the twenty-five must-see Hindi films, singling out the Raj Kapoor and Nargis pairing.</t>
        </is>
      </c>
      <c r="AQ5" s="19" t="inlineStr">
        <is>
          <t>The highest-grossing Indian film up to 1951 and among the most successful Indian films ever released in the Soviet Union, with roughly 100 million admissions there across a decade of re-runs. Time later named Raj Kapoor's performance one of the ten greatest of all time.</t>
        </is>
      </c>
      <c r="AR5" s="5" t="inlineStr">
        <is>
          <t>SOURCE-001; SOURCE-004; SOURCE-128</t>
        </is>
      </c>
      <c r="AS5" s="5" t="inlineStr">
        <is>
          <t>Medium</t>
        </is>
      </c>
      <c r="AT5" s="5" t="inlineStr">
        <is>
          <t>Filmography notes: Child artist. Infobox gross '₹15.6 crore' has no nett/gross label and is not entered. Played the young Raj, the child version of Raj Kapoor's character. Domestic gross is the article's record Rs 2.1 crore for India in 1951; overseas gross is the Soviet initial run only, reported as 29 million roubles, US$7.25 million or Rs 3.45 crore, and excludes the much larger re-run business and the Chinese release, which the article gives only in footfalls. Kapoor's segment establishes the Raj-Rita friendship, but the romance is played by Raj Kapoor and Nargis, so no Romances row is created.</t>
        </is>
      </c>
    </row>
    <row r="6" ht="94" customHeight="1">
      <c r="A6" s="15" t="inlineStr">
        <is>
          <t>FILM-005</t>
        </is>
      </c>
      <c r="B6" s="5" t="inlineStr">
        <is>
          <t>Daana Paani</t>
        </is>
      </c>
      <c r="C6" s="5" t="inlineStr">
        <is>
          <t>1953</t>
        </is>
      </c>
      <c r="D6" s="17" t="n">
        <v>1953</v>
      </c>
      <c r="E6" s="5" t="inlineStr">
        <is>
          <t>1950s</t>
        </is>
      </c>
      <c r="F6" s="5" t="inlineStr">
        <is>
          <t>Hindi</t>
        </is>
      </c>
      <c r="G6" s="5" t="inlineStr">
        <is>
          <t>Drama</t>
        </is>
      </c>
      <c r="H6" s="5" t="n"/>
      <c r="I6" s="18" t="n"/>
      <c r="J6" s="5" t="inlineStr">
        <is>
          <t>V. M. Vyas</t>
        </is>
      </c>
      <c r="K6" s="5" t="n"/>
      <c r="L6" s="5" t="inlineStr">
        <is>
          <t>Sunrise Pictures Productions</t>
        </is>
      </c>
      <c r="M6" s="5" t="n"/>
      <c r="N6" s="5" t="n"/>
      <c r="O6" s="5" t="inlineStr">
        <is>
          <t>Mohan Junior</t>
        </is>
      </c>
      <c r="P6" s="5" t="n"/>
      <c r="Q6" s="5" t="inlineStr">
        <is>
          <t>Indeevar</t>
        </is>
      </c>
      <c r="R6" s="5" t="inlineStr">
        <is>
          <t>Master Shashiraj</t>
        </is>
      </c>
      <c r="S6" s="5" t="n"/>
      <c r="T6" s="5" t="inlineStr">
        <is>
          <t>Child role</t>
        </is>
      </c>
      <c r="U6" s="18" t="n"/>
      <c r="V6" s="5" t="inlineStr">
        <is>
          <t>Not documented</t>
        </is>
      </c>
      <c r="W6" s="5" t="n"/>
      <c r="X6" s="19" t="inlineStr">
        <is>
          <t>Billed as Master Shashiraj in a Meena Kumari and Bharat Bhushan vehicle made after their success in Baiju Bawra. The film article carries no plot section and describes the fifteen-year-old Kapoor's appearance only in passing, so the character's name, function and relation to the leads are not documented by any source located.</t>
        </is>
      </c>
      <c r="Y6" s="19" t="n"/>
      <c r="Z6" s="19" t="n"/>
      <c r="AA6" s="19" t="n"/>
      <c r="AB6" s="19" t="n"/>
      <c r="AC6" s="5" t="n"/>
      <c r="AD6" s="5" t="inlineStr">
        <is>
          <t>Meena Kumari</t>
        </is>
      </c>
      <c r="AE6" s="5" t="n"/>
      <c r="AF6" s="18" t="n"/>
      <c r="AG6" s="19" t="n"/>
      <c r="AH6" s="5" t="n"/>
      <c r="AI6" s="5" t="n"/>
      <c r="AJ6" s="5" t="n"/>
      <c r="AK6" s="5" t="n"/>
      <c r="AL6" s="5" t="n"/>
      <c r="AM6" s="5" t="n"/>
      <c r="AN6" s="5" t="inlineStr">
        <is>
          <t>Not documented</t>
        </is>
      </c>
      <c r="AO6" s="18" t="n"/>
      <c r="AP6" s="19" t="n"/>
      <c r="AQ6" s="19" t="n"/>
      <c r="AR6" s="5" t="inlineStr">
        <is>
          <t>SOURCE-001; SOURCE-005; SOURCE-128</t>
        </is>
      </c>
      <c r="AS6" s="5" t="inlineStr">
        <is>
          <t>Low</t>
        </is>
      </c>
      <c r="AT6" s="5" t="inlineStr">
        <is>
          <t>Filmography notes: Child artist. The film article has no plot section, so role type, romance presence and the character's function are left blank rather than inferred. This is the last of the five child-artist credits; Kapoor was fifteen at release and billed under the name Shashiraj.</t>
        </is>
      </c>
    </row>
    <row r="7" ht="109" customHeight="1">
      <c r="A7" s="15" t="inlineStr">
        <is>
          <t>FILM-006</t>
        </is>
      </c>
      <c r="B7" s="5" t="inlineStr">
        <is>
          <t>Char Diwari</t>
        </is>
      </c>
      <c r="C7" s="5" t="inlineStr">
        <is>
          <t>1961</t>
        </is>
      </c>
      <c r="D7" s="17" t="n">
        <v>1961</v>
      </c>
      <c r="E7" s="5" t="inlineStr">
        <is>
          <t>1960s</t>
        </is>
      </c>
      <c r="F7" s="5" t="n"/>
      <c r="G7" s="5" t="inlineStr">
        <is>
          <t>Drama</t>
        </is>
      </c>
      <c r="H7" s="5" t="n"/>
      <c r="I7" s="18" t="n"/>
      <c r="J7" s="5" t="n"/>
      <c r="K7" s="5" t="n"/>
      <c r="L7" s="5" t="n"/>
      <c r="M7" s="5" t="n"/>
      <c r="N7" s="5" t="n"/>
      <c r="O7" s="5" t="n"/>
      <c r="P7" s="5" t="n"/>
      <c r="Q7" s="5" t="n"/>
      <c r="R7" s="5" t="inlineStr">
        <is>
          <t>Sunil</t>
        </is>
      </c>
      <c r="S7" s="5" t="n"/>
      <c r="T7" s="5" t="inlineStr">
        <is>
          <t>Lead</t>
        </is>
      </c>
      <c r="U7" s="18" t="n"/>
      <c r="V7" s="5" t="n"/>
      <c r="W7" s="5" t="n"/>
      <c r="X7" s="19" t="inlineStr">
        <is>
          <t>Kapoor's second film as an adult lead, released in the same year as his debut Dharmputra. No Wikipedia article or other plot source was located, so only the character name Sunil, taken from his filmography, is documented. The Shashi Kapoor article records the film alongside Dharmputra as a commercial failure.</t>
        </is>
      </c>
      <c r="Y7" s="19" t="n"/>
      <c r="Z7" s="19" t="n"/>
      <c r="AA7" s="19" t="n"/>
      <c r="AB7" s="19" t="n"/>
      <c r="AC7" s="5" t="n"/>
      <c r="AD7" s="5" t="n"/>
      <c r="AE7" s="5" t="n"/>
      <c r="AF7" s="18" t="n"/>
      <c r="AG7" s="19" t="n"/>
      <c r="AH7" s="5" t="n"/>
      <c r="AI7" s="5" t="n"/>
      <c r="AJ7" s="5" t="n"/>
      <c r="AK7" s="5" t="n"/>
      <c r="AL7" s="5" t="n"/>
      <c r="AM7" s="5" t="n"/>
      <c r="AN7" s="5" t="inlineStr">
        <is>
          <t>Flop</t>
        </is>
      </c>
      <c r="AO7" s="18" t="n"/>
      <c r="AP7" s="19" t="n"/>
      <c r="AQ7" s="19" t="n"/>
      <c r="AR7" s="5" t="inlineStr">
        <is>
          <t>SOURCE-001; SOURCE-128</t>
        </is>
      </c>
      <c r="AS7" s="5" t="inlineStr">
        <is>
          <t>Low</t>
        </is>
      </c>
      <c r="AT7" s="5" t="inlineStr">
        <is>
          <t>No Wikipedia film article; fields come from the filmography table. No film article exists. Role type is recorded as Lead on the strength of the Shashi Kapoor article, which treats Char Diwari as one of his two 1961 starring vehicles; nothing else about the part is documented, so the narrative and romance fields are left blank rather than inferred.</t>
        </is>
      </c>
    </row>
    <row r="8" ht="124" customHeight="1">
      <c r="A8" s="15" t="inlineStr">
        <is>
          <t>FILM-007</t>
        </is>
      </c>
      <c r="B8" s="5" t="inlineStr">
        <is>
          <t>Dharmputra</t>
        </is>
      </c>
      <c r="C8" s="5" t="inlineStr">
        <is>
          <t>1961</t>
        </is>
      </c>
      <c r="D8" s="17" t="n">
        <v>1961</v>
      </c>
      <c r="E8" s="5" t="inlineStr">
        <is>
          <t>1960s</t>
        </is>
      </c>
      <c r="F8" s="5" t="inlineStr">
        <is>
          <t>Hindi</t>
        </is>
      </c>
      <c r="G8" s="5" t="inlineStr">
        <is>
          <t>Political drama</t>
        </is>
      </c>
      <c r="H8" s="5" t="inlineStr">
        <is>
          <t>Partition drama</t>
        </is>
      </c>
      <c r="I8" s="18" t="n"/>
      <c r="J8" s="5" t="inlineStr">
        <is>
          <t>Yash Chopra</t>
        </is>
      </c>
      <c r="K8" s="5" t="inlineStr">
        <is>
          <t>B. R. Chopra</t>
        </is>
      </c>
      <c r="L8" s="5" t="inlineStr">
        <is>
          <t>B. R. Films</t>
        </is>
      </c>
      <c r="M8" s="5" t="inlineStr">
        <is>
          <t>B. R. Films Story Department; Akhtar-Ul-Iman</t>
        </is>
      </c>
      <c r="N8" s="5" t="inlineStr">
        <is>
          <t>Based on the novel Dharmputra by Acharya Chatursen.</t>
        </is>
      </c>
      <c r="O8" s="5" t="inlineStr">
        <is>
          <t>N. Dutta</t>
        </is>
      </c>
      <c r="P8" s="5" t="n"/>
      <c r="Q8" s="5" t="inlineStr">
        <is>
          <t>Sahir Ludhianvi</t>
        </is>
      </c>
      <c r="R8" s="5" t="inlineStr">
        <is>
          <t>Dilip Rai</t>
        </is>
      </c>
      <c r="S8" s="5" t="n"/>
      <c r="T8" s="5" t="inlineStr">
        <is>
          <t>Lead</t>
        </is>
      </c>
      <c r="U8" s="20" t="n">
        <v>2</v>
      </c>
      <c r="V8" s="5" t="inlineStr">
        <is>
          <t>Student and political agitator</t>
        </is>
      </c>
      <c r="W8" s="5" t="inlineStr">
        <is>
          <t>Born to an unmarried Muslim mother, Husn Bano, and adopted at birth into the Hindu Rai family</t>
        </is>
      </c>
      <c r="X8" s="19" t="inlineStr">
        <is>
          <t>Kapoor's debut as an adult lead is the title role: Dilip Rai, the adored child of two intertwined Delhi households who grows into a Hindu fundamentalist, joining extremists who burn buildings and kill Muslims to drive them from India. The film's engine is that Dilip is himself the illegitimate son of the Muslim woman he now despises, a fact he does not know.</t>
        </is>
      </c>
      <c r="Y8" s="19" t="inlineStr">
        <is>
          <t>To rid India of its Muslims, which he believes is a religious duty.</t>
        </is>
      </c>
      <c r="Z8" s="19" t="inlineStr">
        <is>
          <t>His militant Hindu identity against the Muslim parentage concealed from him.</t>
        </is>
      </c>
      <c r="AA8" s="19" t="inlineStr">
        <is>
          <t>From beloved child of a shared Hindu-Muslim household to communal militant, confronted at last with a birth that refutes the ideology he has adopted.</t>
        </is>
      </c>
      <c r="AB8" s="19" t="inlineStr">
        <is>
          <t>Antagonistic within a sympathetic frame</t>
        </is>
      </c>
      <c r="AC8" s="5" t="inlineStr">
        <is>
          <t>Forced into the knowledge of his own origins as the partition riots close in.</t>
        </is>
      </c>
      <c r="AD8" s="5" t="inlineStr">
        <is>
          <t>Mala Sinha</t>
        </is>
      </c>
      <c r="AE8" s="5" t="inlineStr">
        <is>
          <t>None</t>
        </is>
      </c>
      <c r="AF8" s="20" t="n">
        <v>4</v>
      </c>
      <c r="AG8" s="19" t="inlineStr">
        <is>
          <t>No meaningful romance</t>
        </is>
      </c>
      <c r="AH8" s="5" t="n"/>
      <c r="AI8" s="5" t="n"/>
      <c r="AJ8" s="5" t="n"/>
      <c r="AK8" s="5" t="n"/>
      <c r="AL8" s="5" t="n"/>
      <c r="AM8" s="5" t="n"/>
      <c r="AN8" s="5" t="inlineStr">
        <is>
          <t>Flop</t>
        </is>
      </c>
      <c r="AO8" s="18" t="n"/>
      <c r="AP8" s="19" t="inlineStr">
        <is>
          <t>The film article reports that its reconstruction of partition rioting and sloganeering provoked riot-like scenes in theatres and that the film failed commercially.</t>
        </is>
      </c>
      <c r="AQ8" s="19" t="inlineStr">
        <is>
          <t>Yash Chopra's second film as director and the first Hindi film to treat the partition of India and Hindu fundamentalism directly.</t>
        </is>
      </c>
      <c r="AR8" s="5" t="inlineStr">
        <is>
          <t>SOURCE-001; SOURCE-006; SOURCE-128</t>
        </is>
      </c>
      <c r="AS8" s="5" t="inlineStr">
        <is>
          <t>Medium</t>
        </is>
      </c>
      <c r="AT8" s="5" t="inlineStr">
        <is>
          <t>The romance in the film belongs to the previous generation, Husn Bano and Javed, and is played by Mala Sinha and Rehman. The article's plot section documents no romance for Dilip Rai; Indrani Mukherjee is credited as Meena, but no source located establishes her relationship to his character, so no Romances row is created and romance presence is recorded as None rather than inferred from billing.</t>
        </is>
      </c>
    </row>
    <row r="9" ht="154" customHeight="1">
      <c r="A9" s="15" t="inlineStr">
        <is>
          <t>FILM-008</t>
        </is>
      </c>
      <c r="B9" s="5" t="inlineStr">
        <is>
          <t>Prem Patra</t>
        </is>
      </c>
      <c r="C9" s="5" t="inlineStr">
        <is>
          <t>1962</t>
        </is>
      </c>
      <c r="D9" s="17" t="n">
        <v>1962</v>
      </c>
      <c r="E9" s="5" t="inlineStr">
        <is>
          <t>1960s</t>
        </is>
      </c>
      <c r="F9" s="5" t="inlineStr">
        <is>
          <t>Hindi</t>
        </is>
      </c>
      <c r="G9" s="5" t="inlineStr">
        <is>
          <t>Romantic drama</t>
        </is>
      </c>
      <c r="H9" s="5" t="n"/>
      <c r="I9" s="18" t="n"/>
      <c r="J9" s="5" t="inlineStr">
        <is>
          <t>Bimal Roy</t>
        </is>
      </c>
      <c r="K9" s="5" t="inlineStr">
        <is>
          <t>Bimal Roy</t>
        </is>
      </c>
      <c r="L9" s="5" t="n"/>
      <c r="M9" s="5" t="inlineStr">
        <is>
          <t>Debabrata Sengupta; Salil Chowdhury; Rajinder Krishan; Nitan Bhattacharya</t>
        </is>
      </c>
      <c r="N9" s="5" t="inlineStr">
        <is>
          <t>Based on Sagarika (Bengali)</t>
        </is>
      </c>
      <c r="O9" s="5" t="inlineStr">
        <is>
          <t>Salil Chowdhury</t>
        </is>
      </c>
      <c r="P9" s="5" t="n"/>
      <c r="Q9" s="5" t="n"/>
      <c r="R9" s="5" t="inlineStr">
        <is>
          <t>Arun Kumar Mathur</t>
        </is>
      </c>
      <c r="S9" s="5" t="n"/>
      <c r="T9" s="5" t="inlineStr">
        <is>
          <t>Lead</t>
        </is>
      </c>
      <c r="U9" s="20" t="n">
        <v>1</v>
      </c>
      <c r="V9" s="5" t="inlineStr">
        <is>
          <t>Not documented</t>
        </is>
      </c>
      <c r="W9" s="5" t="n"/>
      <c r="X9" s="19" t="inlineStr">
        <is>
          <t>Kapoor takes the male lead in Bimal Roy's romantic drama, whose title means 'the love letter', opposite Sadhana in a double part as Kavita Kapoor and Tara Choudhary. The film article carries no plot or synopsis section, so the shape of the courtship, the function of Sadhana's two identities and the outcome are not documented by any source located.</t>
        </is>
      </c>
      <c r="Y9" s="19" t="n"/>
      <c r="Z9" s="19" t="n"/>
      <c r="AA9" s="19" t="n"/>
      <c r="AB9" s="19" t="n"/>
      <c r="AC9" s="5" t="n"/>
      <c r="AD9" s="5" t="inlineStr">
        <is>
          <t>Sadhana</t>
        </is>
      </c>
      <c r="AE9" s="5" t="inlineStr">
        <is>
          <t>Central</t>
        </is>
      </c>
      <c r="AF9" s="20" t="n">
        <v>9</v>
      </c>
      <c r="AG9" s="19" t="n"/>
      <c r="AH9" s="5" t="n"/>
      <c r="AI9" s="5" t="n"/>
      <c r="AJ9" s="5" t="n"/>
      <c r="AK9" s="5" t="n"/>
      <c r="AL9" s="5" t="n"/>
      <c r="AM9" s="5" t="n"/>
      <c r="AN9" s="5" t="inlineStr">
        <is>
          <t>Minor success</t>
        </is>
      </c>
      <c r="AO9" s="18" t="n"/>
      <c r="AP9" s="19" t="n"/>
      <c r="AQ9" s="19" t="n"/>
      <c r="AR9" s="5" t="inlineStr">
        <is>
          <t>SOURCE-001; SOURCE-007; SOURCE-128</t>
        </is>
      </c>
      <c r="AS9" s="5" t="inlineStr">
        <is>
          <t>Low</t>
        </is>
      </c>
      <c r="AT9" s="5" t="inlineStr">
        <is>
          <t>Infobox gross '₹ 3.8 million' has no nett/gross label and is not entered. Romance presence is recorded as Central on the strength of the title, the article's genre description as a romantic drama and the billing of Kapoor and Sadhana as its leads. No Romances row is created: the article has no plot section, so the relationship cannot be scored honestly, and the overall relationship classification is left blank for the same reason. The Shashi Kapoor article calls the film a minor success.</t>
        </is>
      </c>
    </row>
    <row r="10" ht="124" customHeight="1">
      <c r="A10" s="15" t="inlineStr">
        <is>
          <t>FILM-009</t>
        </is>
      </c>
      <c r="B10" s="5" t="inlineStr">
        <is>
          <t>Mehndi Lagi Mere Haath</t>
        </is>
      </c>
      <c r="C10" s="5" t="inlineStr">
        <is>
          <t>1962</t>
        </is>
      </c>
      <c r="D10" s="17" t="n">
        <v>1962</v>
      </c>
      <c r="E10" s="5" t="inlineStr">
        <is>
          <t>1960s</t>
        </is>
      </c>
      <c r="F10" s="5" t="n"/>
      <c r="G10" s="5" t="inlineStr">
        <is>
          <t>Drama</t>
        </is>
      </c>
      <c r="H10" s="5" t="n"/>
      <c r="I10" s="18" t="n"/>
      <c r="J10" s="5" t="n"/>
      <c r="K10" s="5" t="n"/>
      <c r="L10" s="5" t="n"/>
      <c r="M10" s="5" t="n"/>
      <c r="N10" s="5" t="n"/>
      <c r="O10" s="5" t="n"/>
      <c r="P10" s="5" t="n"/>
      <c r="Q10" s="5" t="n"/>
      <c r="R10" s="5" t="inlineStr">
        <is>
          <t>Deepak</t>
        </is>
      </c>
      <c r="S10" s="5" t="n"/>
      <c r="T10" s="5" t="n"/>
      <c r="U10" s="18" t="n"/>
      <c r="V10" s="5" t="n"/>
      <c r="W10" s="5" t="n"/>
      <c r="X10" s="19" t="inlineStr">
        <is>
          <t>No Wikipedia article or other plot source was located for this film, and the Shashi Kapoor article does not mention it. Only the character name Deepak, taken from his filmography, is documented; the size of the part, the cast opposite him and the film's commercial result are all unrecorded.</t>
        </is>
      </c>
      <c r="Y10" s="19" t="n"/>
      <c r="Z10" s="19" t="n"/>
      <c r="AA10" s="19" t="n"/>
      <c r="AB10" s="19" t="n"/>
      <c r="AC10" s="5" t="n"/>
      <c r="AD10" s="5" t="n"/>
      <c r="AE10" s="5" t="n"/>
      <c r="AF10" s="18" t="n"/>
      <c r="AG10" s="19" t="n"/>
      <c r="AH10" s="5" t="n"/>
      <c r="AI10" s="5" t="n"/>
      <c r="AJ10" s="5" t="n"/>
      <c r="AK10" s="5" t="n"/>
      <c r="AL10" s="5" t="n"/>
      <c r="AM10" s="5" t="n"/>
      <c r="AN10" s="5" t="n"/>
      <c r="AO10" s="18" t="n"/>
      <c r="AP10" s="19" t="n"/>
      <c r="AQ10" s="19" t="n"/>
      <c r="AR10" s="5" t="inlineStr">
        <is>
          <t>SOURCE-001</t>
        </is>
      </c>
      <c r="AS10" s="5" t="inlineStr">
        <is>
          <t>Unknown</t>
        </is>
      </c>
      <c r="AT10" s="5" t="inlineStr">
        <is>
          <t>No Wikipedia film article; fields come from the filmography table. No film article exists and the biographical article is silent on this title, so role type, narrative fields and romance fields are left blank rather than inferred. The title translates as 'henna on my hands', wedding imagery that suggests a romance, but that is not evidence of the character's function and is not recorded as such.</t>
        </is>
      </c>
    </row>
    <row r="11" ht="109" customHeight="1">
      <c r="A11" s="15" t="inlineStr">
        <is>
          <t>FILM-010</t>
        </is>
      </c>
      <c r="B11" s="5" t="inlineStr">
        <is>
          <t>The Householder</t>
        </is>
      </c>
      <c r="C11" s="5" t="inlineStr">
        <is>
          <t>1963</t>
        </is>
      </c>
      <c r="D11" s="17" t="n">
        <v>1963</v>
      </c>
      <c r="E11" s="5" t="inlineStr">
        <is>
          <t>1960s</t>
        </is>
      </c>
      <c r="F11" s="5" t="inlineStr">
        <is>
          <t>English; Hindi</t>
        </is>
      </c>
      <c r="G11" s="5" t="inlineStr">
        <is>
          <t>Drama</t>
        </is>
      </c>
      <c r="H11" s="5" t="inlineStr">
        <is>
          <t>Domestic comedy-drama</t>
        </is>
      </c>
      <c r="I11" s="17" t="n">
        <v>101</v>
      </c>
      <c r="J11" s="5" t="inlineStr">
        <is>
          <t>James Ivory</t>
        </is>
      </c>
      <c r="K11" s="5" t="inlineStr">
        <is>
          <t>Ismail Merchant</t>
        </is>
      </c>
      <c r="L11" s="5" t="n"/>
      <c r="M11" s="5" t="inlineStr">
        <is>
          <t>Ruth Prawer Jhabvala; James Ivory</t>
        </is>
      </c>
      <c r="N11" s="5" t="inlineStr">
        <is>
          <t>Based on Ruth Prawer Jhabvala's 1960 novel The Householder.</t>
        </is>
      </c>
      <c r="O11" s="5" t="inlineStr">
        <is>
          <t>Ustad Ali Akbar Khan</t>
        </is>
      </c>
      <c r="P11" s="5" t="inlineStr">
        <is>
          <t>Vanraj Bhatia</t>
        </is>
      </c>
      <c r="Q11" s="5" t="n"/>
      <c r="R11" s="5" t="inlineStr">
        <is>
          <t>Prem Sagar</t>
        </is>
      </c>
      <c r="S11" s="5" t="n"/>
      <c r="T11" s="5" t="inlineStr">
        <is>
          <t>Lead</t>
        </is>
      </c>
      <c r="U11" s="20" t="n">
        <v>1</v>
      </c>
      <c r="V11" s="5" t="inlineStr">
        <is>
          <t>Teacher at a private college in Delhi</t>
        </is>
      </c>
      <c r="W11" s="5" t="inlineStr">
        <is>
          <t>Lower-middle-class salaried household, dependent on and dominated by his mother</t>
        </is>
      </c>
      <c r="X11" s="19" t="inlineStr">
        <is>
          <t>Prem Sagar is a young Delhi college teacher who has married Indu by arrangement and has no idea how to be a husband. When his mother arrives and takes over the household, Indu leaves for her family. Prem casts about among colleagues, a landlord and finally a swami for instruction in marriage, and arrives at the maturity to love his own wife. Kapoor's first English-language film.</t>
        </is>
      </c>
      <c r="Y11" s="19" t="inlineStr">
        <is>
          <t>To understand what is required of him as a husband and a householder.</t>
        </is>
      </c>
      <c r="Z11" s="19" t="inlineStr">
        <is>
          <t>His deference to his mother against his obligation to his wife.</t>
        </is>
      </c>
      <c r="AA11" s="19" t="inlineStr">
        <is>
          <t>From an immature husband who cannot take his wife's side to one who can; the film's subject is precisely that growth.</t>
        </is>
      </c>
      <c r="AB11" s="19" t="inlineStr">
        <is>
          <t>Good but weak, then resolved</t>
        </is>
      </c>
      <c r="AC11" s="5" t="inlineStr">
        <is>
          <t>Reconciled with Indu, having grown into the marriage.</t>
        </is>
      </c>
      <c r="AD11" s="5" t="inlineStr">
        <is>
          <t>Leela Naidu</t>
        </is>
      </c>
      <c r="AE11" s="5" t="inlineStr">
        <is>
          <t>Central</t>
        </is>
      </c>
      <c r="AF11" s="20" t="n">
        <v>9</v>
      </c>
      <c r="AG11" s="19" t="inlineStr">
        <is>
          <t>Marriage under strain</t>
        </is>
      </c>
      <c r="AH11" s="21" t="n">
        <v>0.125</v>
      </c>
      <c r="AI11" s="5" t="n"/>
      <c r="AJ11" s="5" t="n"/>
      <c r="AK11" s="5" t="n"/>
      <c r="AL11" s="5" t="n"/>
      <c r="AM11" s="5" t="inlineStr">
        <is>
          <t>USD million</t>
        </is>
      </c>
      <c r="AN11" s="5" t="inlineStr">
        <is>
          <t>Not documented</t>
        </is>
      </c>
      <c r="AO11" s="18" t="n"/>
      <c r="AP11" s="19" t="inlineStr">
        <is>
          <t>No contemporary review was located in the sources consulted.</t>
        </is>
      </c>
      <c r="AQ11" s="19" t="inlineStr">
        <is>
          <t>The first Merchant Ivory feature and James Ivory's directorial debut, beginning a working relationship with Kapoor that ran for two decades.</t>
        </is>
      </c>
      <c r="AR11" s="5" t="inlineStr">
        <is>
          <t>SOURCE-001; SOURCE-008; SOURCE-128</t>
        </is>
      </c>
      <c r="AS11" s="5" t="inlineStr">
        <is>
          <t>Medium</t>
        </is>
      </c>
      <c r="AT11" s="5" t="inlineStr">
        <is>
          <t>Filmography notes: English film. The budget is held in the currency the source reports, US dollars (USD million), not converted to rupees, per the rule that the original reported currency and nominal amount are preserved. The batch merge flags any money field not denominated in INR crore, so that flag is expected on this row.</t>
        </is>
      </c>
    </row>
    <row r="12" ht="139" customHeight="1">
      <c r="A12" s="15" t="inlineStr">
        <is>
          <t>FILM-011</t>
        </is>
      </c>
      <c r="B12" s="5" t="inlineStr">
        <is>
          <t>Yeh Dil Kisko Doon</t>
        </is>
      </c>
      <c r="C12" s="5" t="inlineStr">
        <is>
          <t>1963</t>
        </is>
      </c>
      <c r="D12" s="17" t="n">
        <v>1963</v>
      </c>
      <c r="E12" s="5" t="inlineStr">
        <is>
          <t>1960s</t>
        </is>
      </c>
      <c r="F12" s="5" t="inlineStr">
        <is>
          <t>Hindi</t>
        </is>
      </c>
      <c r="G12" s="5" t="inlineStr">
        <is>
          <t>Romantic comedy</t>
        </is>
      </c>
      <c r="H12" s="5" t="n"/>
      <c r="I12" s="18" t="n"/>
      <c r="J12" s="5" t="inlineStr">
        <is>
          <t>Kanak Mishra</t>
        </is>
      </c>
      <c r="K12" s="5" t="inlineStr">
        <is>
          <t>B. D. Kapoor</t>
        </is>
      </c>
      <c r="L12" s="5" t="inlineStr">
        <is>
          <t>Bindu Kala Mandir</t>
        </is>
      </c>
      <c r="M12" s="5" t="inlineStr">
        <is>
          <t>Kanak Mishra</t>
        </is>
      </c>
      <c r="N12" s="5" t="n"/>
      <c r="O12" s="5" t="inlineStr">
        <is>
          <t>Iqbal Qureshi</t>
        </is>
      </c>
      <c r="P12" s="5" t="n"/>
      <c r="Q12" s="5" t="n"/>
      <c r="R12" s="5" t="inlineStr">
        <is>
          <t>Anand</t>
        </is>
      </c>
      <c r="S12" s="5" t="inlineStr">
        <is>
          <t>Raja</t>
        </is>
      </c>
      <c r="T12" s="5" t="inlineStr">
        <is>
          <t>Lead</t>
        </is>
      </c>
      <c r="U12" s="20" t="n">
        <v>1</v>
      </c>
      <c r="V12" s="5" t="inlineStr">
        <is>
          <t>Not documented</t>
        </is>
      </c>
      <c r="W12" s="5" t="n"/>
      <c r="X12" s="19" t="inlineStr">
        <is>
          <t>Kapoor plays Anand, with Raja as a second identity, opposite Ragini's Sherry in a romantic comedy remembered chiefly for its songs. The film article gives a cast list but no plot or synopsis section, so the nature of the double identity, the course of the romance and the resolution are not documented by any source located.</t>
        </is>
      </c>
      <c r="Y12" s="19" t="n"/>
      <c r="Z12" s="19" t="n"/>
      <c r="AA12" s="19" t="n"/>
      <c r="AB12" s="19" t="n"/>
      <c r="AC12" s="5" t="n"/>
      <c r="AD12" s="5" t="inlineStr">
        <is>
          <t>Ragini</t>
        </is>
      </c>
      <c r="AE12" s="5" t="inlineStr">
        <is>
          <t>Central</t>
        </is>
      </c>
      <c r="AF12" s="20" t="n">
        <v>8</v>
      </c>
      <c r="AG12" s="19" t="n"/>
      <c r="AH12" s="5" t="n"/>
      <c r="AI12" s="5" t="n"/>
      <c r="AJ12" s="5" t="n"/>
      <c r="AK12" s="5" t="n"/>
      <c r="AL12" s="5" t="n"/>
      <c r="AM12" s="5" t="n"/>
      <c r="AN12" s="5" t="inlineStr">
        <is>
          <t>Minor success</t>
        </is>
      </c>
      <c r="AO12" s="18" t="n"/>
      <c r="AP12" s="19" t="n"/>
      <c r="AQ12" s="19" t="n"/>
      <c r="AR12" s="5" t="inlineStr">
        <is>
          <t>SOURCE-001; SOURCE-009; SOURCE-128</t>
        </is>
      </c>
      <c r="AS12" s="5" t="inlineStr">
        <is>
          <t>Low</t>
        </is>
      </c>
      <c r="AT12" s="5" t="inlineStr">
        <is>
          <t>Romance presence is recorded as Central on the strength of the article's description of the film as a romantic comedy, the title, which translates as 'to whom should I give this heart', and the billing of Kapoor and Ragini as leads. No Romances row is created and the relationship classification is left blank, because the article has no plot section and the relationship cannot be scored honestly. The Shashi Kapoor article calls the film a minor success.</t>
        </is>
      </c>
    </row>
    <row r="13" ht="79" customHeight="1">
      <c r="A13" s="15" t="inlineStr">
        <is>
          <t>FILM-012</t>
        </is>
      </c>
      <c r="B13" s="5" t="inlineStr">
        <is>
          <t>Jab Se Tumhen Dekha Hai</t>
        </is>
      </c>
      <c r="C13" s="5" t="inlineStr">
        <is>
          <t>1963</t>
        </is>
      </c>
      <c r="D13" s="17" t="n">
        <v>1963</v>
      </c>
      <c r="E13" s="5" t="inlineStr">
        <is>
          <t>1960s</t>
        </is>
      </c>
      <c r="F13" s="5" t="n"/>
      <c r="G13" s="5" t="inlineStr">
        <is>
          <t>Drama</t>
        </is>
      </c>
      <c r="H13" s="5" t="n"/>
      <c r="I13" s="18" t="n"/>
      <c r="J13" s="5" t="n"/>
      <c r="K13" s="5" t="n"/>
      <c r="L13" s="5" t="n"/>
      <c r="M13" s="5" t="n"/>
      <c r="N13" s="5" t="n"/>
      <c r="O13" s="5" t="n"/>
      <c r="P13" s="5" t="n"/>
      <c r="Q13" s="5" t="n"/>
      <c r="R13" s="5" t="inlineStr">
        <is>
          <t>Qawwali singer</t>
        </is>
      </c>
      <c r="S13" s="5" t="n"/>
      <c r="T13" s="5" t="inlineStr">
        <is>
          <t>Cameo</t>
        </is>
      </c>
      <c r="U13" s="18" t="n"/>
      <c r="V13" s="5" t="inlineStr">
        <is>
          <t>Qawwali singer</t>
        </is>
      </c>
      <c r="W13" s="5" t="n"/>
      <c r="X13" s="19" t="inlineStr">
        <is>
          <t>A guest appearance as a qawwali singer. No Wikipedia article or other plot source was located, so the setting of the qawwali, its place in the film and everyone Kapoor appears with are undocumented; the filmography records only the function and marks it a guest appearance.</t>
        </is>
      </c>
      <c r="Y13" s="19" t="n"/>
      <c r="Z13" s="19" t="n"/>
      <c r="AA13" s="19" t="n"/>
      <c r="AB13" s="19" t="n"/>
      <c r="AC13" s="5" t="n"/>
      <c r="AD13" s="5" t="n"/>
      <c r="AE13" s="5" t="inlineStr">
        <is>
          <t>None</t>
        </is>
      </c>
      <c r="AF13" s="18" t="n"/>
      <c r="AG13" s="19" t="inlineStr">
        <is>
          <t>No meaningful romance</t>
        </is>
      </c>
      <c r="AH13" s="5" t="n"/>
      <c r="AI13" s="5" t="n"/>
      <c r="AJ13" s="5" t="n"/>
      <c r="AK13" s="5" t="n"/>
      <c r="AL13" s="5" t="n"/>
      <c r="AM13" s="5" t="n"/>
      <c r="AN13" s="5" t="n"/>
      <c r="AO13" s="18" t="n"/>
      <c r="AP13" s="19" t="n"/>
      <c r="AQ13" s="19" t="n"/>
      <c r="AR13" s="5" t="inlineStr">
        <is>
          <t>SOURCE-001</t>
        </is>
      </c>
      <c r="AS13" s="5" t="inlineStr">
        <is>
          <t>Low</t>
        </is>
      </c>
      <c r="AT13" s="5" t="inlineStr">
        <is>
          <t>Filmography notes: Guest appearance. No Wikipedia film article; fields come from the filmography table. No film article exists. Role type is Cameo on the filmography's own description of the credit as a guest appearance in a single musical number.</t>
        </is>
      </c>
    </row>
    <row r="14" ht="79" customHeight="1">
      <c r="A14" s="15" t="inlineStr">
        <is>
          <t>FILM-013</t>
        </is>
      </c>
      <c r="B14" s="5" t="inlineStr">
        <is>
          <t>Holiday in Bombay</t>
        </is>
      </c>
      <c r="C14" s="5" t="inlineStr">
        <is>
          <t>1963</t>
        </is>
      </c>
      <c r="D14" s="17" t="n">
        <v>1963</v>
      </c>
      <c r="E14" s="5" t="inlineStr">
        <is>
          <t>1960s</t>
        </is>
      </c>
      <c r="F14" s="5" t="n"/>
      <c r="G14" s="5" t="inlineStr">
        <is>
          <t>Drama</t>
        </is>
      </c>
      <c r="H14" s="5" t="n"/>
      <c r="I14" s="18" t="n"/>
      <c r="J14" s="5" t="n"/>
      <c r="K14" s="5" t="n"/>
      <c r="L14" s="5" t="n"/>
      <c r="M14" s="5" t="n"/>
      <c r="N14" s="5" t="n"/>
      <c r="O14" s="5" t="n"/>
      <c r="P14" s="5" t="n"/>
      <c r="Q14" s="5" t="n"/>
      <c r="R14" s="5" t="inlineStr">
        <is>
          <t>Nath</t>
        </is>
      </c>
      <c r="S14" s="5" t="n"/>
      <c r="T14" s="5" t="n"/>
      <c r="U14" s="18" t="n"/>
      <c r="V14" s="5" t="n"/>
      <c r="W14" s="5" t="n"/>
      <c r="X14" s="19" t="inlineStr">
        <is>
          <t>No Wikipedia article or other plot source was located for this film, and the Shashi Kapoor article does not mention it. Only the character name Nath, taken from his filmography, is documented; the size of the part, the cast opposite him and the film's reception are all unrecorded.</t>
        </is>
      </c>
      <c r="Y14" s="19" t="n"/>
      <c r="Z14" s="19" t="n"/>
      <c r="AA14" s="19" t="n"/>
      <c r="AB14" s="19" t="n"/>
      <c r="AC14" s="5" t="n"/>
      <c r="AD14" s="5" t="n"/>
      <c r="AE14" s="5" t="n"/>
      <c r="AF14" s="18" t="n"/>
      <c r="AG14" s="19" t="n"/>
      <c r="AH14" s="5" t="n"/>
      <c r="AI14" s="5" t="n"/>
      <c r="AJ14" s="5" t="n"/>
      <c r="AK14" s="5" t="n"/>
      <c r="AL14" s="5" t="n"/>
      <c r="AM14" s="5" t="n"/>
      <c r="AN14" s="5" t="n"/>
      <c r="AO14" s="18" t="n"/>
      <c r="AP14" s="19" t="n"/>
      <c r="AQ14" s="19" t="n"/>
      <c r="AR14" s="5" t="inlineStr">
        <is>
          <t>SOURCE-001</t>
        </is>
      </c>
      <c r="AS14" s="5" t="inlineStr">
        <is>
          <t>Unknown</t>
        </is>
      </c>
      <c r="AT14" s="5" t="inlineStr">
        <is>
          <t>No Wikipedia film article; fields come from the filmography table. No film article exists and the biographical article is silent on this title, so role type, narrative fields and romance fields are left blank rather than inferred.</t>
        </is>
      </c>
    </row>
    <row r="15" ht="109" customHeight="1">
      <c r="A15" s="15" t="inlineStr">
        <is>
          <t>FILM-014</t>
        </is>
      </c>
      <c r="B15" s="5" t="inlineStr">
        <is>
          <t>Benazir</t>
        </is>
      </c>
      <c r="C15" s="5" t="inlineStr">
        <is>
          <t>1964</t>
        </is>
      </c>
      <c r="D15" s="17" t="n">
        <v>1964</v>
      </c>
      <c r="E15" s="5" t="inlineStr">
        <is>
          <t>1960s</t>
        </is>
      </c>
      <c r="F15" s="5" t="inlineStr">
        <is>
          <t>Hindi</t>
        </is>
      </c>
      <c r="G15" s="5" t="inlineStr">
        <is>
          <t>Melodrama</t>
        </is>
      </c>
      <c r="H15" s="5" t="inlineStr">
        <is>
          <t>Muslim social</t>
        </is>
      </c>
      <c r="I15" s="18" t="n"/>
      <c r="J15" s="5" t="inlineStr">
        <is>
          <t>S. Khalil</t>
        </is>
      </c>
      <c r="K15" s="5" t="inlineStr">
        <is>
          <t>Bimal Roy Productions</t>
        </is>
      </c>
      <c r="L15" s="5" t="n"/>
      <c r="M15" s="5" t="n"/>
      <c r="N15" s="5" t="n"/>
      <c r="O15" s="5" t="inlineStr">
        <is>
          <t>S. D. Burman</t>
        </is>
      </c>
      <c r="P15" s="5" t="n"/>
      <c r="Q15" s="5" t="inlineStr">
        <is>
          <t>Shakeel Badayuni</t>
        </is>
      </c>
      <c r="R15" s="5" t="inlineStr">
        <is>
          <t>Anwar</t>
        </is>
      </c>
      <c r="S15" s="5" t="n"/>
      <c r="T15" s="5" t="inlineStr">
        <is>
          <t>Supporting</t>
        </is>
      </c>
      <c r="U15" s="20" t="n">
        <v>3</v>
      </c>
      <c r="V15" s="5" t="inlineStr">
        <is>
          <t>Not documented; a bachelor of an upper-class household</t>
        </is>
      </c>
      <c r="W15" s="5" t="inlineStr">
        <is>
          <t>Upper-class Muslim family; the younger of two brothers</t>
        </is>
      </c>
      <c r="X15" s="19" t="inlineStr">
        <is>
          <t>Anwar is the unmarried younger brother in an upper-class Muslim household. He sees Sahida, falls in love and proposes marriage to her. The plot turns when his married brother Nawab, who keeps the courtesan Benazir as his mistress, is told that Anwar has been visiting her, and then sees Benazir in Anwar's arms, unable to grasp why his brother would do this when he already loves Sahida.</t>
        </is>
      </c>
      <c r="Y15" s="19" t="inlineStr">
        <is>
          <t>To marry Sahida.</t>
        </is>
      </c>
      <c r="Z15" s="19" t="inlineStr">
        <is>
          <t>His brother's suspicion that he has taken up with Benazir.</t>
        </is>
      </c>
      <c r="AA15" s="19" t="inlineStr">
        <is>
          <t>Largely static; the part is brief and functions to trigger the brothers' rupture.</t>
        </is>
      </c>
      <c r="AB15" s="19" t="inlineStr">
        <is>
          <t>Good</t>
        </is>
      </c>
      <c r="AC15" s="5" t="inlineStr">
        <is>
          <t>Not resolved by the article's storyline summary.</t>
        </is>
      </c>
      <c r="AD15" s="5" t="inlineStr">
        <is>
          <t>Meena Kumari; Tanuja</t>
        </is>
      </c>
      <c r="AE15" s="5" t="inlineStr">
        <is>
          <t>Secondary</t>
        </is>
      </c>
      <c r="AF15" s="20" t="n">
        <v>8</v>
      </c>
      <c r="AG15" s="19" t="inlineStr">
        <is>
          <t>Romance subordinate to another genre</t>
        </is>
      </c>
      <c r="AH15" s="5" t="n"/>
      <c r="AI15" s="5" t="n"/>
      <c r="AJ15" s="5" t="n"/>
      <c r="AK15" s="5" t="n"/>
      <c r="AL15" s="5" t="n"/>
      <c r="AM15" s="5" t="n"/>
      <c r="AN15" s="5" t="inlineStr">
        <is>
          <t>Not documented</t>
        </is>
      </c>
      <c r="AO15" s="18" t="n"/>
      <c r="AP15" s="19" t="inlineStr">
        <is>
          <t>A retrospective notice quoted in the film article holds that Kapoor as Anwar and Tanuja as Sahida make only brief appearances but do justice to their roles as a beautiful young cheerful pair.</t>
        </is>
      </c>
      <c r="AQ15" s="19" t="n"/>
      <c r="AR15" s="5" t="inlineStr">
        <is>
          <t>SOURCE-001; SOURCE-010; SOURCE-128</t>
        </is>
      </c>
      <c r="AS15" s="5" t="inlineStr">
        <is>
          <t>Low</t>
        </is>
      </c>
      <c r="AT15" s="5" t="inlineStr">
        <is>
          <t>The film's title romance is Nawab's with Benazir, played by Ashok Kumar and Meena Kumari; Kapoor's is the secondary pairing. The storyline summary is short and the article has no full plot section, so the Anwar-Benazir misunderstanding is recorded as the summary states it, without any claim that Anwar has a romantic interest in Benazir.</t>
        </is>
      </c>
    </row>
    <row r="16" ht="94" customHeight="1">
      <c r="A16" s="15" t="inlineStr">
        <is>
          <t>FILM-015</t>
        </is>
      </c>
      <c r="B16" s="5" t="inlineStr">
        <is>
          <t>Shakespeare Wallah</t>
        </is>
      </c>
      <c r="C16" s="5" t="inlineStr">
        <is>
          <t>1965</t>
        </is>
      </c>
      <c r="D16" s="17" t="n">
        <v>1965</v>
      </c>
      <c r="E16" s="5" t="inlineStr">
        <is>
          <t>1960s</t>
        </is>
      </c>
      <c r="F16" s="5" t="inlineStr">
        <is>
          <t>English</t>
        </is>
      </c>
      <c r="G16" s="5" t="inlineStr">
        <is>
          <t>Drama</t>
        </is>
      </c>
      <c r="H16" s="5" t="inlineStr">
        <is>
          <t>Romance</t>
        </is>
      </c>
      <c r="I16" s="17" t="n">
        <v>120</v>
      </c>
      <c r="J16" s="5" t="inlineStr">
        <is>
          <t>James Ivory</t>
        </is>
      </c>
      <c r="K16" s="5" t="inlineStr">
        <is>
          <t>Ismail Merchant</t>
        </is>
      </c>
      <c r="L16" s="5" t="n"/>
      <c r="M16" s="5" t="inlineStr">
        <is>
          <t>Ruth Prawer Jhabvala; James Ivory</t>
        </is>
      </c>
      <c r="N16" s="5" t="inlineStr">
        <is>
          <t>Loosely based on the touring Shakespeareana Company of the actor-manager Geoffrey Kendal, who plays the troupe's leader.</t>
        </is>
      </c>
      <c r="O16" s="5" t="inlineStr">
        <is>
          <t>Satyajit Ray</t>
        </is>
      </c>
      <c r="P16" s="5" t="n"/>
      <c r="Q16" s="5" t="n"/>
      <c r="R16" s="5" t="inlineStr">
        <is>
          <t>Sanju</t>
        </is>
      </c>
      <c r="S16" s="5" t="n"/>
      <c r="T16" s="5" t="inlineStr">
        <is>
          <t>Co-lead</t>
        </is>
      </c>
      <c r="U16" s="20" t="n">
        <v>1</v>
      </c>
      <c r="V16" s="5" t="inlineStr">
        <is>
          <t>Wealthy idler</t>
        </is>
      </c>
      <c r="W16" s="5" t="inlineStr">
        <is>
          <t>Rich Indian playboy of the newly independent republic</t>
        </is>
      </c>
      <c r="X16" s="19" t="inlineStr">
        <is>
          <t>Sanju is a rich, charming idler who attaches himself to a family of English actors touring Shakespeare through post-colonial India. He courts Lizzie Buckingham, the troupe's daughter, while continuing an affair with Manjula, a celebrated Hindi film star whose popularity is the very thing emptying the Buckinghams' houses. He will not choose, and the film lets that failure stand.</t>
        </is>
      </c>
      <c r="Y16" s="19" t="inlineStr">
        <is>
          <t>Pleasure and attachment without commitment to either woman.</t>
        </is>
      </c>
      <c r="Z16" s="19" t="inlineStr">
        <is>
          <t>His unwillingness to give up Manjula for Lizzie, set against the wider displacement of English theatre by Hindi cinema.</t>
        </is>
      </c>
      <c r="AA16" s="19" t="inlineStr">
        <is>
          <t>Essentially unchanged; the change falls on Lizzie, who leaves.</t>
        </is>
      </c>
      <c r="AB16" s="19" t="inlineStr">
        <is>
          <t>Morally careless</t>
        </is>
      </c>
      <c r="AC16" s="5" t="inlineStr">
        <is>
          <t>Remains in India with his life intact as Lizzie sails away.</t>
        </is>
      </c>
      <c r="AD16" s="5" t="inlineStr">
        <is>
          <t>Felicity Kendal; Madhur Jaffrey</t>
        </is>
      </c>
      <c r="AE16" s="5" t="inlineStr">
        <is>
          <t>Major</t>
        </is>
      </c>
      <c r="AF16" s="20" t="n">
        <v>8</v>
      </c>
      <c r="AG16" s="19" t="inlineStr">
        <is>
          <t>Love triangle</t>
        </is>
      </c>
      <c r="AH16" s="5" t="n"/>
      <c r="AI16" s="5" t="n"/>
      <c r="AJ16" s="5" t="n"/>
      <c r="AK16" s="5" t="n"/>
      <c r="AL16" s="5" t="n"/>
      <c r="AM16" s="5" t="n"/>
      <c r="AN16" s="5" t="inlineStr">
        <is>
          <t>Not documented</t>
        </is>
      </c>
      <c r="AO16" s="18" t="n"/>
      <c r="AP16" s="19" t="inlineStr">
        <is>
          <t>Holds an 89% score on Rotten Tomatoes from nine critics; no contemporary review of Kapoor's performance was located.</t>
        </is>
      </c>
      <c r="AQ16" s="19" t="inlineStr">
        <is>
          <t>A landmark early Merchant Ivory film, with Kapoor's wife Jennifer Kendal appearing uncredited and her father and sister, Geoffrey and Felicity Kendal, in principal roles.</t>
        </is>
      </c>
      <c r="AR16" s="5" t="inlineStr">
        <is>
          <t>SOURCE-001; SOURCE-011; SOURCE-128</t>
        </is>
      </c>
      <c r="AS16" s="5" t="inlineStr">
        <is>
          <t>Medium</t>
        </is>
      </c>
      <c r="AT16" s="5" t="inlineStr">
        <is>
          <t>Filmography notes: English film.</t>
        </is>
      </c>
    </row>
    <row r="17" ht="109" customHeight="1">
      <c r="A17" s="15" t="inlineStr">
        <is>
          <t>FILM-016</t>
        </is>
      </c>
      <c r="B17" s="5" t="inlineStr">
        <is>
          <t>Mohabbat Isko Kahete Hain</t>
        </is>
      </c>
      <c r="C17" s="5" t="inlineStr">
        <is>
          <t>1965</t>
        </is>
      </c>
      <c r="D17" s="17" t="n">
        <v>1965</v>
      </c>
      <c r="E17" s="5" t="inlineStr">
        <is>
          <t>1960s</t>
        </is>
      </c>
      <c r="F17" s="5" t="n"/>
      <c r="G17" s="5" t="inlineStr">
        <is>
          <t>Drama</t>
        </is>
      </c>
      <c r="H17" s="5" t="n"/>
      <c r="I17" s="18" t="n"/>
      <c r="J17" s="5" t="n"/>
      <c r="K17" s="5" t="n"/>
      <c r="L17" s="5" t="n"/>
      <c r="M17" s="5" t="n"/>
      <c r="N17" s="5" t="n"/>
      <c r="O17" s="5" t="n"/>
      <c r="P17" s="5" t="n"/>
      <c r="Q17" s="5" t="n"/>
      <c r="R17" s="5" t="inlineStr">
        <is>
          <t>Vijay</t>
        </is>
      </c>
      <c r="S17" s="5" t="n"/>
      <c r="T17" s="5" t="n"/>
      <c r="U17" s="18" t="n"/>
      <c r="V17" s="5" t="n"/>
      <c r="W17" s="5" t="n"/>
      <c r="X17" s="19" t="inlineStr">
        <is>
          <t>No Wikipedia article or other plot source was located for this film, and the Shashi Kapoor article does not mention it. Only the character name Vijay, taken from his filmography, is documented; the size of the part, the cast opposite him and the film's reception are all unrecorded.</t>
        </is>
      </c>
      <c r="Y17" s="19" t="n"/>
      <c r="Z17" s="19" t="n"/>
      <c r="AA17" s="19" t="n"/>
      <c r="AB17" s="19" t="n"/>
      <c r="AC17" s="5" t="n"/>
      <c r="AD17" s="5" t="n"/>
      <c r="AE17" s="5" t="n"/>
      <c r="AF17" s="18" t="n"/>
      <c r="AG17" s="19" t="n"/>
      <c r="AH17" s="5" t="n"/>
      <c r="AI17" s="5" t="n"/>
      <c r="AJ17" s="5" t="n"/>
      <c r="AK17" s="5" t="n"/>
      <c r="AL17" s="5" t="n"/>
      <c r="AM17" s="5" t="n"/>
      <c r="AN17" s="5" t="n"/>
      <c r="AO17" s="18" t="n"/>
      <c r="AP17" s="19" t="n"/>
      <c r="AQ17" s="19" t="n"/>
      <c r="AR17" s="5" t="inlineStr">
        <is>
          <t>SOURCE-001</t>
        </is>
      </c>
      <c r="AS17" s="5" t="inlineStr">
        <is>
          <t>Unknown</t>
        </is>
      </c>
      <c r="AT17" s="5" t="inlineStr">
        <is>
          <t>No Wikipedia film article; fields come from the filmography table. No film article exists and the biographical article is silent on this title, so role type, narrative fields and romance fields are left blank rather than inferred. The title translates as 'this is what love is called', which suggests a romance but is not evidence of the character's function.</t>
        </is>
      </c>
    </row>
    <row r="18" ht="124" customHeight="1">
      <c r="A18" s="15" t="inlineStr">
        <is>
          <t>FILM-017</t>
        </is>
      </c>
      <c r="B18" s="5" t="inlineStr">
        <is>
          <t>Waqt</t>
        </is>
      </c>
      <c r="C18" s="16" t="n">
        <v>23951</v>
      </c>
      <c r="D18" s="17" t="n">
        <v>1965</v>
      </c>
      <c r="E18" s="5" t="inlineStr">
        <is>
          <t>1960s</t>
        </is>
      </c>
      <c r="F18" s="5" t="inlineStr">
        <is>
          <t>Hindi</t>
        </is>
      </c>
      <c r="G18" s="5" t="inlineStr">
        <is>
          <t>Masala</t>
        </is>
      </c>
      <c r="H18" s="5" t="inlineStr">
        <is>
          <t>Family drama</t>
        </is>
      </c>
      <c r="I18" s="17" t="n">
        <v>179</v>
      </c>
      <c r="J18" s="5" t="inlineStr">
        <is>
          <t>Yash Chopra</t>
        </is>
      </c>
      <c r="K18" s="5" t="inlineStr">
        <is>
          <t>B. R. Chopra</t>
        </is>
      </c>
      <c r="L18" s="5" t="inlineStr">
        <is>
          <t>B. R. Films</t>
        </is>
      </c>
      <c r="M18" s="5" t="inlineStr">
        <is>
          <t>Akhtar Mirza; Akhtar-Ul-Iman</t>
        </is>
      </c>
      <c r="N18" s="5" t="n"/>
      <c r="O18" s="5" t="inlineStr">
        <is>
          <t>Ravi</t>
        </is>
      </c>
      <c r="P18" s="5" t="n"/>
      <c r="Q18" s="5" t="inlineStr">
        <is>
          <t>Sahir Ludhianvi</t>
        </is>
      </c>
      <c r="R18" s="5" t="inlineStr">
        <is>
          <t>Vijay Prasanta</t>
        </is>
      </c>
      <c r="S18" s="5" t="n"/>
      <c r="T18" s="5" t="inlineStr">
        <is>
          <t>Ensemble lead</t>
        </is>
      </c>
      <c r="U18" s="20" t="n">
        <v>3</v>
      </c>
      <c r="V18" s="5" t="inlineStr">
        <is>
          <t>Graduate working as a chauffeur</t>
        </is>
      </c>
      <c r="W18" s="5" t="inlineStr">
        <is>
          <t>Youngest of three brothers separated by an earthquake; raised in poverty by their mother</t>
        </is>
      </c>
      <c r="X18" s="19" t="inlineStr">
        <is>
          <t>Vijay is the youngest of the three Prasanta brothers scattered by the earthquake, the one who stayed with their mother and grew up poor. A BA who cannot find work in Bombay, he drives for Chinnoy Seth to pay for his mother's cancer treatment, and loves Renu, whom he has known since college. His poverty, not his character, is what the family and her foster brother object to.</t>
        </is>
      </c>
      <c r="Y18" s="19" t="inlineStr">
        <is>
          <t>To pay for his mother's treatment and marry Renu without concealing what he is.</t>
        </is>
      </c>
      <c r="Z18" s="19" t="inlineStr">
        <is>
          <t>Poverty and a chauffeur's job set against Renu's family's expectations.</t>
        </is>
      </c>
      <c r="AA18" s="19" t="inlineStr">
        <is>
          <t>Holds steady while the film's coincidences reassemble the family around him.</t>
        </is>
      </c>
      <c r="AB18" s="19" t="inlineStr">
        <is>
          <t>Good</t>
        </is>
      </c>
      <c r="AC18" s="5" t="inlineStr">
        <is>
          <t>Reunited with his father and brothers, and free to marry Renu.</t>
        </is>
      </c>
      <c r="AD18" s="5" t="inlineStr">
        <is>
          <t>Sharmila Tagore</t>
        </is>
      </c>
      <c r="AE18" s="5" t="inlineStr">
        <is>
          <t>Secondary</t>
        </is>
      </c>
      <c r="AF18" s="20" t="n">
        <v>5</v>
      </c>
      <c r="AG18" s="19" t="inlineStr">
        <is>
          <t>United couple versus external world</t>
        </is>
      </c>
      <c r="AH18" s="5" t="n"/>
      <c r="AI18" s="21" t="n">
        <v>3</v>
      </c>
      <c r="AJ18" s="21" t="n">
        <v>6</v>
      </c>
      <c r="AK18" s="5" t="n"/>
      <c r="AL18" s="5" t="n"/>
      <c r="AM18" s="5" t="inlineStr">
        <is>
          <t>INR crore</t>
        </is>
      </c>
      <c r="AN18" s="5" t="inlineStr">
        <is>
          <t>Blockbuster</t>
        </is>
      </c>
      <c r="AO18" s="20" t="n">
        <v>1</v>
      </c>
      <c r="AP18" s="19" t="inlineStr">
        <is>
          <t>A major critical and commercial success, credited with establishing Yash Chopra as a leading director and with reviving Raaj Kumar's stardom; the film article notes it took top place at the 1965 box office.</t>
        </is>
      </c>
      <c r="AQ18" s="19" t="inlineStr">
        <is>
          <t>Widely regarded as the film that established the multi-starrer format in Hindi cinema. Won five awards at the 13th Filmfare Awards, including Best Director for Yash Chopra.</t>
        </is>
      </c>
      <c r="AR18" s="5" t="inlineStr">
        <is>
          <t>SOURCE-001; SOURCE-012; SOURCE-128; SOURCE-338</t>
        </is>
      </c>
      <c r="AS18" s="5" t="inlineStr">
        <is>
          <t>Medium</t>
        </is>
      </c>
      <c r="AT18" s="5" t="inlineStr">
        <is>
          <t>One of the two highest-grossing Hindi films of 1965, both starring Kapoor; the other is Jab Jab Phool Khile. Kapoor's is the third of three brothers' strands, so romance centrality for his pairing is scored well below the film's overall romantic content. Box Office India's archived 1965 annual table gives nett Rs 3.0 crore, India gross Rs 6.0 crore, verdict "Blockbuster" and annual rank 1.</t>
        </is>
      </c>
    </row>
    <row r="19" ht="94" customHeight="1">
      <c r="A19" s="15" t="inlineStr">
        <is>
          <t>FILM-018</t>
        </is>
      </c>
      <c r="B19" s="5" t="inlineStr">
        <is>
          <t>Jab Jab Phool Khile</t>
        </is>
      </c>
      <c r="C19" s="16" t="n">
        <v>24051</v>
      </c>
      <c r="D19" s="17" t="n">
        <v>1965</v>
      </c>
      <c r="E19" s="5" t="inlineStr">
        <is>
          <t>1960s</t>
        </is>
      </c>
      <c r="F19" s="5" t="inlineStr">
        <is>
          <t>Hindi</t>
        </is>
      </c>
      <c r="G19" s="5" t="inlineStr">
        <is>
          <t>Romantic drama</t>
        </is>
      </c>
      <c r="H19" s="5" t="inlineStr">
        <is>
          <t>Musical</t>
        </is>
      </c>
      <c r="I19" s="17" t="n">
        <v>141</v>
      </c>
      <c r="J19" s="5" t="inlineStr">
        <is>
          <t>Suraj Prakash</t>
        </is>
      </c>
      <c r="K19" s="5" t="inlineStr">
        <is>
          <t>Chetan K.</t>
        </is>
      </c>
      <c r="L19" s="5" t="inlineStr">
        <is>
          <t>Lime Light</t>
        </is>
      </c>
      <c r="M19" s="5" t="inlineStr">
        <is>
          <t>Brij Katyal</t>
        </is>
      </c>
      <c r="N19" s="5" t="n"/>
      <c r="O19" s="5" t="inlineStr">
        <is>
          <t>Kalyanji–Anandji</t>
        </is>
      </c>
      <c r="P19" s="5" t="n"/>
      <c r="Q19" s="5" t="inlineStr">
        <is>
          <t>Anand Bakshi</t>
        </is>
      </c>
      <c r="R19" s="5" t="inlineStr">
        <is>
          <t>Raja (Rajkumar)</t>
        </is>
      </c>
      <c r="S19" s="5" t="n"/>
      <c r="T19" s="5" t="inlineStr">
        <is>
          <t>Lead</t>
        </is>
      </c>
      <c r="U19" s="20" t="n">
        <v>1</v>
      </c>
      <c r="V19" s="5" t="inlineStr">
        <is>
          <t>Houseboat owner and boatman in Kashmir</t>
        </is>
      </c>
      <c r="W19" s="5" t="inlineStr">
        <is>
          <t>Poor, unlettered Kashmiri villager supporting a younger sister</t>
        </is>
      </c>
      <c r="X19" s="19" t="inlineStr">
        <is>
          <t>Raja owns the Kashmiri houseboat Rita Khanna rents on holiday, and lives there with his small sister Munni. Unlettered, plain-spoken and wholly without guile, he falls in love with his rich tourist and is loved back. Asked to remake his manners and dress for her father's Bombay drawing room, he tries, fails, and leaves rather than pretend. The role fixed Kapoor's romantic star image for a decade.</t>
        </is>
      </c>
      <c r="Y19" s="19" t="inlineStr">
        <is>
          <t>To marry Rita without ceasing to be what he is.</t>
        </is>
      </c>
      <c r="Z19" s="19" t="inlineStr">
        <is>
          <t>The class and cultural distance between a Kashmiri boatman and a Bombay heiress, widened deliberately by her father.</t>
        </is>
      </c>
      <c r="AA19" s="19" t="inlineStr">
        <is>
          <t>Submits to a makeover, discovers it costs him himself, and reclaims his own terms; she comes to him.</t>
        </is>
      </c>
      <c r="AB19" s="19" t="inlineStr">
        <is>
          <t>Good</t>
        </is>
      </c>
      <c r="AC19" s="5" t="inlineStr">
        <is>
          <t>Pulls Rita onto a moving train as she chooses his life over her father's.</t>
        </is>
      </c>
      <c r="AD19" s="5" t="inlineStr">
        <is>
          <t>Nanda</t>
        </is>
      </c>
      <c r="AE19" s="5" t="inlineStr">
        <is>
          <t>Central</t>
        </is>
      </c>
      <c r="AF19" s="20" t="n">
        <v>10</v>
      </c>
      <c r="AG19" s="19" t="inlineStr">
        <is>
          <t>United couple versus external world</t>
        </is>
      </c>
      <c r="AH19" s="5" t="n"/>
      <c r="AI19" s="21" t="n">
        <v>2.75</v>
      </c>
      <c r="AJ19" s="21" t="n">
        <v>5.5</v>
      </c>
      <c r="AK19" s="5" t="n"/>
      <c r="AL19" s="5" t="n"/>
      <c r="AM19" s="5" t="inlineStr">
        <is>
          <t>INR crore</t>
        </is>
      </c>
      <c r="AN19" s="5" t="inlineStr">
        <is>
          <t>Blockbuster</t>
        </is>
      </c>
      <c r="AO19" s="20" t="n">
        <v>2</v>
      </c>
      <c r="AP19" s="19" t="inlineStr">
        <is>
          <t>Praised on release, above all for its Kalyanji-Anandji soundtrack, which was among the best-selling Hindi film albums of the 1960s; the film article calls it Kapoor's greatest hit and his first film in colour.</t>
        </is>
      </c>
      <c r="AQ19" s="19" t="inlineStr">
        <is>
          <t>Won Kapoor the BFJA Award for Best Actor (Hindi) for 1965 and made him a star. One of the two highest-grossing Hindi films of the year alongside Waqt. The film article notes his particular popularity in Algeria, Morocco and Libya.</t>
        </is>
      </c>
      <c r="AR19" s="5" t="inlineStr">
        <is>
          <t>SOURCE-001; SOURCE-013; SOURCE-128; SOURCE-338</t>
        </is>
      </c>
      <c r="AS19" s="5" t="inlineStr">
        <is>
          <t>Medium</t>
        </is>
      </c>
      <c r="AT19" s="5" t="inlineStr">
        <is>
          <t>Box Office India's archived 1965 annual table gives nett Rs 2.75 crore, India gross Rs 5.5 crore, verdict "Blockbuster" and annual rank 2.</t>
        </is>
      </c>
    </row>
    <row r="20" ht="94" customHeight="1">
      <c r="A20" s="15" t="inlineStr">
        <is>
          <t>FILM-019</t>
        </is>
      </c>
      <c r="B20" s="5" t="inlineStr">
        <is>
          <t>Pyar Kiye Jaa</t>
        </is>
      </c>
      <c r="C20" s="5" t="inlineStr">
        <is>
          <t>1966</t>
        </is>
      </c>
      <c r="D20" s="17" t="n">
        <v>1966</v>
      </c>
      <c r="E20" s="5" t="inlineStr">
        <is>
          <t>1960s</t>
        </is>
      </c>
      <c r="F20" s="5" t="inlineStr">
        <is>
          <t>Hindi</t>
        </is>
      </c>
      <c r="G20" s="5" t="inlineStr">
        <is>
          <t>Romantic comedy</t>
        </is>
      </c>
      <c r="H20" s="5" t="inlineStr">
        <is>
          <t>Farce</t>
        </is>
      </c>
      <c r="I20" s="18" t="n"/>
      <c r="J20" s="5" t="inlineStr">
        <is>
          <t>C. V. Sridhar</t>
        </is>
      </c>
      <c r="K20" s="5" t="inlineStr">
        <is>
          <t>C. V. Sridhar</t>
        </is>
      </c>
      <c r="L20" s="5" t="inlineStr">
        <is>
          <t>Chithralaya</t>
        </is>
      </c>
      <c r="M20" s="5" t="inlineStr">
        <is>
          <t>C. V. Sridhar; Chitralaya Gopu</t>
        </is>
      </c>
      <c r="N20" s="5" t="inlineStr">
        <is>
          <t>Based on Kadhalikka Neramillai (1964)</t>
        </is>
      </c>
      <c r="O20" s="5" t="inlineStr">
        <is>
          <t>Laxmikant–Pyarelal</t>
        </is>
      </c>
      <c r="P20" s="5" t="n"/>
      <c r="Q20" s="5" t="inlineStr">
        <is>
          <t>Rajendra Krishan</t>
        </is>
      </c>
      <c r="R20" s="5" t="inlineStr">
        <is>
          <t>Ashok Verma</t>
        </is>
      </c>
      <c r="S20" s="5" t="n"/>
      <c r="T20" s="5" t="inlineStr">
        <is>
          <t>Ensemble lead</t>
        </is>
      </c>
      <c r="U20" s="20" t="n">
        <v>2</v>
      </c>
      <c r="V20" s="5" t="inlineStr">
        <is>
          <t>Assistant property manager</t>
        </is>
      </c>
      <c r="W20" s="5" t="inlineStr">
        <is>
          <t>Son of a poor schoolteacher, employed by a wealthy household</t>
        </is>
      </c>
      <c r="X20" s="19" t="inlineStr">
        <is>
          <t>Ashok Verma manages Ramlal's property until he is fired for misbehaving with both of his employer's daughters, whereupon he pitches a tent in the front garden in protest and falls in love with Nirmala. To be acceptable as a son-in-law he installs his friend Shyam as a fictitious billionaire father, a deception that collapses into arrests and farce before the three couples are married off.</t>
        </is>
      </c>
      <c r="Y20" s="19" t="inlineStr">
        <is>
          <t>To marry Nirmala despite having no money and no standing.</t>
        </is>
      </c>
      <c r="Z20" s="19" t="inlineStr">
        <is>
          <t>Ramlal's insistence on richer matches for his daughters.</t>
        </is>
      </c>
      <c r="AA20" s="19" t="inlineStr">
        <is>
          <t>Comic rather than developmental; the imposture is exposed and forgiven.</t>
        </is>
      </c>
      <c r="AB20" s="19" t="inlineStr">
        <is>
          <t>Likeable rogue</t>
        </is>
      </c>
      <c r="AC20" s="5" t="inlineStr">
        <is>
          <t>Marries Nirmala in the general reconciliation.</t>
        </is>
      </c>
      <c r="AD20" s="5" t="inlineStr">
        <is>
          <t>Rajasree</t>
        </is>
      </c>
      <c r="AE20" s="5" t="inlineStr">
        <is>
          <t>Major</t>
        </is>
      </c>
      <c r="AF20" s="20" t="n">
        <v>7</v>
      </c>
      <c r="AG20" s="19" t="inlineStr">
        <is>
          <t>Playful conflict masking attraction</t>
        </is>
      </c>
      <c r="AH20" s="5" t="n"/>
      <c r="AI20" s="5" t="n"/>
      <c r="AJ20" s="5" t="n"/>
      <c r="AK20" s="5" t="n"/>
      <c r="AL20" s="5" t="n"/>
      <c r="AM20" s="5" t="n"/>
      <c r="AN20" s="5" t="inlineStr">
        <is>
          <t>Hit</t>
        </is>
      </c>
      <c r="AO20" s="18" t="n"/>
      <c r="AP20" s="19" t="inlineStr">
        <is>
          <t>Successful at the box office; the comedy, and Mehmood's playing in particular, carried the film's reception.</t>
        </is>
      </c>
      <c r="AQ20" s="19" t="inlineStr">
        <is>
          <t>Mehmood won the Filmfare Best Comedian Award and Om Prakash was nominated in the same category.</t>
        </is>
      </c>
      <c r="AR20" s="5" t="inlineStr">
        <is>
          <t>SOURCE-001; SOURCE-014; SOURCE-128</t>
        </is>
      </c>
      <c r="AS20" s="5" t="inlineStr">
        <is>
          <t>Medium</t>
        </is>
      </c>
      <c r="AT20" s="5" t="inlineStr">
        <is>
          <t>An ensemble comedy with three couples; Kapoor is one of several leads rather than the sole romantic centre.</t>
        </is>
      </c>
    </row>
    <row r="21" ht="124" customHeight="1">
      <c r="A21" s="15" t="inlineStr">
        <is>
          <t>FILM-020</t>
        </is>
      </c>
      <c r="B21" s="5" t="inlineStr">
        <is>
          <t>Neend Hamari Khwab Tumhare</t>
        </is>
      </c>
      <c r="C21" s="5" t="inlineStr">
        <is>
          <t>1966</t>
        </is>
      </c>
      <c r="D21" s="17" t="n">
        <v>1966</v>
      </c>
      <c r="E21" s="5" t="inlineStr">
        <is>
          <t>1960s</t>
        </is>
      </c>
      <c r="F21" s="5" t="inlineStr">
        <is>
          <t>Hindi</t>
        </is>
      </c>
      <c r="G21" s="5" t="inlineStr">
        <is>
          <t>Romantic drama</t>
        </is>
      </c>
      <c r="H21" s="5" t="inlineStr">
        <is>
          <t>Muslim social</t>
        </is>
      </c>
      <c r="I21" s="18" t="n"/>
      <c r="J21" s="5" t="inlineStr">
        <is>
          <t>Shiv Sahni</t>
        </is>
      </c>
      <c r="K21" s="5" t="inlineStr">
        <is>
          <t>Hans Choudhary</t>
        </is>
      </c>
      <c r="L21" s="5" t="inlineStr">
        <is>
          <t>Rob Tara Studios</t>
        </is>
      </c>
      <c r="M21" s="5" t="inlineStr">
        <is>
          <t>Sarshar Sailani</t>
        </is>
      </c>
      <c r="N21" s="5" t="n"/>
      <c r="O21" s="5" t="inlineStr">
        <is>
          <t>Madan Mohan</t>
        </is>
      </c>
      <c r="P21" s="5" t="n"/>
      <c r="Q21" s="5" t="inlineStr">
        <is>
          <t>Rajendra Krishan</t>
        </is>
      </c>
      <c r="R21" s="5" t="inlineStr">
        <is>
          <t>Anwar</t>
        </is>
      </c>
      <c r="S21" s="5" t="n"/>
      <c r="T21" s="5" t="inlineStr">
        <is>
          <t>Lead</t>
        </is>
      </c>
      <c r="U21" s="20" t="n">
        <v>1</v>
      </c>
      <c r="V21" s="5" t="inlineStr">
        <is>
          <t>Son of a supposed Nawab</t>
        </is>
      </c>
      <c r="W21" s="5" t="inlineStr">
        <is>
          <t>His father was a barber who assumed the title of Nawab after a lottery win; the family passes as nobility</t>
        </is>
      </c>
      <c r="X21" s="19" t="inlineStr">
        <is>
          <t>Anwar is the third and initially rejected suitor for Nishat, accepted by her parents once they take him for the son of a Nawab. He and Nishat fall in love. What neither she nor her family knows is that his father was a barber who bought the title with lottery money, and the truth reaches them on the day of the wedding.</t>
        </is>
      </c>
      <c r="Y21" s="19" t="inlineStr">
        <is>
          <t>To marry Nishat.</t>
        </is>
      </c>
      <c r="Z21" s="19" t="inlineStr">
        <is>
          <t>A fabricated nobility that cannot survive scrutiny, and two rivals with real pedigrees.</t>
        </is>
      </c>
      <c r="AA21" s="19" t="inlineStr">
        <is>
          <t>Carried by the deception until it is exposed at the worst possible moment.</t>
        </is>
      </c>
      <c r="AB21" s="19" t="inlineStr">
        <is>
          <t>Good, compromised by his family's imposture</t>
        </is>
      </c>
      <c r="AC21" s="5" t="inlineStr">
        <is>
          <t>Left at the point of exposure by the article's synopsis, which stops at the wedding.</t>
        </is>
      </c>
      <c r="AD21" s="5" t="inlineStr">
        <is>
          <t>Nanda</t>
        </is>
      </c>
      <c r="AE21" s="5" t="inlineStr">
        <is>
          <t>Central</t>
        </is>
      </c>
      <c r="AF21" s="20" t="n">
        <v>9</v>
      </c>
      <c r="AG21" s="19" t="inlineStr">
        <is>
          <t>United couple versus external world</t>
        </is>
      </c>
      <c r="AH21" s="5" t="n"/>
      <c r="AI21" s="21" t="n">
        <v>0.62</v>
      </c>
      <c r="AJ21" s="21" t="n">
        <v>1.24</v>
      </c>
      <c r="AK21" s="5" t="n"/>
      <c r="AL21" s="5" t="n"/>
      <c r="AM21" s="5" t="inlineStr">
        <is>
          <t>INR crore</t>
        </is>
      </c>
      <c r="AN21" s="5" t="inlineStr">
        <is>
          <t>Average</t>
        </is>
      </c>
      <c r="AO21" s="20" t="n">
        <v>14</v>
      </c>
      <c r="AP21" s="19" t="inlineStr">
        <is>
          <t>No contemporary review was located; the Shashi Kapoor article records only that the film did average business.</t>
        </is>
      </c>
      <c r="AQ21" s="19" t="n"/>
      <c r="AR21" s="5" t="inlineStr">
        <is>
          <t>SOURCE-001; SOURCE-015; SOURCE-128; SOURCE-339</t>
        </is>
      </c>
      <c r="AS21" s="5" t="inlineStr">
        <is>
          <t>Low</t>
        </is>
      </c>
      <c r="AT21" s="5" t="inlineStr">
        <is>
          <t>The film article's synopsis is written as a teaser and breaks off at the wedding-day revelation without stating the outcome, so the pairing's ending is left blank rather than assumed. Kapoor's second film opposite Nanda in 1966 after Jab Jab Phool Khile the previous year. Box Office India's archived 1966 annual table gives nett Rs 0.62 crore, India gross Rs 1.24 crore, verdict "Average" and annual rank 14.</t>
        </is>
      </c>
    </row>
    <row r="22" ht="79" customHeight="1">
      <c r="A22" s="15" t="inlineStr">
        <is>
          <t>FILM-021</t>
        </is>
      </c>
      <c r="B22" s="5" t="inlineStr">
        <is>
          <t>Biradari</t>
        </is>
      </c>
      <c r="C22" s="5" t="inlineStr">
        <is>
          <t>1966</t>
        </is>
      </c>
      <c r="D22" s="17" t="n">
        <v>1966</v>
      </c>
      <c r="E22" s="5" t="inlineStr">
        <is>
          <t>1960s</t>
        </is>
      </c>
      <c r="F22" s="5" t="n"/>
      <c r="G22" s="5" t="inlineStr">
        <is>
          <t>Drama</t>
        </is>
      </c>
      <c r="H22" s="5" t="n"/>
      <c r="I22" s="18" t="n"/>
      <c r="J22" s="5" t="n"/>
      <c r="K22" s="5" t="n"/>
      <c r="L22" s="5" t="n"/>
      <c r="M22" s="5" t="n"/>
      <c r="N22" s="5" t="n"/>
      <c r="O22" s="5" t="n"/>
      <c r="P22" s="5" t="n"/>
      <c r="Q22" s="5" t="n"/>
      <c r="R22" s="5" t="inlineStr">
        <is>
          <t>Rajan</t>
        </is>
      </c>
      <c r="S22" s="5" t="n"/>
      <c r="T22" s="5" t="n"/>
      <c r="U22" s="18" t="n"/>
      <c r="V22" s="5" t="n"/>
      <c r="W22" s="5" t="n"/>
      <c r="X22" s="19" t="inlineStr">
        <is>
          <t>No Wikipedia article or other plot source was located for this film, and the Shashi Kapoor article does not mention it. Only the character name Rajan, taken from his filmography, is documented; the size of the part, the cast opposite him and the film's reception are all unrecorded.</t>
        </is>
      </c>
      <c r="Y22" s="19" t="n"/>
      <c r="Z22" s="19" t="n"/>
      <c r="AA22" s="19" t="n"/>
      <c r="AB22" s="19" t="n"/>
      <c r="AC22" s="5" t="n"/>
      <c r="AD22" s="5" t="n"/>
      <c r="AE22" s="5" t="n"/>
      <c r="AF22" s="18" t="n"/>
      <c r="AG22" s="19" t="n"/>
      <c r="AH22" s="5" t="n"/>
      <c r="AI22" s="5" t="n"/>
      <c r="AJ22" s="5" t="n"/>
      <c r="AK22" s="5" t="n"/>
      <c r="AL22" s="5" t="n"/>
      <c r="AM22" s="5" t="n"/>
      <c r="AN22" s="5" t="n"/>
      <c r="AO22" s="18" t="n"/>
      <c r="AP22" s="19" t="n"/>
      <c r="AQ22" s="19" t="n"/>
      <c r="AR22" s="5" t="inlineStr">
        <is>
          <t>SOURCE-001</t>
        </is>
      </c>
      <c r="AS22" s="5" t="inlineStr">
        <is>
          <t>Unknown</t>
        </is>
      </c>
      <c r="AT22" s="5" t="inlineStr">
        <is>
          <t>No Wikipedia film article; fields come from the filmography table. No film article exists and the biographical article is silent on this title, so role type, narrative fields and romance fields are left blank rather than inferred.</t>
        </is>
      </c>
    </row>
    <row r="23" ht="184" customHeight="1">
      <c r="A23" s="15" t="inlineStr">
        <is>
          <t>FILM-022</t>
        </is>
      </c>
      <c r="B23" s="5" t="inlineStr">
        <is>
          <t>Dil Ne Pukara</t>
        </is>
      </c>
      <c r="C23" s="5" t="inlineStr">
        <is>
          <t>1967</t>
        </is>
      </c>
      <c r="D23" s="17" t="n">
        <v>1967</v>
      </c>
      <c r="E23" s="5" t="inlineStr">
        <is>
          <t>1960s</t>
        </is>
      </c>
      <c r="F23" s="5" t="n"/>
      <c r="G23" s="5" t="inlineStr">
        <is>
          <t>Drama</t>
        </is>
      </c>
      <c r="H23" s="5" t="n"/>
      <c r="I23" s="18" t="n"/>
      <c r="J23" s="5" t="n"/>
      <c r="K23" s="5" t="n"/>
      <c r="L23" s="5" t="n"/>
      <c r="M23" s="5" t="n"/>
      <c r="N23" s="5" t="n"/>
      <c r="O23" s="5" t="n"/>
      <c r="P23" s="5" t="n"/>
      <c r="Q23" s="5" t="n"/>
      <c r="R23" s="5" t="inlineStr">
        <is>
          <t>Dr. Prakash</t>
        </is>
      </c>
      <c r="S23" s="5" t="n"/>
      <c r="T23" s="5" t="inlineStr">
        <is>
          <t>Lead</t>
        </is>
      </c>
      <c r="U23" s="18" t="n"/>
      <c r="V23" s="5" t="inlineStr">
        <is>
          <t>Doctor</t>
        </is>
      </c>
      <c r="W23" s="5" t="n"/>
      <c r="X23" s="19" t="inlineStr">
        <is>
          <t>Kapoor takes the lead as Dr. Prakash. No Wikipedia article or other plot source was located, so the occupation is all that the character name records; the story, the cast opposite him and the part's shape are undocumented. The Shashi Kapoor article groups the film with Aamne Samne as one of two moderate successes in 1967.</t>
        </is>
      </c>
      <c r="Y23" s="19" t="n"/>
      <c r="Z23" s="19" t="n"/>
      <c r="AA23" s="19" t="n"/>
      <c r="AB23" s="19" t="n"/>
      <c r="AC23" s="5" t="n"/>
      <c r="AD23" s="5" t="n"/>
      <c r="AE23" s="5" t="n"/>
      <c r="AF23" s="18" t="n"/>
      <c r="AG23" s="19" t="n"/>
      <c r="AH23" s="5" t="n"/>
      <c r="AI23" s="21" t="n">
        <v>0.72</v>
      </c>
      <c r="AJ23" s="21" t="n">
        <v>1.44</v>
      </c>
      <c r="AK23" s="5" t="n"/>
      <c r="AL23" s="5" t="n"/>
      <c r="AM23" s="5" t="inlineStr">
        <is>
          <t>INR crore</t>
        </is>
      </c>
      <c r="AN23" s="5" t="inlineStr">
        <is>
          <t>Average</t>
        </is>
      </c>
      <c r="AO23" s="20" t="n">
        <v>17</v>
      </c>
      <c r="AP23" s="19" t="n"/>
      <c r="AQ23" s="19" t="n"/>
      <c r="AR23" s="5" t="inlineStr">
        <is>
          <t>SOURCE-001; SOURCE-128; SOURCE-340</t>
        </is>
      </c>
      <c r="AS23" s="5" t="inlineStr">
        <is>
          <t>Low</t>
        </is>
      </c>
      <c r="AT23" s="5" t="inlineStr">
        <is>
          <t>No Wikipedia film article; fields come from the filmography table. No film article exists. Role type is recorded as Lead because the Shashi Kapoor article treats the film as one of his own 1967 successes; the narrative and romance fields are left blank rather than inferred from the character name. Box Office India's archived 1967 annual table gives nett Rs 0.72 crore, India gross Rs 1.44 crore, verdict "Average" and annual rank 17. This supersedes the verdict "Moderate success" taken from the film article, which is kept here per the rule that the trade figure goes in the column and the encyclopedia claim into notes.</t>
        </is>
      </c>
    </row>
    <row r="24" ht="124" customHeight="1">
      <c r="A24" s="15" t="inlineStr">
        <is>
          <t>FILM-023</t>
        </is>
      </c>
      <c r="B24" s="5" t="inlineStr">
        <is>
          <t>Aamne Samne</t>
        </is>
      </c>
      <c r="C24" s="5" t="inlineStr">
        <is>
          <t>1967</t>
        </is>
      </c>
      <c r="D24" s="17" t="n">
        <v>1967</v>
      </c>
      <c r="E24" s="5" t="inlineStr">
        <is>
          <t>1960s</t>
        </is>
      </c>
      <c r="F24" s="5" t="inlineStr">
        <is>
          <t>Hindi</t>
        </is>
      </c>
      <c r="G24" s="5" t="inlineStr">
        <is>
          <t>Mystery thriller</t>
        </is>
      </c>
      <c r="H24" s="5" t="inlineStr">
        <is>
          <t>Romantic suspense</t>
        </is>
      </c>
      <c r="I24" s="18" t="n"/>
      <c r="J24" s="5" t="inlineStr">
        <is>
          <t>Suraj Prakash</t>
        </is>
      </c>
      <c r="K24" s="5" t="inlineStr">
        <is>
          <t>Suraj Prakash</t>
        </is>
      </c>
      <c r="L24" s="5" t="n"/>
      <c r="M24" s="5" t="n"/>
      <c r="N24" s="5" t="n"/>
      <c r="O24" s="5" t="inlineStr">
        <is>
          <t>Kalyanji–Anandji</t>
        </is>
      </c>
      <c r="P24" s="5" t="n"/>
      <c r="Q24" s="5" t="n"/>
      <c r="R24" s="5" t="inlineStr">
        <is>
          <t>Deepak</t>
        </is>
      </c>
      <c r="S24" s="5" t="inlineStr">
        <is>
          <t>Gopal</t>
        </is>
      </c>
      <c r="T24" s="5" t="inlineStr">
        <is>
          <t>Lead</t>
        </is>
      </c>
      <c r="U24" s="20" t="n">
        <v>1</v>
      </c>
      <c r="V24" s="5" t="inlineStr">
        <is>
          <t>Man of independent means, living on his dead wife's fortune</t>
        </is>
      </c>
      <c r="W24" s="5" t="inlineStr">
        <is>
          <t>Wealthy; tried and acquitted for murder, then living under an assumed name</t>
        </is>
      </c>
      <c r="X24" s="19" t="inlineStr">
        <is>
          <t>Deepak Verma is acquitted of murdering his rich wife, inherits her money and restarts in Bombay as Gopal Mittal. His new neighbour Sapna first takes him for a stalker, then marries him, then learns on honeymoon both that he was tried for a wife's murder and that someone is trying to kill her. Kapoor plays the whole film on the question of whether his charm is innocence or cover.</t>
        </is>
      </c>
      <c r="Y24" s="19" t="inlineStr">
        <is>
          <t>To bury his past and build an ordinary life with Sapna.</t>
        </is>
      </c>
      <c r="Z24" s="19" t="inlineStr">
        <is>
          <t>A wife who cannot be sure her husband is not about to kill her.</t>
        </is>
      </c>
      <c r="AA24" s="19" t="inlineStr">
        <is>
          <t>From suspected wife-killer to cleared man, with the audience's doubt sustained until the reveal.</t>
        </is>
      </c>
      <c r="AB24" s="19" t="inlineStr">
        <is>
          <t>Ambiguous by design, resolved as good</t>
        </is>
      </c>
      <c r="AC24" s="5" t="inlineStr">
        <is>
          <t>Cleared; the conspiracy against Sapna is traced to others.</t>
        </is>
      </c>
      <c r="AD24" s="5" t="inlineStr">
        <is>
          <t>Sharmila Tagore</t>
        </is>
      </c>
      <c r="AE24" s="5" t="inlineStr">
        <is>
          <t>Central</t>
        </is>
      </c>
      <c r="AF24" s="20" t="n">
        <v>8</v>
      </c>
      <c r="AG24" s="19" t="inlineStr">
        <is>
          <t>Relationship damaged by mistrust</t>
        </is>
      </c>
      <c r="AH24" s="5" t="n"/>
      <c r="AI24" s="21" t="n">
        <v>0.85</v>
      </c>
      <c r="AJ24" s="21" t="n">
        <v>1.7</v>
      </c>
      <c r="AK24" s="5" t="n"/>
      <c r="AL24" s="5" t="n"/>
      <c r="AM24" s="5" t="inlineStr">
        <is>
          <t>INR crore</t>
        </is>
      </c>
      <c r="AN24" s="5" t="inlineStr">
        <is>
          <t>Above Average</t>
        </is>
      </c>
      <c r="AO24" s="20" t="n">
        <v>13</v>
      </c>
      <c r="AP24" s="19" t="inlineStr">
        <is>
          <t>No contemporary review was located; the Shashi Kapoor article records the film as one of two moderate successes in 1967.</t>
        </is>
      </c>
      <c r="AQ24" s="19" t="n"/>
      <c r="AR24" s="5" t="inlineStr">
        <is>
          <t>SOURCE-001; SOURCE-017; SOURCE-128; SOURCE-340</t>
        </is>
      </c>
      <c r="AS24" s="5" t="inlineStr">
        <is>
          <t>Medium</t>
        </is>
      </c>
      <c r="AT24" s="5" t="inlineStr">
        <is>
          <t>Infobox gross '₹1.7 crore' has no nett/gross label and is not entered. Box Office India's archived 1967 annual table gives nett Rs 0.85 crore, India gross Rs 1.7 crore, verdict "Above Average" and annual rank 13. This supersedes the verdict "Moderate success" taken from the film article, which is kept here per the rule that the trade figure goes in the column and the encyclopedia claim into notes.</t>
        </is>
      </c>
    </row>
    <row r="25" ht="169" customHeight="1">
      <c r="A25" s="15" t="inlineStr">
        <is>
          <t>FILM-024</t>
        </is>
      </c>
      <c r="B25" s="5" t="inlineStr">
        <is>
          <t>Pretty Polly</t>
        </is>
      </c>
      <c r="C25" s="16" t="n">
        <v>24735</v>
      </c>
      <c r="D25" s="17" t="n">
        <v>1967</v>
      </c>
      <c r="E25" s="5" t="inlineStr">
        <is>
          <t>1960s</t>
        </is>
      </c>
      <c r="F25" s="5" t="inlineStr">
        <is>
          <t>English</t>
        </is>
      </c>
      <c r="G25" s="5" t="inlineStr">
        <is>
          <t>Comedy drama</t>
        </is>
      </c>
      <c r="H25" s="5" t="inlineStr">
        <is>
          <t>Romance</t>
        </is>
      </c>
      <c r="I25" s="17" t="n">
        <v>102</v>
      </c>
      <c r="J25" s="5" t="inlineStr">
        <is>
          <t>Guy Green</t>
        </is>
      </c>
      <c r="K25" s="5" t="inlineStr">
        <is>
          <t>George W. George; Frank Granat</t>
        </is>
      </c>
      <c r="L25" s="5" t="inlineStr">
        <is>
          <t>George-Granat Productions</t>
        </is>
      </c>
      <c r="M25" s="5" t="inlineStr">
        <is>
          <t>Willis Hall; Keith Waterhouse</t>
        </is>
      </c>
      <c r="N25" s="5" t="inlineStr">
        <is>
          <t>Based on Noël Coward's 1964 short story Pretty Polly Barlow.</t>
        </is>
      </c>
      <c r="O25" s="5" t="inlineStr">
        <is>
          <t>Michel Legrand</t>
        </is>
      </c>
      <c r="P25" s="5" t="n"/>
      <c r="Q25" s="5" t="n"/>
      <c r="R25" s="5" t="inlineStr">
        <is>
          <t>Amaz Hudeen</t>
        </is>
      </c>
      <c r="S25" s="5" t="n"/>
      <c r="T25" s="5" t="inlineStr">
        <is>
          <t>Co-lead</t>
        </is>
      </c>
      <c r="U25" s="20" t="n">
        <v>2</v>
      </c>
      <c r="V25" s="5" t="inlineStr">
        <is>
          <t>Tour guide in Singapore</t>
        </is>
      </c>
      <c r="W25" s="5" t="inlineStr">
        <is>
          <t>Indian Singaporean of modest means</t>
        </is>
      </c>
      <c r="X25" s="19" t="inlineStr">
        <is>
          <t>Amaz is the local guide Polly Barlow takes up with in Singapore after her wealthy aunt, whose companion she was, dies and leaves her suddenly free. The romance is deliberately tentative and unconsummated, one strand of a coming-of-age in which a repressed young Englishwoman discovers what she might be. Kapoor is the film's male lead opposite Hayley Mills.</t>
        </is>
      </c>
      <c r="Y25" s="19" t="inlineStr">
        <is>
          <t>To show Polly the city, and to be liked by her.</t>
        </is>
      </c>
      <c r="Z25" s="19" t="inlineStr">
        <is>
          <t>The distance of nationality, class and circumstance, and Polly's own inexperience.</t>
        </is>
      </c>
      <c r="AA25" s="19" t="inlineStr">
        <is>
          <t>Slight; the transformation is Polly's, and Amaz is its occasion.</t>
        </is>
      </c>
      <c r="AB25" s="19" t="inlineStr">
        <is>
          <t>Good</t>
        </is>
      </c>
      <c r="AC25" s="5" t="inlineStr">
        <is>
          <t>Left behind as Polly's holiday ends.</t>
        </is>
      </c>
      <c r="AD25" s="5" t="inlineStr">
        <is>
          <t>Hayley Mills</t>
        </is>
      </c>
      <c r="AE25" s="5" t="inlineStr">
        <is>
          <t>Major</t>
        </is>
      </c>
      <c r="AF25" s="20" t="n">
        <v>7</v>
      </c>
      <c r="AG25" s="19" t="inlineStr">
        <is>
          <t>Friendship to love</t>
        </is>
      </c>
      <c r="AH25" s="21" t="n">
        <v>0.5904</v>
      </c>
      <c r="AI25" s="5" t="n"/>
      <c r="AJ25" s="5" t="n"/>
      <c r="AK25" s="5" t="n"/>
      <c r="AL25" s="5" t="n"/>
      <c r="AM25" s="5" t="inlineStr">
        <is>
          <t>GBP million</t>
        </is>
      </c>
      <c r="AN25" s="5" t="inlineStr">
        <is>
          <t>Not documented</t>
        </is>
      </c>
      <c r="AO25" s="18" t="n"/>
      <c r="AP25" s="19" t="inlineStr">
        <is>
          <t>A contemporary notice quoted in the film article judged that Hayley Mills had neither the comic style nor the touch of malice to make Polly believable, and that Kapoor, though he had plenty of charm, was altogether too wholesome for Amaz, the whole film having the air of glossy magazine romance.</t>
        </is>
      </c>
      <c r="AQ25" s="19" t="inlineStr">
        <is>
          <t>Released in some markets as A Matter of Innocence; one of Kapoor's English-language films outside the Merchant Ivory partnership.</t>
        </is>
      </c>
      <c r="AR25" s="5" t="inlineStr">
        <is>
          <t>SOURCE-001; SOURCE-016; SOURCE-128</t>
        </is>
      </c>
      <c r="AS25" s="5" t="inlineStr">
        <is>
          <t>Medium</t>
        </is>
      </c>
      <c r="AT25" s="5" t="inlineStr">
        <is>
          <t>Filmography notes: English film. The cached article carries two cast lists, the second belonging to a 1966 British television version of the same Coward story in which Lynn Redgrave played Polly and Zia Mohyeddin played Amaz; only the 1967 feature cast applies to this row. The budget is held in the currency the source reports, pounds sterling (GBP million), not converted to rupees, per the rule that the original reported currency and nominal amount are preserved. The batch merge flags any money field not denominated in INR crore, so that flag is expected on this row.</t>
        </is>
      </c>
    </row>
    <row r="26" ht="199" customHeight="1">
      <c r="A26" s="15" t="inlineStr">
        <is>
          <t>FILM-025</t>
        </is>
      </c>
      <c r="B26" s="5" t="inlineStr">
        <is>
          <t>Haseena Maan Jayegi</t>
        </is>
      </c>
      <c r="C26" s="5" t="inlineStr">
        <is>
          <t>1968</t>
        </is>
      </c>
      <c r="D26" s="17" t="n">
        <v>1968</v>
      </c>
      <c r="E26" s="5" t="inlineStr">
        <is>
          <t>1960s</t>
        </is>
      </c>
      <c r="F26" s="5" t="inlineStr">
        <is>
          <t>Hindi</t>
        </is>
      </c>
      <c r="G26" s="5" t="inlineStr">
        <is>
          <t>Romantic comedy</t>
        </is>
      </c>
      <c r="H26" s="5" t="inlineStr">
        <is>
          <t>Drama</t>
        </is>
      </c>
      <c r="I26" s="18" t="n"/>
      <c r="J26" s="5" t="inlineStr">
        <is>
          <t>Prakash Mehra</t>
        </is>
      </c>
      <c r="K26" s="5" t="n"/>
      <c r="L26" s="5" t="inlineStr">
        <is>
          <t>Bakshi Productions</t>
        </is>
      </c>
      <c r="M26" s="5" t="inlineStr">
        <is>
          <t>S. M. Abbas</t>
        </is>
      </c>
      <c r="N26" s="5" t="n"/>
      <c r="O26" s="5" t="inlineStr">
        <is>
          <t>Kalyanji–Anandji</t>
        </is>
      </c>
      <c r="P26" s="5" t="n"/>
      <c r="Q26" s="5" t="n"/>
      <c r="R26" s="5" t="inlineStr">
        <is>
          <t>Rakesh</t>
        </is>
      </c>
      <c r="S26" s="5" t="inlineStr">
        <is>
          <t>Kamal</t>
        </is>
      </c>
      <c r="T26" s="5" t="inlineStr">
        <is>
          <t>Lead</t>
        </is>
      </c>
      <c r="U26" s="20" t="n">
        <v>1</v>
      </c>
      <c r="V26" s="5" t="inlineStr">
        <is>
          <t>Student; later a soldier</t>
        </is>
      </c>
      <c r="W26" s="5" t="inlineStr">
        <is>
          <t>Kamal is an orphan of modest means; Rakesh is the son of his father's friend</t>
        </is>
      </c>
      <c r="X26" s="19" t="inlineStr">
        <is>
          <t>A double role. Rakesh is the college tease who torments Archana; Kamal, his exact double, is a decent orphan whom she comes to love and marry after complaining about the wrong man. Rakesh tries to kidnap Kamal and take his place at the wedding, his own men seize him by mistake, and after both enlist and fight on a riverbank only one returns, leaving Archana to test whether the husband in her house is her husband.</t>
        </is>
      </c>
      <c r="Y26" s="19" t="inlineStr">
        <is>
          <t>As Kamal, to marry Archana and be believed; as Rakesh, to take her from him.</t>
        </is>
      </c>
      <c r="Z26" s="19" t="inlineStr">
        <is>
          <t>An identical face used as an instrument of fraud against his own marriage.</t>
        </is>
      </c>
      <c r="AA26" s="19" t="inlineStr">
        <is>
          <t>Kamal moves from orphan to husband to a man arrested for impersonating himself, cleared only when his double reappears.</t>
        </is>
      </c>
      <c r="AB26" s="19" t="inlineStr">
        <is>
          <t>Kamal good; Rakesh predatory, then repentant</t>
        </is>
      </c>
      <c r="AC26" s="5" t="inlineStr">
        <is>
          <t>Kamal is vindicated when Rakesh testifies, and the couple forgive him.</t>
        </is>
      </c>
      <c r="AD26" s="5" t="inlineStr">
        <is>
          <t>Babita</t>
        </is>
      </c>
      <c r="AE26" s="5" t="inlineStr">
        <is>
          <t>Central</t>
        </is>
      </c>
      <c r="AF26" s="20" t="n">
        <v>8</v>
      </c>
      <c r="AG26" s="19" t="inlineStr">
        <is>
          <t>Relationship manipulated by outsiders</t>
        </is>
      </c>
      <c r="AH26" s="5" t="n"/>
      <c r="AI26" s="21" t="n">
        <v>0.95</v>
      </c>
      <c r="AJ26" s="21" t="n">
        <v>1.9</v>
      </c>
      <c r="AK26" s="5" t="n"/>
      <c r="AL26" s="5" t="n"/>
      <c r="AM26" s="5" t="inlineStr">
        <is>
          <t>INR crore</t>
        </is>
      </c>
      <c r="AN26" s="5" t="inlineStr">
        <is>
          <t>Semi Hit</t>
        </is>
      </c>
      <c r="AO26" s="20" t="n">
        <v>9</v>
      </c>
      <c r="AP26" s="19" t="inlineStr">
        <is>
          <t>No contemporary review was located; the film's Kalyanji-Anandji score, and the Rafi and Lata duet 'Bekhudi Mein Sanam' in particular, are singled out by the film article as its most durable element.</t>
        </is>
      </c>
      <c r="AQ26" s="19" t="n"/>
      <c r="AR26" s="5" t="inlineStr">
        <is>
          <t>SOURCE-001; SOURCE-018; SOURCE-128; SOURCE-341</t>
        </is>
      </c>
      <c r="AS26" s="5" t="inlineStr">
        <is>
          <t>Medium</t>
        </is>
      </c>
      <c r="AT26" s="5" t="inlineStr">
        <is>
          <t>Infobox gross '₹1.9 crore' has no nett/gross label and is not entered. Kapoor plays both Kamal and Rakesh. One Romances row is created, for Kamal and Archana: Rakesh's attempt to take Kamal's place at the wedding is an impersonation and a fraud rather than a relationship, and is recorded in that row's analysis instead of being given a row of its own. Box Office India's archived 1968 annual table gives nett Rs 0.95 crore, India gross Rs 1.9 crore, verdict "Semi Hit" and annual rank 9. This supersedes the verdict "Hit" taken from the film article, which is kept here per the rule that the trade figure goes in the column and the encyclopedia claim into notes.</t>
        </is>
      </c>
    </row>
    <row r="27" ht="184" customHeight="1">
      <c r="A27" s="15" t="inlineStr">
        <is>
          <t>FILM-026</t>
        </is>
      </c>
      <c r="B27" s="5" t="inlineStr">
        <is>
          <t>Kanyadaan</t>
        </is>
      </c>
      <c r="C27" s="5" t="inlineStr">
        <is>
          <t>1968</t>
        </is>
      </c>
      <c r="D27" s="17" t="n">
        <v>1968</v>
      </c>
      <c r="E27" s="5" t="inlineStr">
        <is>
          <t>1960s</t>
        </is>
      </c>
      <c r="F27" s="5" t="inlineStr">
        <is>
          <t>Hindi</t>
        </is>
      </c>
      <c r="G27" s="5" t="inlineStr">
        <is>
          <t>Social drama</t>
        </is>
      </c>
      <c r="H27" s="5" t="inlineStr">
        <is>
          <t>Romance</t>
        </is>
      </c>
      <c r="I27" s="17" t="n">
        <v>149</v>
      </c>
      <c r="J27" s="5" t="inlineStr">
        <is>
          <t>Mohan Segal</t>
        </is>
      </c>
      <c r="K27" s="5" t="inlineStr">
        <is>
          <t>Rajendra Bhatia</t>
        </is>
      </c>
      <c r="L27" s="5" t="inlineStr">
        <is>
          <t>Kiron Productions</t>
        </is>
      </c>
      <c r="M27" s="5" t="inlineStr">
        <is>
          <t>R. A. Baqueri</t>
        </is>
      </c>
      <c r="N27" s="5" t="n"/>
      <c r="O27" s="5" t="inlineStr">
        <is>
          <t>Shankar–Jaikishan</t>
        </is>
      </c>
      <c r="P27" s="5" t="n"/>
      <c r="Q27" s="5" t="n"/>
      <c r="R27" s="5" t="inlineStr">
        <is>
          <t>Amar Kumar</t>
        </is>
      </c>
      <c r="S27" s="5" t="n"/>
      <c r="T27" s="5" t="inlineStr">
        <is>
          <t>Lead</t>
        </is>
      </c>
      <c r="U27" s="20" t="n">
        <v>1</v>
      </c>
      <c r="V27" s="5" t="inlineStr">
        <is>
          <t>Poet and businessman</t>
        </is>
      </c>
      <c r="W27" s="5" t="inlineStr">
        <is>
          <t>Urban, educated and well-off; shares a given name with a friend, which the plot turns on</t>
        </is>
      </c>
      <c r="X27" s="19" t="inlineStr">
        <is>
          <t>Amar Kumar, a poet, arranges his friend Amar's marriage to Lata and promises her father he will stand as her family. Broken down near a village, he meets Rekha, falls in love, and learns from her mother that Rekha was married in childhood to a man called Amar whom she has never seen. He returns with a driving licence showing his full name is Amar Kumar and lets her believe he is that husband.</t>
        </is>
      </c>
      <c r="Y27" s="19" t="inlineStr">
        <is>
          <t>To marry Rekha, who cannot marry anyone but the Amar she was given to as a child.</t>
        </is>
      </c>
      <c r="Z27" s="19" t="inlineStr">
        <is>
          <t>A childhood marriage to another man of the same name, and his own decision to exploit the coincidence rather than explain it.</t>
        </is>
      </c>
      <c r="AA27" s="19" t="inlineStr">
        <is>
          <t>From a man who arranges other people's marriages honourably to one who deceives the woman he loves, then drinks when she discovers it.</t>
        </is>
      </c>
      <c r="AB27" s="19" t="inlineStr">
        <is>
          <t>Good, compromised by a self-serving deception</t>
        </is>
      </c>
      <c r="AC27" s="5" t="inlineStr">
        <is>
          <t>Left in self-reproach and drink as Rekha leaves the house; the article's plot summary breaks off before the resolution.</t>
        </is>
      </c>
      <c r="AD27" s="5" t="inlineStr">
        <is>
          <t>Asha Parekh</t>
        </is>
      </c>
      <c r="AE27" s="5" t="inlineStr">
        <is>
          <t>Central</t>
        </is>
      </c>
      <c r="AF27" s="20" t="n">
        <v>9</v>
      </c>
      <c r="AG27" s="19" t="inlineStr">
        <is>
          <t>Relationship damaged by mistrust</t>
        </is>
      </c>
      <c r="AH27" s="5" t="n"/>
      <c r="AI27" s="21" t="n">
        <v>1.6</v>
      </c>
      <c r="AJ27" s="21" t="n">
        <v>3.2</v>
      </c>
      <c r="AK27" s="5" t="n"/>
      <c r="AL27" s="5" t="n"/>
      <c r="AM27" s="5" t="inlineStr">
        <is>
          <t>INR crore</t>
        </is>
      </c>
      <c r="AN27" s="5" t="inlineStr">
        <is>
          <t>Hit</t>
        </is>
      </c>
      <c r="AO27" s="20" t="n">
        <v>4</v>
      </c>
      <c r="AP27" s="19" t="inlineStr">
        <is>
          <t>A success, with Shankar-Jaikishan's songs, among them the Rafi solos 'Likhe Jo Khat Tujhe' and 'Meri Zindagi Mein Aate', singled out as a principal reason.</t>
        </is>
      </c>
      <c r="AQ27" s="19" t="n"/>
      <c r="AR27" s="5" t="inlineStr">
        <is>
          <t>SOURCE-001; SOURCE-019; SOURCE-128; SOURCE-341</t>
        </is>
      </c>
      <c r="AS27" s="5" t="inlineStr">
        <is>
          <t>Medium</t>
        </is>
      </c>
      <c r="AT27" s="5" t="inlineStr">
        <is>
          <t>Infobox gross '₹3.2 crore' has no nett/gross label and is not entered. The cached plot summary is truncated mid-sentence as Rekha leaves intending to kill herself, so the pairing's ending is left blank rather than assumed. The film's subject is child marriage, and the title refers to the giving away of a daughter. Box Office India's archived 1968 annual table gives nett Rs 1.6 crore, India gross Rs 3.2 crore, verdict "Hit" and annual rank 4. This supersedes the verdict "Superhit" taken from the film article, which is kept here per the rule that the trade figure goes in the column and the encyclopedia claim into notes.</t>
        </is>
      </c>
    </row>
    <row r="28" ht="109" customHeight="1">
      <c r="A28" s="15" t="inlineStr">
        <is>
          <t>FILM-027</t>
        </is>
      </c>
      <c r="B28" s="5" t="inlineStr">
        <is>
          <t>Juaari</t>
        </is>
      </c>
      <c r="C28" s="5" t="inlineStr">
        <is>
          <t>1968</t>
        </is>
      </c>
      <c r="D28" s="17" t="n">
        <v>1968</v>
      </c>
      <c r="E28" s="5" t="inlineStr">
        <is>
          <t>1960s</t>
        </is>
      </c>
      <c r="F28" s="5" t="n"/>
      <c r="G28" s="5" t="inlineStr">
        <is>
          <t>Drama</t>
        </is>
      </c>
      <c r="H28" s="5" t="n"/>
      <c r="I28" s="18" t="n"/>
      <c r="J28" s="5" t="n"/>
      <c r="K28" s="5" t="n"/>
      <c r="L28" s="5" t="n"/>
      <c r="M28" s="5" t="n"/>
      <c r="N28" s="5" t="n"/>
      <c r="O28" s="5" t="n"/>
      <c r="P28" s="5" t="n"/>
      <c r="Q28" s="5" t="n"/>
      <c r="R28" s="5" t="inlineStr">
        <is>
          <t>Rakesh</t>
        </is>
      </c>
      <c r="S28" s="5" t="n"/>
      <c r="T28" s="5" t="n"/>
      <c r="U28" s="18" t="n"/>
      <c r="V28" s="5" t="n"/>
      <c r="W28" s="5" t="n"/>
      <c r="X28" s="19" t="inlineStr">
        <is>
          <t>No Wikipedia article or other plot source was located for this film, and the Shashi Kapoor article does not mention it. Only the character name Rakesh, taken from his filmography, is documented; the size of the part, the cast opposite him and the film's reception are all unrecorded.</t>
        </is>
      </c>
      <c r="Y28" s="19" t="n"/>
      <c r="Z28" s="19" t="n"/>
      <c r="AA28" s="19" t="n"/>
      <c r="AB28" s="19" t="n"/>
      <c r="AC28" s="5" t="n"/>
      <c r="AD28" s="5" t="n"/>
      <c r="AE28" s="5" t="n"/>
      <c r="AF28" s="18" t="n"/>
      <c r="AG28" s="19" t="n"/>
      <c r="AH28" s="5" t="n"/>
      <c r="AI28" s="5" t="n"/>
      <c r="AJ28" s="5" t="n"/>
      <c r="AK28" s="5" t="n"/>
      <c r="AL28" s="5" t="n"/>
      <c r="AM28" s="5" t="n"/>
      <c r="AN28" s="5" t="n"/>
      <c r="AO28" s="18" t="n"/>
      <c r="AP28" s="19" t="n"/>
      <c r="AQ28" s="19" t="n"/>
      <c r="AR28" s="5" t="inlineStr">
        <is>
          <t>SOURCE-001</t>
        </is>
      </c>
      <c r="AS28" s="5" t="inlineStr">
        <is>
          <t>Unknown</t>
        </is>
      </c>
      <c r="AT28" s="5" t="inlineStr">
        <is>
          <t>No Wikipedia film article; fields come from the filmography table. No film article exists and the biographical article is silent on this title, so role type, narrative fields and romance fields are left blank rather than inferred. The title translates as 'gambler', which suggests the character's occupation but is not evidence of it.</t>
        </is>
      </c>
    </row>
    <row r="29" ht="94" customHeight="1">
      <c r="A29" s="15" t="inlineStr">
        <is>
          <t>FILM-028</t>
        </is>
      </c>
      <c r="B29" s="5" t="inlineStr">
        <is>
          <t>Pyar Ka Mausam</t>
        </is>
      </c>
      <c r="C29" s="5" t="inlineStr">
        <is>
          <t>1969</t>
        </is>
      </c>
      <c r="D29" s="17" t="n">
        <v>1969</v>
      </c>
      <c r="E29" s="5" t="inlineStr">
        <is>
          <t>1960s</t>
        </is>
      </c>
      <c r="F29" s="5" t="inlineStr">
        <is>
          <t>Hindi</t>
        </is>
      </c>
      <c r="G29" s="5" t="inlineStr">
        <is>
          <t>Musical romance</t>
        </is>
      </c>
      <c r="H29" s="5" t="inlineStr">
        <is>
          <t>Family drama</t>
        </is>
      </c>
      <c r="I29" s="17" t="n">
        <v>154</v>
      </c>
      <c r="J29" s="5" t="inlineStr">
        <is>
          <t>Nasir Hussain</t>
        </is>
      </c>
      <c r="K29" s="5" t="inlineStr">
        <is>
          <t>Nasir Hussain</t>
        </is>
      </c>
      <c r="L29" s="5" t="inlineStr">
        <is>
          <t>Nasir Husain Films Pvt. Ltd.</t>
        </is>
      </c>
      <c r="M29" s="5" t="inlineStr">
        <is>
          <t>Nasir Hussain</t>
        </is>
      </c>
      <c r="N29" s="5" t="inlineStr">
        <is>
          <t>Not a remake, but closely patterned on the director Nasir Hussain's own earlier film Tumsa Nahin Dekha.</t>
        </is>
      </c>
      <c r="O29" s="5" t="inlineStr">
        <is>
          <t>R. D. Burman</t>
        </is>
      </c>
      <c r="P29" s="5" t="n"/>
      <c r="Q29" s="5" t="inlineStr">
        <is>
          <t>Majrooh Sultanpuri</t>
        </is>
      </c>
      <c r="R29" s="5" t="inlineStr">
        <is>
          <t>Sunder</t>
        </is>
      </c>
      <c r="S29" s="5" t="inlineStr">
        <is>
          <t>Sunil; Pyarelal</t>
        </is>
      </c>
      <c r="T29" s="5" t="inlineStr">
        <is>
          <t>Lead</t>
        </is>
      </c>
      <c r="U29" s="20" t="n">
        <v>1</v>
      </c>
      <c r="V29" s="5" t="inlineStr">
        <is>
          <t>Estate manager; earlier an itinerant singer</t>
        </is>
      </c>
      <c r="W29" s="5" t="inlineStr">
        <is>
          <t>Son of the peasant Gopal and the estate heiress Jamuna, orphaned by the fire that killed his father and lost to his grandfather for years</t>
        </is>
      </c>
      <c r="X29" s="19" t="inlineStr">
        <is>
          <t>Sunder is the grandson Sardar Ranjit Singh lost when his daughter eloped with a peasant and their house burned. He passes through the film under three names, meeting Seema first as Pyarelal and then as a false Jhatpat Singh before taking work as her grandfather's estate manager under his own. Recognition, an impostor cousin and Jamuna's returning sanity resolve together.</t>
        </is>
      </c>
      <c r="Y29" s="19" t="inlineStr">
        <is>
          <t>To find out who he is, and to marry Seema.</t>
        </is>
      </c>
      <c r="Z29" s="19" t="inlineStr">
        <is>
          <t>A stolen identity, as Shankar's son is presented to Ranjit Singh as the lost grandson in his place.</t>
        </is>
      </c>
      <c r="AA29" s="19" t="inlineStr">
        <is>
          <t>From nameless drifter through two assumed identities to acknowledged heir and husband.</t>
        </is>
      </c>
      <c r="AB29" s="19" t="inlineStr">
        <is>
          <t>Good</t>
        </is>
      </c>
      <c r="AC29" s="5" t="inlineStr">
        <is>
          <t>Restored to his family and married to Seema.</t>
        </is>
      </c>
      <c r="AD29" s="5" t="inlineStr">
        <is>
          <t>Asha Parekh</t>
        </is>
      </c>
      <c r="AE29" s="5" t="inlineStr">
        <is>
          <t>Central</t>
        </is>
      </c>
      <c r="AF29" s="20" t="n">
        <v>8</v>
      </c>
      <c r="AG29" s="19" t="inlineStr">
        <is>
          <t>Playful conflict masking attraction</t>
        </is>
      </c>
      <c r="AH29" s="5" t="n"/>
      <c r="AI29" s="5" t="n"/>
      <c r="AJ29" s="5" t="n"/>
      <c r="AK29" s="5" t="n"/>
      <c r="AL29" s="5" t="n"/>
      <c r="AM29" s="5" t="n"/>
      <c r="AN29" s="5" t="inlineStr">
        <is>
          <t>Not documented</t>
        </is>
      </c>
      <c r="AO29" s="18" t="n"/>
      <c r="AP29" s="19" t="inlineStr">
        <is>
          <t>No contemporary review was located in the sources consulted; the film is remembered chiefly for R. D. Burman's score.</t>
        </is>
      </c>
      <c r="AQ29" s="19" t="inlineStr">
        <is>
          <t>One of two films in which the composer R. D. Burman also acts, appearing as the assistant to the real Jhatpat Singh.</t>
        </is>
      </c>
      <c r="AR29" s="5" t="inlineStr">
        <is>
          <t>SOURCE-001; SOURCE-021; SOURCE-128</t>
        </is>
      </c>
      <c r="AS29" s="5" t="inlineStr">
        <is>
          <t>Medium</t>
        </is>
      </c>
      <c r="AT29" s="5" t="n"/>
    </row>
    <row r="30" ht="79" customHeight="1">
      <c r="A30" s="15" t="inlineStr">
        <is>
          <t>FILM-029</t>
        </is>
      </c>
      <c r="B30" s="5" t="inlineStr">
        <is>
          <t>Ek Shrimaan Ek Shrimati</t>
        </is>
      </c>
      <c r="C30" s="5" t="inlineStr">
        <is>
          <t>1969</t>
        </is>
      </c>
      <c r="D30" s="17" t="n">
        <v>1969</v>
      </c>
      <c r="E30" s="5" t="inlineStr">
        <is>
          <t>1960s</t>
        </is>
      </c>
      <c r="F30" s="5" t="inlineStr">
        <is>
          <t>Hindi</t>
        </is>
      </c>
      <c r="G30" s="5" t="inlineStr">
        <is>
          <t>Romantic comedy</t>
        </is>
      </c>
      <c r="H30" s="5" t="n"/>
      <c r="I30" s="17" t="n">
        <v>140</v>
      </c>
      <c r="J30" s="5" t="inlineStr">
        <is>
          <t>Bhappi Sonie</t>
        </is>
      </c>
      <c r="K30" s="5" t="inlineStr">
        <is>
          <t>Surinder Kapoor</t>
        </is>
      </c>
      <c r="L30" s="5" t="n"/>
      <c r="M30" s="5" t="inlineStr">
        <is>
          <t>Sachin Bhowmick</t>
        </is>
      </c>
      <c r="N30" s="5" t="n"/>
      <c r="O30" s="5" t="inlineStr">
        <is>
          <t>Kalyanji–Anandji</t>
        </is>
      </c>
      <c r="P30" s="5" t="n"/>
      <c r="Q30" s="5" t="n"/>
      <c r="R30" s="5" t="inlineStr">
        <is>
          <t>Preetam</t>
        </is>
      </c>
      <c r="S30" s="5" t="n"/>
      <c r="T30" s="5" t="inlineStr">
        <is>
          <t>Lead</t>
        </is>
      </c>
      <c r="U30" s="20" t="n">
        <v>1</v>
      </c>
      <c r="V30" s="5" t="inlineStr">
        <is>
          <t>Not documented</t>
        </is>
      </c>
      <c r="W30" s="5" t="inlineStr">
        <is>
          <t>Not documented</t>
        </is>
      </c>
      <c r="X30" s="19" t="inlineStr">
        <is>
          <t>Pritam falls for Deepali, who has already settled on Ajit as the man she will marry. Rather than court her directly he works on her uncle, wins the old man over through a run of comic encounters, and with his backing wins Deepali herself. The film is light throughout and the obstacle is a rival rather than any objection between the couple.</t>
        </is>
      </c>
      <c r="Y30" s="19" t="inlineStr">
        <is>
          <t>To displace Ajit in Deepali's plans.</t>
        </is>
      </c>
      <c r="Z30" s="19" t="inlineStr">
        <is>
          <t>A rival already chosen, and an uncle who must be won first.</t>
        </is>
      </c>
      <c r="AA30" s="19" t="inlineStr">
        <is>
          <t>Comic persistence rewarded; little interior change.</t>
        </is>
      </c>
      <c r="AB30" s="19" t="inlineStr">
        <is>
          <t>Good</t>
        </is>
      </c>
      <c r="AC30" s="5" t="inlineStr">
        <is>
          <t>Wins Deepali.</t>
        </is>
      </c>
      <c r="AD30" s="5" t="inlineStr">
        <is>
          <t>Babita</t>
        </is>
      </c>
      <c r="AE30" s="5" t="inlineStr">
        <is>
          <t>Central</t>
        </is>
      </c>
      <c r="AF30" s="20" t="n">
        <v>9</v>
      </c>
      <c r="AG30" s="19" t="inlineStr">
        <is>
          <t>Love triangle</t>
        </is>
      </c>
      <c r="AH30" s="5" t="n"/>
      <c r="AI30" s="5" t="n"/>
      <c r="AJ30" s="5" t="n"/>
      <c r="AK30" s="5" t="n"/>
      <c r="AL30" s="5" t="n"/>
      <c r="AM30" s="5" t="n"/>
      <c r="AN30" s="5" t="inlineStr">
        <is>
          <t>Not documented</t>
        </is>
      </c>
      <c r="AO30" s="18" t="n"/>
      <c r="AP30" s="19" t="inlineStr">
        <is>
          <t>No contemporary review was located in the sources consulted.</t>
        </is>
      </c>
      <c r="AQ30" s="19" t="n"/>
      <c r="AR30" s="5" t="inlineStr">
        <is>
          <t>SOURCE-001; SOURCE-023; SOURCE-128</t>
        </is>
      </c>
      <c r="AS30" s="5" t="inlineStr">
        <is>
          <t>Low</t>
        </is>
      </c>
      <c r="AT30" s="5" t="inlineStr">
        <is>
          <t>The film article's plot section is four sentences long, so the courtship is recorded only in the outline it gives. Kapoor's second film opposite Babita in two years after Haseena Maan Jayegi.</t>
        </is>
      </c>
    </row>
    <row r="31" ht="94" customHeight="1">
      <c r="A31" s="15" t="inlineStr">
        <is>
          <t>FILM-030</t>
        </is>
      </c>
      <c r="B31" s="5" t="inlineStr">
        <is>
          <t>Raja Saab</t>
        </is>
      </c>
      <c r="C31" s="16" t="n">
        <v>25500</v>
      </c>
      <c r="D31" s="17" t="n">
        <v>1969</v>
      </c>
      <c r="E31" s="5" t="inlineStr">
        <is>
          <t>1960s</t>
        </is>
      </c>
      <c r="F31" s="5" t="inlineStr">
        <is>
          <t>Hindi</t>
        </is>
      </c>
      <c r="G31" s="5" t="inlineStr">
        <is>
          <t>Drama</t>
        </is>
      </c>
      <c r="H31" s="5" t="inlineStr">
        <is>
          <t>Romance</t>
        </is>
      </c>
      <c r="I31" s="18" t="n"/>
      <c r="J31" s="5" t="inlineStr">
        <is>
          <t>Suraj Prakash</t>
        </is>
      </c>
      <c r="K31" s="5" t="n"/>
      <c r="L31" s="5" t="inlineStr">
        <is>
          <t>Lime Light</t>
        </is>
      </c>
      <c r="M31" s="5" t="n"/>
      <c r="N31" s="5" t="n"/>
      <c r="O31" s="5" t="inlineStr">
        <is>
          <t>Kalyanji–Anandji</t>
        </is>
      </c>
      <c r="P31" s="5" t="n"/>
      <c r="Q31" s="5" t="n"/>
      <c r="R31" s="5" t="inlineStr">
        <is>
          <t>Raju</t>
        </is>
      </c>
      <c r="S31" s="5" t="n"/>
      <c r="T31" s="5" t="inlineStr">
        <is>
          <t>Lead</t>
        </is>
      </c>
      <c r="U31" s="20" t="n">
        <v>1</v>
      </c>
      <c r="V31" s="5" t="inlineStr">
        <is>
          <t>Employee of Prince Pratap Singh, impersonating him</t>
        </is>
      </c>
      <c r="W31" s="5" t="inlineStr">
        <is>
          <t>Raised in an orphanage; poor</t>
        </is>
      </c>
      <c r="X31" s="19" t="inlineStr">
        <is>
          <t>Raju grows up in an orphanage dreaming of living like a king, and is then made to impersonate his employer, Prince Pratap Singh, in front of Princess Poonam. He falls in love with her inside the imposture, and she, after some hesitation, with him. The film's question is whether her love survives the discovery that the prince courting her is a pauper.</t>
        </is>
      </c>
      <c r="Y31" s="19" t="inlineStr">
        <is>
          <t>To be loved by Poonam as the man he is pretending to be, and then as the man he is.</t>
        </is>
      </c>
      <c r="Z31" s="19" t="inlineStr">
        <is>
          <t>A borrowed royal identity standing between him and the woman who loves it.</t>
        </is>
      </c>
      <c r="AA31" s="19" t="inlineStr">
        <is>
          <t>From an orphan playing at royalty to a man who must be accepted without the disguise.</t>
        </is>
      </c>
      <c r="AB31" s="19" t="inlineStr">
        <is>
          <t>Good, inside a deception he did not choose</t>
        </is>
      </c>
      <c r="AC31" s="5" t="inlineStr">
        <is>
          <t>Left at the point of the question by the article's plot summary, which does not state the resolution.</t>
        </is>
      </c>
      <c r="AD31" s="5" t="inlineStr">
        <is>
          <t>Nanda</t>
        </is>
      </c>
      <c r="AE31" s="5" t="inlineStr">
        <is>
          <t>Central</t>
        </is>
      </c>
      <c r="AF31" s="20" t="n">
        <v>9</v>
      </c>
      <c r="AG31" s="19" t="inlineStr">
        <is>
          <t>Forbidden love</t>
        </is>
      </c>
      <c r="AH31" s="5" t="n"/>
      <c r="AI31" s="5" t="n"/>
      <c r="AJ31" s="5" t="n"/>
      <c r="AK31" s="5" t="n"/>
      <c r="AL31" s="5" t="n"/>
      <c r="AM31" s="5" t="n"/>
      <c r="AN31" s="5" t="inlineStr">
        <is>
          <t>Not documented</t>
        </is>
      </c>
      <c r="AO31" s="18" t="n"/>
      <c r="AP31" s="19" t="inlineStr">
        <is>
          <t>No contemporary review was located in the sources consulted.</t>
        </is>
      </c>
      <c r="AQ31" s="19" t="n"/>
      <c r="AR31" s="5" t="inlineStr">
        <is>
          <t>SOURCE-001; SOURCE-020; SOURCE-128</t>
        </is>
      </c>
      <c r="AS31" s="5" t="inlineStr">
        <is>
          <t>Low</t>
        </is>
      </c>
      <c r="AT31" s="5" t="inlineStr">
        <is>
          <t>The film article's plot section ends on a rhetorical question and does not state whether Poonam accepts Raju, so the pairing's ending is left blank rather than assumed. Kapoor's third film opposite Nanda in five years, after Jab Jab Phool Khile and Neend Hamari Khwab Tumhare.</t>
        </is>
      </c>
    </row>
    <row r="32" ht="139" customHeight="1">
      <c r="A32" s="15" t="inlineStr">
        <is>
          <t>FILM-031</t>
        </is>
      </c>
      <c r="B32" s="5" t="inlineStr">
        <is>
          <t>Rootha Na Karo</t>
        </is>
      </c>
      <c r="C32" s="5" t="inlineStr">
        <is>
          <t>1970</t>
        </is>
      </c>
      <c r="D32" s="17" t="n">
        <v>1970</v>
      </c>
      <c r="E32" s="5" t="inlineStr">
        <is>
          <t>1970s</t>
        </is>
      </c>
      <c r="F32" s="5" t="inlineStr">
        <is>
          <t>Hindi</t>
        </is>
      </c>
      <c r="G32" s="5" t="inlineStr">
        <is>
          <t>Drama</t>
        </is>
      </c>
      <c r="H32" s="5" t="inlineStr">
        <is>
          <t>Romance</t>
        </is>
      </c>
      <c r="I32" s="17" t="n">
        <v>146</v>
      </c>
      <c r="J32" s="5" t="inlineStr">
        <is>
          <t>Sunder Dar</t>
        </is>
      </c>
      <c r="K32" s="5" t="inlineStr">
        <is>
          <t>Bishwanath Prasad Shahabadi</t>
        </is>
      </c>
      <c r="L32" s="5" t="n"/>
      <c r="M32" s="5" t="n"/>
      <c r="N32" s="5" t="n"/>
      <c r="O32" s="5" t="inlineStr">
        <is>
          <t>C. Ramchandra</t>
        </is>
      </c>
      <c r="P32" s="5" t="n"/>
      <c r="Q32" s="5" t="inlineStr">
        <is>
          <t>Hasrat Jaipuri</t>
        </is>
      </c>
      <c r="R32" s="5" t="inlineStr">
        <is>
          <t>Sudhir</t>
        </is>
      </c>
      <c r="S32" s="5" t="n"/>
      <c r="T32" s="5" t="inlineStr">
        <is>
          <t>Lead</t>
        </is>
      </c>
      <c r="U32" s="20" t="n">
        <v>1</v>
      </c>
      <c r="V32" s="5" t="inlineStr">
        <is>
          <t>Not stated; a poor young man</t>
        </is>
      </c>
      <c r="W32" s="5" t="inlineStr">
        <is>
          <t>Poor; long-standing friend of a propertied family</t>
        </is>
      </c>
      <c r="X32" s="19" t="inlineStr">
        <is>
          <t>Sudhir is the poor childhood friend of the wealthy Neeta and now her fiance, loved and trusted by her against her cousin Naina's insistence that he is after her money. He is in fact transferring every claim on Neeta's property away from himself, and when she confronts him over the documents he is too hurt to stay. Naina's dying confession clears him.</t>
        </is>
      </c>
      <c r="Y32" s="19" t="inlineStr">
        <is>
          <t>To marry Neeta without touching a rupee of her money.</t>
        </is>
      </c>
      <c r="Z32" s="19" t="inlineStr">
        <is>
          <t>A slander he does not know is being fed to his fiancee, and his own pride once she repeats it.</t>
        </is>
      </c>
      <c r="AA32" s="19" t="inlineStr">
        <is>
          <t>Steady throughout; the change is in Neeta's trust rather than in him, and his only action is to withdraw when it fails.</t>
        </is>
      </c>
      <c r="AB32" s="19" t="inlineStr">
        <is>
          <t>Good</t>
        </is>
      </c>
      <c r="AC32" s="5" t="inlineStr">
        <is>
          <t>Pacified and reconciled with Neeta once Naina's motive is exposed.</t>
        </is>
      </c>
      <c r="AD32" s="5" t="inlineStr">
        <is>
          <t>Nanda</t>
        </is>
      </c>
      <c r="AE32" s="5" t="inlineStr">
        <is>
          <t>Central</t>
        </is>
      </c>
      <c r="AF32" s="20" t="n">
        <v>9</v>
      </c>
      <c r="AG32" s="19" t="inlineStr">
        <is>
          <t>Relationship manipulated by outsiders</t>
        </is>
      </c>
      <c r="AH32" s="5" t="n"/>
      <c r="AI32" s="5" t="n"/>
      <c r="AJ32" s="5" t="n"/>
      <c r="AK32" s="5" t="n"/>
      <c r="AL32" s="5" t="n"/>
      <c r="AM32" s="5" t="n"/>
      <c r="AN32" s="5" t="inlineStr">
        <is>
          <t>Not documented</t>
        </is>
      </c>
      <c r="AO32" s="18" t="n"/>
      <c r="AP32" s="19" t="inlineStr">
        <is>
          <t>No contemporary review was located in the sources consulted.</t>
        </is>
      </c>
      <c r="AQ32" s="19" t="n"/>
      <c r="AR32" s="5" t="inlineStr">
        <is>
          <t>SOURCE-001; SOURCE-025</t>
        </is>
      </c>
      <c r="AS32" s="5" t="inlineStr">
        <is>
          <t>Medium</t>
        </is>
      </c>
      <c r="AT32" s="5" t="inlineStr">
        <is>
          <t>Filmography table lists 1970; infobox release date is 1969-12-31. The film article's infobox gives 31 December 1969 while its opening sentence and the filmography table both call it a 1970 film; the year is kept as 1970 and the infobox date recorded here. Kapoor's fourth film opposite Nanda. The infobox gives 31 December 1969 while the article's own opening sentence and the filmography table both call it a 1970 film; the row keeps 1970.</t>
        </is>
      </c>
    </row>
    <row r="33" ht="214" customHeight="1">
      <c r="A33" s="15" t="inlineStr">
        <is>
          <t>FILM-032</t>
        </is>
      </c>
      <c r="B33" s="5" t="inlineStr">
        <is>
          <t>Abhinetri</t>
        </is>
      </c>
      <c r="C33" s="16" t="n">
        <v>25700</v>
      </c>
      <c r="D33" s="17" t="n">
        <v>1970</v>
      </c>
      <c r="E33" s="5" t="inlineStr">
        <is>
          <t>1970s</t>
        </is>
      </c>
      <c r="F33" s="5" t="inlineStr">
        <is>
          <t>Hindi</t>
        </is>
      </c>
      <c r="G33" s="5" t="inlineStr">
        <is>
          <t>Drama</t>
        </is>
      </c>
      <c r="H33" s="5" t="inlineStr">
        <is>
          <t>Romance</t>
        </is>
      </c>
      <c r="I33" s="18" t="n"/>
      <c r="J33" s="5" t="inlineStr">
        <is>
          <t>Subodh Mukherjee</t>
        </is>
      </c>
      <c r="K33" s="5" t="inlineStr">
        <is>
          <t>Subodh Mukherjee</t>
        </is>
      </c>
      <c r="L33" s="5" t="inlineStr">
        <is>
          <t>Filmalaya Studio; Filmistan</t>
        </is>
      </c>
      <c r="M33" s="5" t="inlineStr">
        <is>
          <t>Samir Ganguly; D. N. Mukherjee; Subhash Mukherjee; Subodh Mukherjee; Ehsan Rizvi</t>
        </is>
      </c>
      <c r="N33" s="5" t="n"/>
      <c r="O33" s="5" t="inlineStr">
        <is>
          <t>Laxmikant–Pyarelal</t>
        </is>
      </c>
      <c r="P33" s="5" t="n"/>
      <c r="Q33" s="5" t="n"/>
      <c r="R33" s="5" t="inlineStr">
        <is>
          <t>Shekhar</t>
        </is>
      </c>
      <c r="S33" s="5" t="n"/>
      <c r="T33" s="5" t="inlineStr">
        <is>
          <t>Lead</t>
        </is>
      </c>
      <c r="U33" s="20" t="n">
        <v>1</v>
      </c>
      <c r="V33" s="5" t="inlineStr">
        <is>
          <t>Assistant scientist</t>
        </is>
      </c>
      <c r="W33" s="5" t="inlineStr">
        <is>
          <t>Salaried professional; a mother living separately</t>
        </is>
      </c>
      <c r="X33" s="19" t="inlineStr">
        <is>
          <t>Shekhar, an assistant scientist, meets and marries the stage dancer and singer Anjana with his mother's approval. She gives up performing for him. When his laboratory begins to take all his time she returns to the stage, which he resents; the arguments end in separate lives, and they resume the marriage for his mother's sake before finding what had gone missing from it.</t>
        </is>
      </c>
      <c r="Y33" s="19" t="inlineStr">
        <is>
          <t>His work, which he cannot see is displacing his marriage.</t>
        </is>
      </c>
      <c r="Z33" s="19" t="inlineStr">
        <is>
          <t>A wife's career against a husband's assumption that she had given it up for good.</t>
        </is>
      </c>
      <c r="AA33" s="19" t="inlineStr">
        <is>
          <t>From a husband who takes Anjana's sacrifice for granted to one who understands what the marriage needs.</t>
        </is>
      </c>
      <c r="AB33" s="19" t="inlineStr">
        <is>
          <t>Good but self-absorbed</t>
        </is>
      </c>
      <c r="AC33" s="5" t="inlineStr">
        <is>
          <t>Reconciled with Anjana on terms that accommodate her work.</t>
        </is>
      </c>
      <c r="AD33" s="5" t="inlineStr">
        <is>
          <t>Hema Malini</t>
        </is>
      </c>
      <c r="AE33" s="5" t="inlineStr">
        <is>
          <t>Central</t>
        </is>
      </c>
      <c r="AF33" s="20" t="n">
        <v>9</v>
      </c>
      <c r="AG33" s="19" t="inlineStr">
        <is>
          <t>Marriage under strain</t>
        </is>
      </c>
      <c r="AH33" s="5" t="n"/>
      <c r="AI33" s="5" t="n"/>
      <c r="AJ33" s="5" t="n"/>
      <c r="AK33" s="5" t="n"/>
      <c r="AL33" s="5" t="n"/>
      <c r="AM33" s="5" t="n"/>
      <c r="AN33" s="5" t="inlineStr">
        <is>
          <t>Not documented</t>
        </is>
      </c>
      <c r="AO33" s="18" t="n"/>
      <c r="AP33" s="19" t="inlineStr">
        <is>
          <t>A retrospective notice by A. P. S. Malhotra for The Hindu is unusually direct about the pairing, stating that the so-called chemistry between Kapoor and Malini is missing, although they look fabulous together. Malhotra holds that the lead pair's star power makes the husband-and-wife story worth watching but that it fails to create the magic of Abhimaan or Aavishkaar, praises Hema Malini for her ethereal beauty and graceful dancing while finding that she does not break a mould of two or three standard expressions, and judges that Kapoor's screen persona and debonair style fail to add depth to an otherwise well-etched character. The film is also remembered for the Laxmikant-Pyarelal song 'Sa Re Ga Ma Pa'.</t>
        </is>
      </c>
      <c r="AQ33" s="19" t="n"/>
      <c r="AR33" s="5" t="inlineStr">
        <is>
          <t>SOURCE-001; SOURCE-026; SOURCE-355</t>
        </is>
      </c>
      <c r="AS33" s="5" t="inlineStr">
        <is>
          <t>Medium</t>
        </is>
      </c>
      <c r="AT33" s="5" t="inlineStr">
        <is>
          <t>Kapoor's first film opposite Hema Malini. One of the few films of this period to treat a wife's professional career as the subject of the marital conflict rather than as a detail. Critical reception rewritten: phase 2 recorded that no contemporary review was located, and The Hindu's retrospective notice of 2 December 2010 now supplies one.</t>
        </is>
      </c>
    </row>
    <row r="34" ht="79" customHeight="1">
      <c r="A34" s="15" t="inlineStr">
        <is>
          <t>FILM-033</t>
        </is>
      </c>
      <c r="B34" s="5" t="inlineStr">
        <is>
          <t>Suhana Safar</t>
        </is>
      </c>
      <c r="C34" s="16" t="n">
        <v>25725</v>
      </c>
      <c r="D34" s="17" t="n">
        <v>1970</v>
      </c>
      <c r="E34" s="5" t="inlineStr">
        <is>
          <t>1970s</t>
        </is>
      </c>
      <c r="F34" s="5" t="inlineStr">
        <is>
          <t>Hindi</t>
        </is>
      </c>
      <c r="G34" s="5" t="inlineStr">
        <is>
          <t>Romantic comedy</t>
        </is>
      </c>
      <c r="H34" s="5" t="inlineStr">
        <is>
          <t>Road movie</t>
        </is>
      </c>
      <c r="I34" s="18" t="n"/>
      <c r="J34" s="5" t="inlineStr">
        <is>
          <t>Vijay</t>
        </is>
      </c>
      <c r="K34" s="5" t="n"/>
      <c r="L34" s="5" t="n"/>
      <c r="M34" s="5" t="n"/>
      <c r="N34" s="5" t="n"/>
      <c r="O34" s="5" t="inlineStr">
        <is>
          <t>Laxmikant–Pyarelal</t>
        </is>
      </c>
      <c r="P34" s="5" t="n"/>
      <c r="Q34" s="5" t="n"/>
      <c r="R34" s="5" t="inlineStr">
        <is>
          <t>Sunil</t>
        </is>
      </c>
      <c r="S34" s="5" t="n"/>
      <c r="T34" s="5" t="inlineStr">
        <is>
          <t>Lead</t>
        </is>
      </c>
      <c r="U34" s="20" t="n">
        <v>1</v>
      </c>
      <c r="V34" s="5" t="inlineStr">
        <is>
          <t>Not stated; owns and drives a Jeep</t>
        </is>
      </c>
      <c r="W34" s="5" t="inlineStr">
        <is>
          <t>Ordinary means, set against Sapna's wealthy household</t>
        </is>
      </c>
      <c r="X34" s="19" t="inlineStr">
        <is>
          <t>Sunil meets Sapna when she runs away from her father and the psychiatrist he has engaged, chasing the poet Ujjwala whose verse she has fallen in love with. He escorts her across the country toward Phulwari through accidents, a tour coach and men hunting the reward her father has posted, loving her without return while she pursues a man she has never met.</t>
        </is>
      </c>
      <c r="Y34" s="19" t="inlineStr">
        <is>
          <t>To get Sapna safely to Phulwari, and to be loved by her rather than by the poet she imagines.</t>
        </is>
      </c>
      <c r="Z34" s="19" t="inlineStr">
        <is>
          <t>A rival who exists only as poetry, and a father's reward that turns every stranger into a threat.</t>
        </is>
      </c>
      <c r="AA34" s="19" t="inlineStr">
        <is>
          <t>From an accidental travelling companion to the man whose devotion is the alternative to Sapna's fantasy.</t>
        </is>
      </c>
      <c r="AB34" s="19" t="inlineStr">
        <is>
          <t>Good</t>
        </is>
      </c>
      <c r="AC34" s="5" t="inlineStr">
        <is>
          <t>Left at the point where Sapna must reconcile the poet she loves with the man who has carried her there.</t>
        </is>
      </c>
      <c r="AD34" s="5" t="inlineStr">
        <is>
          <t>Sharmila Tagore</t>
        </is>
      </c>
      <c r="AE34" s="5" t="inlineStr">
        <is>
          <t>Central</t>
        </is>
      </c>
      <c r="AF34" s="20" t="n">
        <v>9</v>
      </c>
      <c r="AG34" s="19" t="inlineStr">
        <is>
          <t>Unrequited love</t>
        </is>
      </c>
      <c r="AH34" s="5" t="n"/>
      <c r="AI34" s="5" t="n"/>
      <c r="AJ34" s="5" t="n"/>
      <c r="AK34" s="5" t="n"/>
      <c r="AL34" s="5" t="n"/>
      <c r="AM34" s="5" t="n"/>
      <c r="AN34" s="5" t="inlineStr">
        <is>
          <t>Not documented</t>
        </is>
      </c>
      <c r="AO34" s="18" t="n"/>
      <c r="AP34" s="19" t="inlineStr">
        <is>
          <t>No contemporary review was located; the film article notes that the songs 'Yeh Suhana Safar' and 'Saari Khushiyan Hai' remained popular.</t>
        </is>
      </c>
      <c r="AQ34" s="19" t="n"/>
      <c r="AR34" s="5" t="inlineStr">
        <is>
          <t>SOURCE-001; SOURCE-024</t>
        </is>
      </c>
      <c r="AS34" s="5" t="inlineStr">
        <is>
          <t>Medium</t>
        </is>
      </c>
      <c r="AT34" s="5" t="n"/>
    </row>
    <row r="35" ht="94" customHeight="1">
      <c r="A35" s="15" t="inlineStr">
        <is>
          <t>FILM-034</t>
        </is>
      </c>
      <c r="B35" s="5" t="inlineStr">
        <is>
          <t>My Love</t>
        </is>
      </c>
      <c r="C35" s="16" t="n">
        <v>25829</v>
      </c>
      <c r="D35" s="17" t="n">
        <v>1970</v>
      </c>
      <c r="E35" s="5" t="inlineStr">
        <is>
          <t>1970s</t>
        </is>
      </c>
      <c r="F35" s="5" t="inlineStr">
        <is>
          <t>Hindi</t>
        </is>
      </c>
      <c r="G35" s="5" t="inlineStr">
        <is>
          <t>Romance</t>
        </is>
      </c>
      <c r="H35" s="5" t="inlineStr">
        <is>
          <t>Musical</t>
        </is>
      </c>
      <c r="I35" s="18" t="n"/>
      <c r="J35" s="5" t="inlineStr">
        <is>
          <t>S. Sukhdev; Sukhdev Singh Sandhu</t>
        </is>
      </c>
      <c r="K35" s="5" t="n"/>
      <c r="L35" s="5" t="n"/>
      <c r="M35" s="5" t="n"/>
      <c r="N35" s="5" t="n"/>
      <c r="O35" s="5" t="inlineStr">
        <is>
          <t>Daan Singh</t>
        </is>
      </c>
      <c r="P35" s="5" t="n"/>
      <c r="Q35" s="5" t="inlineStr">
        <is>
          <t>Anand Bakshi</t>
        </is>
      </c>
      <c r="R35" s="5" t="inlineStr">
        <is>
          <t>Raj Kumar</t>
        </is>
      </c>
      <c r="S35" s="5" t="n"/>
      <c r="T35" s="5" t="inlineStr">
        <is>
          <t>Lead</t>
        </is>
      </c>
      <c r="U35" s="20" t="n">
        <v>1</v>
      </c>
      <c r="V35" s="5" t="inlineStr">
        <is>
          <t>Musician</t>
        </is>
      </c>
      <c r="W35" s="5" t="inlineStr">
        <is>
          <t>Indian expatriate community in Nairobi</t>
        </is>
      </c>
      <c r="X35" s="19" t="inlineStr">
        <is>
          <t>Raj Kumar Rai is a musician living in Nairobi who meets Sangeeta at a function and falls in love with her, while Rani Mehta is in love with him. The article's plot section runs to three sentences and does not carry the triangle any further, so the course and outcome of either attachment are undocumented.</t>
        </is>
      </c>
      <c r="Y35" s="19" t="inlineStr">
        <is>
          <t>To be with Sangeeta.</t>
        </is>
      </c>
      <c r="Z35" s="19" t="inlineStr">
        <is>
          <t>Not documented beyond the existence of a third party who loves him.</t>
        </is>
      </c>
      <c r="AA35" s="19" t="n"/>
      <c r="AB35" s="19" t="inlineStr">
        <is>
          <t>Good</t>
        </is>
      </c>
      <c r="AC35" s="5" t="inlineStr">
        <is>
          <t>Not documented.</t>
        </is>
      </c>
      <c r="AD35" s="5" t="inlineStr">
        <is>
          <t>Sharmila Tagore</t>
        </is>
      </c>
      <c r="AE35" s="5" t="inlineStr">
        <is>
          <t>Central</t>
        </is>
      </c>
      <c r="AF35" s="20" t="n">
        <v>9</v>
      </c>
      <c r="AG35" s="19" t="inlineStr">
        <is>
          <t>Love triangle</t>
        </is>
      </c>
      <c r="AH35" s="5" t="n"/>
      <c r="AI35" s="5" t="n"/>
      <c r="AJ35" s="5" t="n"/>
      <c r="AK35" s="5" t="n"/>
      <c r="AL35" s="5" t="n"/>
      <c r="AM35" s="5" t="n"/>
      <c r="AN35" s="5" t="inlineStr">
        <is>
          <t>Flop</t>
        </is>
      </c>
      <c r="AO35" s="18" t="n"/>
      <c r="AP35" s="19" t="inlineStr">
        <is>
          <t>The reviewer for the Indian Express called the film a lukewarm, lifeless affair irredeemable even by Kapoor's sterling performance.</t>
        </is>
      </c>
      <c r="AQ35" s="19" t="inlineStr">
        <is>
          <t>The first Hindi film shot in Kenya and Tanzania.</t>
        </is>
      </c>
      <c r="AR35" s="5" t="inlineStr">
        <is>
          <t>SOURCE-001; SOURCE-027</t>
        </is>
      </c>
      <c r="AS35" s="5" t="inlineStr">
        <is>
          <t>Low</t>
        </is>
      </c>
      <c r="AT35" s="5" t="inlineStr">
        <is>
          <t>The article's plot section is three sentences long. A Romances row is created for Sangeeta because the attachment is stated, but almost every categorical field in it is recorded as unclear. Rani Mehta's love for Raj Kumar is one-sided and he is not recorded as participating in it, so it is not given a row.</t>
        </is>
      </c>
    </row>
    <row r="36" ht="184" customHeight="1">
      <c r="A36" s="15" t="inlineStr">
        <is>
          <t>FILM-035</t>
        </is>
      </c>
      <c r="B36" s="5" t="inlineStr">
        <is>
          <t>Jahan Pyar Mile</t>
        </is>
      </c>
      <c r="C36" s="16" t="n">
        <v>25871</v>
      </c>
      <c r="D36" s="17" t="n">
        <v>1970</v>
      </c>
      <c r="E36" s="5" t="inlineStr">
        <is>
          <t>1970s</t>
        </is>
      </c>
      <c r="F36" s="5" t="inlineStr">
        <is>
          <t>Hindi</t>
        </is>
      </c>
      <c r="G36" s="5" t="inlineStr">
        <is>
          <t>Drama</t>
        </is>
      </c>
      <c r="H36" s="5" t="n"/>
      <c r="I36" s="18" t="n"/>
      <c r="J36" s="5" t="inlineStr">
        <is>
          <t>Lekh Tandon</t>
        </is>
      </c>
      <c r="K36" s="5" t="inlineStr">
        <is>
          <t>Lekh Tandon</t>
        </is>
      </c>
      <c r="L36" s="5" t="n"/>
      <c r="M36" s="5" t="n"/>
      <c r="N36" s="5" t="n"/>
      <c r="O36" s="5" t="inlineStr">
        <is>
          <t>Shankar–Jaikishan</t>
        </is>
      </c>
      <c r="P36" s="5" t="n"/>
      <c r="Q36" s="5" t="n"/>
      <c r="R36" s="5" t="inlineStr">
        <is>
          <t>Vrajendra</t>
        </is>
      </c>
      <c r="S36" s="5" t="inlineStr">
        <is>
          <t>Kaleem; Richard</t>
        </is>
      </c>
      <c r="T36" s="5" t="inlineStr">
        <is>
          <t>Lead</t>
        </is>
      </c>
      <c r="U36" s="20" t="n">
        <v>1</v>
      </c>
      <c r="V36" s="5" t="inlineStr">
        <is>
          <t>Not documented</t>
        </is>
      </c>
      <c r="W36" s="5" t="n"/>
      <c r="X36" s="19" t="inlineStr">
        <is>
          <t>A triple role, credited as Vrajendra, Kaleem and Richard, opposite Hema Malini. The article, titled Jahan Pyar Miley, carries only a cast list with no character mappings and no plot, story or synopsis section, so the relation between the three identities and everything about the part beyond its names is undocumented.</t>
        </is>
      </c>
      <c r="Y36" s="19" t="n"/>
      <c r="Z36" s="19" t="n"/>
      <c r="AA36" s="19" t="n"/>
      <c r="AB36" s="19" t="n"/>
      <c r="AC36" s="5" t="n"/>
      <c r="AD36" s="5" t="inlineStr">
        <is>
          <t>Hema Malini</t>
        </is>
      </c>
      <c r="AE36" s="5" t="n"/>
      <c r="AF36" s="18" t="n"/>
      <c r="AG36" s="19" t="n"/>
      <c r="AH36" s="5" t="n"/>
      <c r="AI36" s="5" t="n"/>
      <c r="AJ36" s="5" t="n"/>
      <c r="AK36" s="5" t="n"/>
      <c r="AL36" s="5" t="n"/>
      <c r="AM36" s="5" t="n"/>
      <c r="AN36" s="5" t="inlineStr">
        <is>
          <t>Not documented</t>
        </is>
      </c>
      <c r="AO36" s="18" t="n"/>
      <c r="AP36" s="19" t="inlineStr">
        <is>
          <t>No review was located. The article notes that Sharda won the 1970 Filmfare Award for Best Female Playback Singer for the song 'Baat Zara Hai Aapas Ki'.</t>
        </is>
      </c>
      <c r="AQ36" s="19" t="n"/>
      <c r="AR36" s="5" t="inlineStr">
        <is>
          <t>SOURCE-001; SOURCE-022</t>
        </is>
      </c>
      <c r="AS36" s="5" t="inlineStr">
        <is>
          <t>Low</t>
        </is>
      </c>
      <c r="AT36" s="5" t="inlineStr">
        <is>
          <t>Filmography table lists 1969; infobox release date is 1970-10-30. The filmography table lists 1969; the film article, titled Jahan Pyar Miley, gives a release date of 30 October 1970 and calls it a 1970 film. The article has no plot section and its cast list gives no character names, so romance presence, relationship classification and the narrative fields are left blank rather than inferred, and no Romances row is created. The three credited names, Vrajendra, Kaleem and Richard, span Hindu, Muslim and Christian identities, which suggests a disguise plot, but no source consulted states this.</t>
        </is>
      </c>
    </row>
    <row r="37" ht="124" customHeight="1">
      <c r="A37" s="15" t="inlineStr">
        <is>
          <t>FILM-036</t>
        </is>
      </c>
      <c r="B37" s="5" t="inlineStr">
        <is>
          <t>Bombay Talkie</t>
        </is>
      </c>
      <c r="C37" s="16" t="n">
        <v>25892</v>
      </c>
      <c r="D37" s="17" t="n">
        <v>1970</v>
      </c>
      <c r="E37" s="5" t="inlineStr">
        <is>
          <t>1970s</t>
        </is>
      </c>
      <c r="F37" s="5" t="inlineStr">
        <is>
          <t>English</t>
        </is>
      </c>
      <c r="G37" s="5" t="inlineStr">
        <is>
          <t>Drama</t>
        </is>
      </c>
      <c r="H37" s="5" t="inlineStr">
        <is>
          <t>Romance</t>
        </is>
      </c>
      <c r="I37" s="17" t="n">
        <v>112</v>
      </c>
      <c r="J37" s="5" t="inlineStr">
        <is>
          <t>James Ivory</t>
        </is>
      </c>
      <c r="K37" s="5" t="inlineStr">
        <is>
          <t>Ismail Merchant</t>
        </is>
      </c>
      <c r="L37" s="5" t="inlineStr">
        <is>
          <t>Merchant Ivory Productions</t>
        </is>
      </c>
      <c r="M37" s="5" t="inlineStr">
        <is>
          <t>Ruth Prawer Jhabvala; James Ivory</t>
        </is>
      </c>
      <c r="N37" s="5" t="n"/>
      <c r="O37" s="5" t="inlineStr">
        <is>
          <t>Shankar–Jaikishan</t>
        </is>
      </c>
      <c r="P37" s="5" t="n"/>
      <c r="Q37" s="5" t="n"/>
      <c r="R37" s="5" t="inlineStr">
        <is>
          <t>Vikram</t>
        </is>
      </c>
      <c r="S37" s="5" t="n"/>
      <c r="T37" s="5" t="inlineStr">
        <is>
          <t>Lead</t>
        </is>
      </c>
      <c r="U37" s="20" t="n">
        <v>1</v>
      </c>
      <c r="V37" s="5" t="inlineStr">
        <is>
          <t>Hindi film star</t>
        </is>
      </c>
      <c r="W37" s="5" t="inlineStr">
        <is>
          <t>Bombay film industry; married</t>
        </is>
      </c>
      <c r="X37" s="19" t="inlineStr">
        <is>
          <t>Vikram is a famous Hindi film actor who begins an affair with Lucia Lane, a British author researching the industry he works in. He is married, and his friend Hari is in love with Lucia, so the affair is boxed in on both sides. Kapoor, a working star of that industry, is effectively playing a version of his own position.</t>
        </is>
      </c>
      <c r="Y37" s="19" t="inlineStr">
        <is>
          <t>Lucia, and the flattery of being the subject of her interest.</t>
        </is>
      </c>
      <c r="Z37" s="19" t="inlineStr">
        <is>
          <t>A wife on one side and a friend in love with the same woman on the other.</t>
        </is>
      </c>
      <c r="AA37" s="19" t="inlineStr">
        <is>
          <t>Not detailed by the article's brief plot summary.</t>
        </is>
      </c>
      <c r="AB37" s="19" t="inlineStr">
        <is>
          <t>Morally careless</t>
        </is>
      </c>
      <c r="AC37" s="5" t="inlineStr">
        <is>
          <t>Not documented.</t>
        </is>
      </c>
      <c r="AD37" s="5" t="inlineStr">
        <is>
          <t>Jennifer Kendal; Aparna Sen</t>
        </is>
      </c>
      <c r="AE37" s="5" t="inlineStr">
        <is>
          <t>Central</t>
        </is>
      </c>
      <c r="AF37" s="20" t="n">
        <v>9</v>
      </c>
      <c r="AG37" s="19" t="inlineStr">
        <is>
          <t>Love triangle</t>
        </is>
      </c>
      <c r="AH37" s="21" t="n">
        <v>1.1</v>
      </c>
      <c r="AI37" s="5" t="n"/>
      <c r="AJ37" s="5" t="n"/>
      <c r="AK37" s="5" t="n"/>
      <c r="AL37" s="5" t="n"/>
      <c r="AM37" s="5" t="inlineStr">
        <is>
          <t>INR crore</t>
        </is>
      </c>
      <c r="AN37" s="5" t="inlineStr">
        <is>
          <t>Not documented</t>
        </is>
      </c>
      <c r="AO37" s="18" t="n"/>
      <c r="AP37" s="19" t="inlineStr">
        <is>
          <t>No contemporary review was located in the sources consulted.</t>
        </is>
      </c>
      <c r="AQ37" s="19" t="inlineStr">
        <is>
          <t>A Merchant Ivory production in which Kapoor plays opposite his wife Jennifer Kendal. Amitabh Bachchan appears uncredited as a man attending a funeral, in what is among his earliest screen appearances.</t>
        </is>
      </c>
      <c r="AR37" s="5" t="inlineStr">
        <is>
          <t>SOURCE-001; SOURCE-028</t>
        </is>
      </c>
      <c r="AS37" s="5" t="inlineStr">
        <is>
          <t>Medium</t>
        </is>
      </c>
      <c r="AT37" s="5" t="inlineStr">
        <is>
          <t>Filmography notes: English film. Infobox gross '₹55 lakh' has no nett/gross label and is not entered. Vikram's wife Mala is played by Aparna Sen, who later directed 36 Chowringhee Lane for Kapoor as producer. The article's plot summary establishes only that Vikram is married; it gives the marriage no narrative development, so it is recorded here rather than given a Romances row, and only the affair with Lucia is scored.</t>
        </is>
      </c>
    </row>
    <row r="38" ht="184" customHeight="1">
      <c r="A38" s="15" t="inlineStr">
        <is>
          <t>FILM-037</t>
        </is>
      </c>
      <c r="B38" s="5" t="inlineStr">
        <is>
          <t>Sharmeelee</t>
        </is>
      </c>
      <c r="C38" s="5" t="inlineStr">
        <is>
          <t>1971</t>
        </is>
      </c>
      <c r="D38" s="17" t="n">
        <v>1971</v>
      </c>
      <c r="E38" s="5" t="inlineStr">
        <is>
          <t>1970s</t>
        </is>
      </c>
      <c r="F38" s="5" t="inlineStr">
        <is>
          <t>Hindi</t>
        </is>
      </c>
      <c r="G38" s="5" t="inlineStr">
        <is>
          <t>Romantic drama</t>
        </is>
      </c>
      <c r="H38" s="5" t="inlineStr">
        <is>
          <t>Musical</t>
        </is>
      </c>
      <c r="I38" s="17" t="n">
        <v>44</v>
      </c>
      <c r="J38" s="5" t="inlineStr">
        <is>
          <t>Samir Ganguly</t>
        </is>
      </c>
      <c r="K38" s="5" t="inlineStr">
        <is>
          <t>Subodh Mukherjee</t>
        </is>
      </c>
      <c r="L38" s="5" t="n"/>
      <c r="M38" s="5" t="inlineStr">
        <is>
          <t>Gulshan Nanda</t>
        </is>
      </c>
      <c r="N38" s="5" t="n"/>
      <c r="O38" s="5" t="inlineStr">
        <is>
          <t>S. D. Burman</t>
        </is>
      </c>
      <c r="P38" s="5" t="n"/>
      <c r="Q38" s="5" t="n"/>
      <c r="R38" s="5" t="inlineStr">
        <is>
          <t>Ajit Kapoor</t>
        </is>
      </c>
      <c r="S38" s="5" t="n"/>
      <c r="T38" s="5" t="inlineStr">
        <is>
          <t>Lead</t>
        </is>
      </c>
      <c r="U38" s="20" t="n">
        <v>1</v>
      </c>
      <c r="V38" s="5" t="inlineStr">
        <is>
          <t>Captain in the Indian Army</t>
        </is>
      </c>
      <c r="W38" s="5" t="inlineStr">
        <is>
          <t>Foster son of a village priest; army officer</t>
        </is>
      </c>
      <c r="X38" s="19" t="inlineStr">
        <is>
          <t>Captain Ajit Kapoor meets Kamini when she breaks into his army base for food during a Kashmir snowstorm, and the two are immediately taken with each other, but she leaves before he learns her name. Sent home to be introduced to a prospective bride, he finds her twin Kanchan, mistakes her for his lost love, and agrees to the marriage in delight, which collapses the moment Kamini returns.</t>
        </is>
      </c>
      <c r="Y38" s="19" t="inlineStr">
        <is>
          <t>To find and marry the woman from the Kashmir cabin.</t>
        </is>
      </c>
      <c r="Z38" s="19" t="inlineStr">
        <is>
          <t>Identical twins, one of whom he loves and the other of whom he has agreed to marry.</t>
        </is>
      </c>
      <c r="AA38" s="19" t="inlineStr">
        <is>
          <t>From a soldier reciting poetry alone to a man who must choose between the sister he wants and the sister he has wronged by mistake.</t>
        </is>
      </c>
      <c r="AB38" s="19" t="inlineStr">
        <is>
          <t>Good</t>
        </is>
      </c>
      <c r="AC38" s="5" t="inlineStr">
        <is>
          <t>The marriage to Kanchan is broken off once the confusion is exposed.</t>
        </is>
      </c>
      <c r="AD38" s="5" t="inlineStr">
        <is>
          <t>Raakhee</t>
        </is>
      </c>
      <c r="AE38" s="5" t="inlineStr">
        <is>
          <t>Central</t>
        </is>
      </c>
      <c r="AF38" s="20" t="n">
        <v>10</v>
      </c>
      <c r="AG38" s="19" t="inlineStr">
        <is>
          <t>Multiple romantic relationships</t>
        </is>
      </c>
      <c r="AH38" s="5" t="n"/>
      <c r="AI38" s="21" t="n">
        <v>2.6</v>
      </c>
      <c r="AJ38" s="5" t="n"/>
      <c r="AK38" s="5" t="n"/>
      <c r="AL38" s="5" t="n"/>
      <c r="AM38" s="5" t="inlineStr">
        <is>
          <t>INR crore</t>
        </is>
      </c>
      <c r="AN38" s="5" t="inlineStr">
        <is>
          <t>Semi-hit</t>
        </is>
      </c>
      <c r="AO38" s="18" t="n"/>
      <c r="AP38" s="19" t="inlineStr">
        <is>
          <t>The film article records powerful and promising performances by Kapoor and Raakhee and both critical and commercial success, while Box Office India declared it a semi-hit. Its S. D. Burman soundtrack was an immediate popular success. A retrospective notice for The Hindu calls Raakhee's double role here among the more unforgettable examples of the device and only her second Hindi film, records the film as the first of the ten Kapoor and Raakhee films made between 1971 and 1985, six of which were big hits, and credits Burman's compositions with contributing substantially to its box-office performance.</t>
        </is>
      </c>
      <c r="AQ38" s="19" t="n"/>
      <c r="AR38" s="5" t="inlineStr">
        <is>
          <t>SOURCE-001; SOURCE-029; SOURCE-356</t>
        </is>
      </c>
      <c r="AS38" s="5" t="inlineStr">
        <is>
          <t>Medium</t>
        </is>
      </c>
      <c r="AT38" s="5" t="inlineStr">
        <is>
          <t>Raakhee plays both twins, so two Romances rows are created for one actress: PAIR-021 for Kamini, the woman Ajit actually loves, and PAIR-022 for Kanchan, to whom he becomes engaged by mistake. The nett figure of roughly Rs 2.6 crore is the film article's, and is labelled nett there. The Hindu's notice credits 'Burman' without initials; the soundtrack is S. D. Burman's, and no initial is asserted here.</t>
        </is>
      </c>
    </row>
    <row r="39" ht="79" customHeight="1">
      <c r="A39" s="15" t="inlineStr">
        <is>
          <t>FILM-038</t>
        </is>
      </c>
      <c r="B39" s="5" t="inlineStr">
        <is>
          <t>Patanga</t>
        </is>
      </c>
      <c r="C39" s="5" t="inlineStr">
        <is>
          <t>1971</t>
        </is>
      </c>
      <c r="D39" s="17" t="n">
        <v>1971</v>
      </c>
      <c r="E39" s="5" t="inlineStr">
        <is>
          <t>1970s</t>
        </is>
      </c>
      <c r="F39" s="5" t="inlineStr">
        <is>
          <t>Hindi</t>
        </is>
      </c>
      <c r="G39" s="5" t="inlineStr">
        <is>
          <t>Drama</t>
        </is>
      </c>
      <c r="H39" s="5" t="inlineStr">
        <is>
          <t>Romance</t>
        </is>
      </c>
      <c r="I39" s="18" t="n"/>
      <c r="J39" s="5" t="inlineStr">
        <is>
          <t>Kedar Kapoor</t>
        </is>
      </c>
      <c r="K39" s="5" t="inlineStr">
        <is>
          <t>Kedar Kapoor; R. S. Sharma</t>
        </is>
      </c>
      <c r="L39" s="5" t="n"/>
      <c r="M39" s="5" t="n"/>
      <c r="N39" s="5" t="n"/>
      <c r="O39" s="5" t="inlineStr">
        <is>
          <t>Shankar–Jaikishan</t>
        </is>
      </c>
      <c r="P39" s="5" t="n"/>
      <c r="Q39" s="5" t="n"/>
      <c r="R39" s="5" t="inlineStr">
        <is>
          <t>Shyam</t>
        </is>
      </c>
      <c r="S39" s="5" t="n"/>
      <c r="T39" s="5" t="inlineStr">
        <is>
          <t>Lead</t>
        </is>
      </c>
      <c r="U39" s="20" t="n">
        <v>1</v>
      </c>
      <c r="V39" s="5" t="inlineStr">
        <is>
          <t>Educated son of a palace retainer</t>
        </is>
      </c>
      <c r="W39" s="5" t="inlineStr">
        <is>
          <t>Son of Ramu, a servant in Kuwar Amar Singh's palace, educated at his master's expense</t>
        </is>
      </c>
      <c r="X39" s="19" t="inlineStr">
        <is>
          <t>Shyam, a servant's son educated by his father's employer, meets Renu on a train and is drawn to her after she wrongly takes him for a purse thief. When his benefactor Amar Singh grows attached to Renu, who resembles the sweetheart whose death left him a bachelor, Shyam sets out to give her up for him, acting distant and finally drinking to drive her off.</t>
        </is>
      </c>
      <c r="Y39" s="19" t="inlineStr">
        <is>
          <t>To repay Amar Singh by surrendering the woman he loves to him.</t>
        </is>
      </c>
      <c r="Z39" s="19" t="inlineStr">
        <is>
          <t>Gratitude to a benefactor set against his own attachment, with Renu refusing to be transferred between them.</t>
        </is>
      </c>
      <c r="AA39" s="19" t="inlineStr">
        <is>
          <t>From an easy courtship into deliberate self-sabotage, and out of it only when Amar Singh discovers the truth and unites them.</t>
        </is>
      </c>
      <c r="AB39" s="19" t="inlineStr">
        <is>
          <t>Good, to the point of self-destruction</t>
        </is>
      </c>
      <c r="AC39" s="5" t="inlineStr">
        <is>
          <t>Married to Renu with Amar Singh's blessing after the rivalry with Chandan Singh is settled.</t>
        </is>
      </c>
      <c r="AD39" s="5" t="inlineStr">
        <is>
          <t>Vimi</t>
        </is>
      </c>
      <c r="AE39" s="5" t="inlineStr">
        <is>
          <t>Central</t>
        </is>
      </c>
      <c r="AF39" s="20" t="n">
        <v>9</v>
      </c>
      <c r="AG39" s="19" t="inlineStr">
        <is>
          <t>United couple versus external world</t>
        </is>
      </c>
      <c r="AH39" s="5" t="n"/>
      <c r="AI39" s="5" t="n"/>
      <c r="AJ39" s="5" t="n"/>
      <c r="AK39" s="5" t="n"/>
      <c r="AL39" s="5" t="n"/>
      <c r="AM39" s="5" t="n"/>
      <c r="AN39" s="5" t="inlineStr">
        <is>
          <t>Not documented</t>
        </is>
      </c>
      <c r="AO39" s="18" t="n"/>
      <c r="AP39" s="19" t="inlineStr">
        <is>
          <t>No contemporary review was located in the sources consulted.</t>
        </is>
      </c>
      <c r="AQ39" s="19" t="n"/>
      <c r="AR39" s="5" t="inlineStr">
        <is>
          <t>SOURCE-001; SOURCE-030</t>
        </is>
      </c>
      <c r="AS39" s="5" t="inlineStr">
        <is>
          <t>Medium</t>
        </is>
      </c>
      <c r="AT39" s="5" t="inlineStr">
        <is>
          <t>The class objection is voiced by Chandan Singh, who is insulted at being asked to give his sister to a servant's son; the same barrier recurs across Kapoor's romances of this period.</t>
        </is>
      </c>
    </row>
    <row r="40" ht="64" customHeight="1">
      <c r="A40" s="15" t="inlineStr">
        <is>
          <t>FILM-039</t>
        </is>
      </c>
      <c r="B40" s="5" t="inlineStr">
        <is>
          <t>Chori Chori</t>
        </is>
      </c>
      <c r="C40" s="5" t="inlineStr">
        <is>
          <t>1972</t>
        </is>
      </c>
      <c r="D40" s="17" t="n">
        <v>1972</v>
      </c>
      <c r="E40" s="5" t="inlineStr">
        <is>
          <t>1970s</t>
        </is>
      </c>
      <c r="F40" s="5" t="n"/>
      <c r="G40" s="5" t="inlineStr">
        <is>
          <t>Drama</t>
        </is>
      </c>
      <c r="H40" s="5" t="n"/>
      <c r="I40" s="18" t="n"/>
      <c r="J40" s="5" t="n"/>
      <c r="K40" s="5" t="n"/>
      <c r="L40" s="5" t="n"/>
      <c r="M40" s="5" t="n"/>
      <c r="N40" s="5" t="n"/>
      <c r="O40" s="5" t="n"/>
      <c r="P40" s="5" t="n"/>
      <c r="Q40" s="5" t="n"/>
      <c r="R40" s="5" t="inlineStr">
        <is>
          <t>Himself</t>
        </is>
      </c>
      <c r="S40" s="5" t="n"/>
      <c r="T40" s="5" t="inlineStr">
        <is>
          <t>Self appearance</t>
        </is>
      </c>
      <c r="U40" s="18" t="n"/>
      <c r="V40" s="5" t="n"/>
      <c r="W40" s="5" t="n"/>
      <c r="X40" s="19" t="inlineStr">
        <is>
          <t>A guest appearance as himself. No Wikipedia article or other source was located, so the context of the appearance, whether it is a song, a party scene or a film-within-a-film, is undocumented.</t>
        </is>
      </c>
      <c r="Y40" s="19" t="n"/>
      <c r="Z40" s="19" t="n"/>
      <c r="AA40" s="19" t="n"/>
      <c r="AB40" s="19" t="n"/>
      <c r="AC40" s="5" t="n"/>
      <c r="AD40" s="5" t="n"/>
      <c r="AE40" s="5" t="inlineStr">
        <is>
          <t>None</t>
        </is>
      </c>
      <c r="AF40" s="18" t="n"/>
      <c r="AG40" s="19" t="inlineStr">
        <is>
          <t>No meaningful romance</t>
        </is>
      </c>
      <c r="AH40" s="5" t="n"/>
      <c r="AI40" s="5" t="n"/>
      <c r="AJ40" s="5" t="n"/>
      <c r="AK40" s="5" t="n"/>
      <c r="AL40" s="5" t="n"/>
      <c r="AM40" s="5" t="n"/>
      <c r="AN40" s="5" t="n"/>
      <c r="AO40" s="18" t="n"/>
      <c r="AP40" s="19" t="n"/>
      <c r="AQ40" s="19" t="n"/>
      <c r="AR40" s="5" t="inlineStr">
        <is>
          <t>SOURCE-001</t>
        </is>
      </c>
      <c r="AS40" s="5" t="inlineStr">
        <is>
          <t>Low</t>
        </is>
      </c>
      <c r="AT40" s="5" t="inlineStr">
        <is>
          <t>Filmography notes: Guest appearance. No Wikipedia film article; fields come from the filmography table. No film article exists. Role type is Self appearance on the filmography's own description of the credit.</t>
        </is>
      </c>
    </row>
    <row r="41" ht="79" customHeight="1">
      <c r="A41" s="15" t="inlineStr">
        <is>
          <t>FILM-040</t>
        </is>
      </c>
      <c r="B41" s="5" t="inlineStr">
        <is>
          <t>Jaanwar Aur Insaan</t>
        </is>
      </c>
      <c r="C41" s="5" t="inlineStr">
        <is>
          <t>1972</t>
        </is>
      </c>
      <c r="D41" s="17" t="n">
        <v>1972</v>
      </c>
      <c r="E41" s="5" t="inlineStr">
        <is>
          <t>1970s</t>
        </is>
      </c>
      <c r="F41" s="5" t="inlineStr">
        <is>
          <t>Hindi</t>
        </is>
      </c>
      <c r="G41" s="5" t="inlineStr">
        <is>
          <t>Action drama</t>
        </is>
      </c>
      <c r="H41" s="5" t="inlineStr">
        <is>
          <t>Adventure</t>
        </is>
      </c>
      <c r="I41" s="17" t="n">
        <v>154</v>
      </c>
      <c r="J41" s="5" t="inlineStr">
        <is>
          <t>Chanakya</t>
        </is>
      </c>
      <c r="K41" s="5" t="inlineStr">
        <is>
          <t>Sandow M. M. A. Chinnappa Thevar</t>
        </is>
      </c>
      <c r="L41" s="5" t="inlineStr">
        <is>
          <t>Dhandayuthapani Films</t>
        </is>
      </c>
      <c r="M41" s="5" t="inlineStr">
        <is>
          <t>Inder Raj Anand; Sandow M. M. A. Chinnappa Thevar</t>
        </is>
      </c>
      <c r="N41" s="5" t="n"/>
      <c r="O41" s="5" t="inlineStr">
        <is>
          <t>Kalyanji–Anandji</t>
        </is>
      </c>
      <c r="P41" s="5" t="n"/>
      <c r="Q41" s="5" t="inlineStr">
        <is>
          <t>Indeevar; Gulshan Bawra</t>
        </is>
      </c>
      <c r="R41" s="5" t="inlineStr">
        <is>
          <t>Shekhar</t>
        </is>
      </c>
      <c r="S41" s="5" t="n"/>
      <c r="T41" s="5" t="inlineStr">
        <is>
          <t>Lead</t>
        </is>
      </c>
      <c r="U41" s="20" t="n">
        <v>1</v>
      </c>
      <c r="V41" s="5" t="inlineStr">
        <is>
          <t>Estate manager and hunter</t>
        </is>
      </c>
      <c r="W41" s="5" t="inlineStr">
        <is>
          <t>Wealthy landowning family in Jamuna Nagar; widowed mother</t>
        </is>
      </c>
      <c r="X41" s="19" t="inlineStr">
        <is>
          <t>Shekhar manages his family estate in a region terrorised by a man-eating tiger he himself wounded. He marries Meena across a blood feud, her father having killed his, and after their son Raju is born and the tiger breaks into his house he vows not to return until it is dead. When no one will volunteer as bait he resolves to use his own child.</t>
        </is>
      </c>
      <c r="Y41" s="19" t="inlineStr">
        <is>
          <t>To kill the tiger he created and protect the estate.</t>
        </is>
      </c>
      <c r="Z41" s="19" t="inlineStr">
        <is>
          <t>An obsession with the animal that comes to override his family, and a marriage founded across a killing.</t>
        </is>
      </c>
      <c r="AA41" s="19" t="inlineStr">
        <is>
          <t>From landowner and husband to a man prepared to stake his infant son on a hunt.</t>
        </is>
      </c>
      <c r="AB41" s="19" t="inlineStr">
        <is>
          <t>Good, turning dangerous through obsession</t>
        </is>
      </c>
      <c r="AC41" s="5" t="inlineStr">
        <is>
          <t>Left at the point of the decision by the article's plot summary.</t>
        </is>
      </c>
      <c r="AD41" s="5" t="inlineStr">
        <is>
          <t>Raakhee</t>
        </is>
      </c>
      <c r="AE41" s="5" t="inlineStr">
        <is>
          <t>Secondary</t>
        </is>
      </c>
      <c r="AF41" s="20" t="n">
        <v>5</v>
      </c>
      <c r="AG41" s="19" t="inlineStr">
        <is>
          <t>Romance subordinate to another genre</t>
        </is>
      </c>
      <c r="AH41" s="5" t="n"/>
      <c r="AI41" s="5" t="n"/>
      <c r="AJ41" s="5" t="n"/>
      <c r="AK41" s="5" t="n"/>
      <c r="AL41" s="5" t="n"/>
      <c r="AM41" s="5" t="n"/>
      <c r="AN41" s="5" t="inlineStr">
        <is>
          <t>Not documented</t>
        </is>
      </c>
      <c r="AO41" s="18" t="n"/>
      <c r="AP41" s="19" t="inlineStr">
        <is>
          <t>No contemporary review was located in the sources consulted.</t>
        </is>
      </c>
      <c r="AQ41" s="19" t="n"/>
      <c r="AR41" s="5" t="inlineStr">
        <is>
          <t>SOURCE-001; SOURCE-032</t>
        </is>
      </c>
      <c r="AS41" s="5" t="inlineStr">
        <is>
          <t>Medium</t>
        </is>
      </c>
      <c r="AT41" s="5" t="n"/>
    </row>
    <row r="42" ht="109" customHeight="1">
      <c r="A42" s="15" t="inlineStr">
        <is>
          <t>FILM-041</t>
        </is>
      </c>
      <c r="B42" s="5" t="inlineStr">
        <is>
          <t>Siddhartha</t>
        </is>
      </c>
      <c r="C42" s="16" t="n">
        <v>26543</v>
      </c>
      <c r="D42" s="17" t="n">
        <v>1972</v>
      </c>
      <c r="E42" s="5" t="inlineStr">
        <is>
          <t>1970s</t>
        </is>
      </c>
      <c r="F42" s="5" t="inlineStr">
        <is>
          <t>English</t>
        </is>
      </c>
      <c r="G42" s="5" t="inlineStr">
        <is>
          <t>Drama</t>
        </is>
      </c>
      <c r="H42" s="5" t="inlineStr">
        <is>
          <t>Literary adaptation</t>
        </is>
      </c>
      <c r="I42" s="17" t="n">
        <v>89</v>
      </c>
      <c r="J42" s="5" t="inlineStr">
        <is>
          <t>Conrad Rooks</t>
        </is>
      </c>
      <c r="K42" s="5" t="inlineStr">
        <is>
          <t>Conrad Rooks</t>
        </is>
      </c>
      <c r="L42" s="5" t="n"/>
      <c r="M42" s="5" t="inlineStr">
        <is>
          <t>Conrad Rooks; Natasha Ullman; Paul Mayersberg</t>
        </is>
      </c>
      <c r="N42" s="5" t="inlineStr">
        <is>
          <t>Based on Hermann Hesse's novel Siddhartha.</t>
        </is>
      </c>
      <c r="O42" s="5" t="inlineStr">
        <is>
          <t>Hemant Kumar</t>
        </is>
      </c>
      <c r="P42" s="5" t="n"/>
      <c r="Q42" s="5" t="inlineStr">
        <is>
          <t>Gauriprasanna Mazumdar</t>
        </is>
      </c>
      <c r="R42" s="5" t="inlineStr">
        <is>
          <t>Siddhartha</t>
        </is>
      </c>
      <c r="S42" s="5" t="n"/>
      <c r="T42" s="5" t="inlineStr">
        <is>
          <t>Lead</t>
        </is>
      </c>
      <c r="U42" s="20" t="n">
        <v>1</v>
      </c>
      <c r="V42" s="5" t="inlineStr">
        <is>
          <t>Brahmin's son, then ascetic, then merchant, then ferryman's companion</t>
        </is>
      </c>
      <c r="W42" s="5" t="inlineStr">
        <is>
          <t>Born into a rich family in ancient India</t>
        </is>
      </c>
      <c r="X42" s="19" t="inlineStr">
        <is>
          <t>Siddhartha leaves a wealthy family to look for a way of living that means something, and passes through severe asceticism, sensual pleasure with the courtesan Kamala, great wealth as a merchant, and the self-disgust that follows, before finding the harmony he set out for. The film's argument is that the secret cannot be transmitted, only lived.</t>
        </is>
      </c>
      <c r="Y42" s="19" t="inlineStr">
        <is>
          <t>To find, by direct experience, a meaningful way to live.</t>
        </is>
      </c>
      <c r="Z42" s="19" t="inlineStr">
        <is>
          <t>Every teaching, discipline and pleasure he tries turns out to be someone else's answer rather than his own.</t>
        </is>
      </c>
      <c r="AA42" s="19" t="inlineStr">
        <is>
          <t>The fullest arc in the filmography: renunciation, indulgence, accumulation, revulsion and finally an unteachable equilibrium.</t>
        </is>
      </c>
      <c r="AB42" s="19" t="inlineStr">
        <is>
          <t>Seeker</t>
        </is>
      </c>
      <c r="AC42" s="5" t="inlineStr">
        <is>
          <t>Arrives at oneness with himself, having exhausted every borrowed route to it.</t>
        </is>
      </c>
      <c r="AD42" s="5" t="inlineStr">
        <is>
          <t>Simi Garewal</t>
        </is>
      </c>
      <c r="AE42" s="5" t="inlineStr">
        <is>
          <t>Secondary</t>
        </is>
      </c>
      <c r="AF42" s="20" t="n">
        <v>5</v>
      </c>
      <c r="AG42" s="19" t="inlineStr">
        <is>
          <t>Romance subordinate to another genre</t>
        </is>
      </c>
      <c r="AH42" s="5" t="n"/>
      <c r="AI42" s="5" t="n"/>
      <c r="AJ42" s="5" t="n"/>
      <c r="AK42" s="5" t="n"/>
      <c r="AL42" s="5" t="n"/>
      <c r="AM42" s="5" t="n"/>
      <c r="AN42" s="5" t="inlineStr">
        <is>
          <t>Not documented</t>
        </is>
      </c>
      <c r="AO42" s="18" t="n"/>
      <c r="AP42" s="19" t="inlineStr">
        <is>
          <t>Mixed. A New York Times review survey recorded six favourable, two mixed and seven negative notices among major American critics; Vincent Canby found it overly solemn and dismissed it as a small-scale Ten Commandments for flower children. It holds a 60% approval rating on Rotten Tomatoes from twenty critics, and its 2002 re-release scored 80 on Metacritic from seven reviews.</t>
        </is>
      </c>
      <c r="AQ42" s="19" t="inlineStr">
        <is>
          <t>An English-language international production of Hermann Hesse's novel, and the most prominent of Kapoor's art-cinema leads before Junoon.</t>
        </is>
      </c>
      <c r="AR42" s="5" t="inlineStr">
        <is>
          <t>SOURCE-001; SOURCE-031</t>
        </is>
      </c>
      <c r="AS42" s="5" t="inlineStr">
        <is>
          <t>Medium</t>
        </is>
      </c>
      <c r="AT42" s="5" t="inlineStr">
        <is>
          <t>Filmography notes: English film. Infobox release dates: 1972-09-01 (Venice); 1973-07-18 (United States). Kapoor's son Kunal Kapoor plays Siddhartha's son. The relationship with Kamala is scored as a stage in a spiritual progression rather than as a romance the film is organised around.</t>
        </is>
      </c>
    </row>
    <row r="43" ht="139" customHeight="1">
      <c r="A43" s="15" t="inlineStr">
        <is>
          <t>FILM-042</t>
        </is>
      </c>
      <c r="B43" s="5" t="inlineStr">
        <is>
          <t>Naina</t>
        </is>
      </c>
      <c r="C43" s="5" t="inlineStr">
        <is>
          <t>1973</t>
        </is>
      </c>
      <c r="D43" s="17" t="n">
        <v>1973</v>
      </c>
      <c r="E43" s="5" t="inlineStr">
        <is>
          <t>1970s</t>
        </is>
      </c>
      <c r="F43" s="5" t="inlineStr">
        <is>
          <t>Hindi</t>
        </is>
      </c>
      <c r="G43" s="5" t="inlineStr">
        <is>
          <t>Mystery</t>
        </is>
      </c>
      <c r="H43" s="5" t="inlineStr">
        <is>
          <t>Gothic drama</t>
        </is>
      </c>
      <c r="I43" s="17" t="n">
        <v>135</v>
      </c>
      <c r="J43" s="5" t="inlineStr">
        <is>
          <t>Kanak Mishra</t>
        </is>
      </c>
      <c r="K43" s="5" t="inlineStr">
        <is>
          <t>Babubhai Shah</t>
        </is>
      </c>
      <c r="L43" s="5" t="n"/>
      <c r="M43" s="5" t="inlineStr">
        <is>
          <t>Kaifi Azmi</t>
        </is>
      </c>
      <c r="N43" s="5" t="inlineStr">
        <is>
          <t>The article notes similarities to Daphne du Maurier's 1938 novel Rebecca; it is not described as a credited adaptation.</t>
        </is>
      </c>
      <c r="O43" s="5" t="inlineStr">
        <is>
          <t>Shankar–Jaikishan</t>
        </is>
      </c>
      <c r="P43" s="5" t="n"/>
      <c r="Q43" s="5" t="inlineStr">
        <is>
          <t>Hasrat Jaipuri; Indeevar; Kaifi Azmi</t>
        </is>
      </c>
      <c r="R43" s="5" t="inlineStr">
        <is>
          <t>Ravi</t>
        </is>
      </c>
      <c r="S43" s="5" t="n"/>
      <c r="T43" s="5" t="inlineStr">
        <is>
          <t>Lead</t>
        </is>
      </c>
      <c r="U43" s="20" t="n">
        <v>1</v>
      </c>
      <c r="V43" s="5" t="inlineStr">
        <is>
          <t>Not documented; son of a raja</t>
        </is>
      </c>
      <c r="W43" s="5" t="inlineStr">
        <is>
          <t>Princely family; son of Raja Bansi Lal Berma</t>
        </is>
      </c>
      <c r="X43" s="19" t="inlineStr">
        <is>
          <t>Ravi Verma is the son of a raja whose first wife Naina is dead when the story begins and whose second wife is Jyoti. The article has no plot section, and the whole of what is documented about the part is that structure, taken from the cast list, together with the article's own note that the film resembles Rebecca.</t>
        </is>
      </c>
      <c r="Y43" s="19" t="n"/>
      <c r="Z43" s="19" t="n"/>
      <c r="AA43" s="19" t="n"/>
      <c r="AB43" s="19" t="n"/>
      <c r="AC43" s="5" t="n"/>
      <c r="AD43" s="5" t="inlineStr">
        <is>
          <t>Moushumi Chatterjee; Rajshree</t>
        </is>
      </c>
      <c r="AE43" s="5" t="inlineStr">
        <is>
          <t>Central</t>
        </is>
      </c>
      <c r="AF43" s="20" t="n">
        <v>9</v>
      </c>
      <c r="AG43" s="19" t="n"/>
      <c r="AH43" s="5" t="n"/>
      <c r="AI43" s="5" t="n"/>
      <c r="AJ43" s="5" t="n"/>
      <c r="AK43" s="5" t="n"/>
      <c r="AL43" s="5" t="n"/>
      <c r="AM43" s="5" t="n"/>
      <c r="AN43" s="5" t="inlineStr">
        <is>
          <t>Not documented</t>
        </is>
      </c>
      <c r="AO43" s="18" t="n"/>
      <c r="AP43" s="19" t="inlineStr">
        <is>
          <t>No contemporary review was located. Asha Bhosle won a Filmfare Award for the song 'Hone Lagi Hai Raat Jawan'.</t>
        </is>
      </c>
      <c r="AQ43" s="19" t="n"/>
      <c r="AR43" s="5" t="inlineStr">
        <is>
          <t>SOURCE-001; SOURCE-034</t>
        </is>
      </c>
      <c r="AS43" s="5" t="inlineStr">
        <is>
          <t>Low</t>
        </is>
      </c>
      <c r="AT43" s="5" t="inlineStr">
        <is>
          <t>Romance presence is recorded as Central because the cast list itself identifies two women as Ravi's first and second wives, which documents a marital structure even though the article carries no plot. No Romances rows are created and the relationship classification is left blank: with no plot section neither marriage can be scored, and the Rebecca parallel is the article's own comparison rather than a description of what happens.</t>
        </is>
      </c>
    </row>
    <row r="44" ht="124" customHeight="1">
      <c r="A44" s="15" t="inlineStr">
        <is>
          <t>FILM-043</t>
        </is>
      </c>
      <c r="B44" s="5" t="inlineStr">
        <is>
          <t>Aa Gale Lag Jaa</t>
        </is>
      </c>
      <c r="C44" s="16" t="n">
        <v>26984</v>
      </c>
      <c r="D44" s="17" t="n">
        <v>1973</v>
      </c>
      <c r="E44" s="5" t="inlineStr">
        <is>
          <t>1970s</t>
        </is>
      </c>
      <c r="F44" s="5" t="inlineStr">
        <is>
          <t>Hindi</t>
        </is>
      </c>
      <c r="G44" s="5" t="inlineStr">
        <is>
          <t>Romantic drama</t>
        </is>
      </c>
      <c r="H44" s="5" t="inlineStr">
        <is>
          <t>Melodrama</t>
        </is>
      </c>
      <c r="I44" s="17" t="n">
        <v>149</v>
      </c>
      <c r="J44" s="5" t="inlineStr">
        <is>
          <t>Manmohan Desai</t>
        </is>
      </c>
      <c r="K44" s="5" t="inlineStr">
        <is>
          <t>A. K. Nadiadwala</t>
        </is>
      </c>
      <c r="L44" s="5" t="inlineStr">
        <is>
          <t>K. Asif Studios; Ranjeet Studios; Swati Studios</t>
        </is>
      </c>
      <c r="M44" s="5" t="inlineStr">
        <is>
          <t>Smt. Jeevanprabha Desai; K. B. Pathak; Prayag Raj</t>
        </is>
      </c>
      <c r="N44" s="5" t="n"/>
      <c r="O44" s="5" t="inlineStr">
        <is>
          <t>R. D. Burman</t>
        </is>
      </c>
      <c r="P44" s="5" t="n"/>
      <c r="Q44" s="5" t="inlineStr">
        <is>
          <t>Sahir Ludhianvi</t>
        </is>
      </c>
      <c r="R44" s="5" t="inlineStr">
        <is>
          <t>Prem</t>
        </is>
      </c>
      <c r="S44" s="5" t="n"/>
      <c r="T44" s="5" t="inlineStr">
        <is>
          <t>Lead</t>
        </is>
      </c>
      <c r="U44" s="20" t="n">
        <v>1</v>
      </c>
      <c r="V44" s="5" t="inlineStr">
        <is>
          <t>Amateur skater, later a skating teacher</t>
        </is>
      </c>
      <c r="W44" s="5" t="inlineStr">
        <is>
          <t>Modest means; lives with his mother</t>
        </is>
      </c>
      <c r="X44" s="19" t="inlineStr">
        <is>
          <t>Prem meets Preeti on holiday in Simla, teases her, and wins her. After an accident in the hills they become intimate and he proposes at once. Her father buys him off, then forges his farewell letter into a demand for money. Prem takes the son Preeti is told was stillborn, raises him alone through polio, and years later keeps silent to protect her engagement before dying of injuries.</t>
        </is>
      </c>
      <c r="Y44" s="19" t="inlineStr">
        <is>
          <t>To marry Preeti, and afterwards to raise their son without costing her the life she has rebuilt.</t>
        </is>
      </c>
      <c r="Z44" s="19" t="inlineStr">
        <is>
          <t>A father's forgery, which converts a proposal into an apparent extortion and separates them for years.</t>
        </is>
      </c>
      <c r="AA44" s="19" t="inlineStr">
        <is>
          <t>From a light-hearted holiday suitor to a single father who conceals the truth even when it would restore him, and finally to a man who gives up his life saving someone else's sister.</t>
        </is>
      </c>
      <c r="AB44" s="19" t="inlineStr">
        <is>
          <t>Good, to the point of self-erasure</t>
        </is>
      </c>
      <c r="AC44" s="5" t="inlineStr">
        <is>
          <t>Mortally injured rescuing Amar's sister, handing his son over as he goes.</t>
        </is>
      </c>
      <c r="AD44" s="5" t="inlineStr">
        <is>
          <t>Sharmila Tagore</t>
        </is>
      </c>
      <c r="AE44" s="5" t="inlineStr">
        <is>
          <t>Central</t>
        </is>
      </c>
      <c r="AF44" s="20" t="n">
        <v>10</v>
      </c>
      <c r="AG44" s="19" t="inlineStr">
        <is>
          <t>Relationship manipulated by outsiders</t>
        </is>
      </c>
      <c r="AH44" s="5" t="n"/>
      <c r="AI44" s="21" t="n">
        <v>1.5</v>
      </c>
      <c r="AJ44" s="21" t="n">
        <v>3</v>
      </c>
      <c r="AK44" s="5" t="n"/>
      <c r="AL44" s="5" t="n"/>
      <c r="AM44" s="5" t="inlineStr">
        <is>
          <t>INR crore</t>
        </is>
      </c>
      <c r="AN44" s="5" t="inlineStr">
        <is>
          <t>Hit</t>
        </is>
      </c>
      <c r="AO44" s="20" t="n">
        <v>10</v>
      </c>
      <c r="AP44" s="19" t="inlineStr">
        <is>
          <t>A commercial hit; the film article records it as the tenth highest-grossing Hindi film of 1973.</t>
        </is>
      </c>
      <c r="AQ44" s="19" t="inlineStr">
        <is>
          <t>The article carries a section on the film's cult status in Algeria, part of a wider North African following for Kapoor that the biographical article also notes.</t>
        </is>
      </c>
      <c r="AR44" s="5" t="inlineStr">
        <is>
          <t>SOURCE-001; SOURCE-033; SOURCE-342</t>
        </is>
      </c>
      <c r="AS44" s="5" t="inlineStr">
        <is>
          <t>Medium</t>
        </is>
      </c>
      <c r="AT44" s="5" t="inlineStr">
        <is>
          <t>Infobox gross '₹3 crore' has no nett/gross label and is not entered. Kunal Kapoor appears in a cameo as a child skater. The plot turns on a pre-marital pregnancy and a father's forged letter, which is unusually frank material for a 1973 mainstream release. Box Office India's archived 1973 annual table gives nett Rs 1.5 crore, India gross Rs 3.0 crore, verdict "Hit" and annual rank 10.</t>
        </is>
      </c>
    </row>
    <row r="45" ht="79" customHeight="1">
      <c r="A45" s="15" t="inlineStr">
        <is>
          <t>FILM-044</t>
        </is>
      </c>
      <c r="B45" s="5" t="inlineStr">
        <is>
          <t>Vachan</t>
        </is>
      </c>
      <c r="C45" s="5" t="inlineStr">
        <is>
          <t>1974</t>
        </is>
      </c>
      <c r="D45" s="17" t="n">
        <v>1974</v>
      </c>
      <c r="E45" s="5" t="inlineStr">
        <is>
          <t>1970s</t>
        </is>
      </c>
      <c r="F45" s="5" t="n"/>
      <c r="G45" s="5" t="inlineStr">
        <is>
          <t>Drama</t>
        </is>
      </c>
      <c r="H45" s="5" t="n"/>
      <c r="I45" s="18" t="n"/>
      <c r="J45" s="5" t="n"/>
      <c r="K45" s="5" t="n"/>
      <c r="L45" s="5" t="n"/>
      <c r="M45" s="5" t="n"/>
      <c r="N45" s="5" t="n"/>
      <c r="O45" s="5" t="n"/>
      <c r="P45" s="5" t="n"/>
      <c r="Q45" s="5" t="n"/>
      <c r="R45" s="5" t="inlineStr">
        <is>
          <t>Tilak</t>
        </is>
      </c>
      <c r="S45" s="5" t="n"/>
      <c r="T45" s="5" t="n"/>
      <c r="U45" s="18" t="n"/>
      <c r="V45" s="5" t="n"/>
      <c r="W45" s="5" t="n"/>
      <c r="X45" s="19" t="inlineStr">
        <is>
          <t>No Wikipedia article or other plot source was located for this film, and the Shashi Kapoor article does not mention it. Only the character name Tilak, taken from his filmography, is documented; the size of the part, the cast opposite him and the film's reception are all unrecorded.</t>
        </is>
      </c>
      <c r="Y45" s="19" t="n"/>
      <c r="Z45" s="19" t="n"/>
      <c r="AA45" s="19" t="n"/>
      <c r="AB45" s="19" t="n"/>
      <c r="AC45" s="5" t="n"/>
      <c r="AD45" s="5" t="n"/>
      <c r="AE45" s="5" t="n"/>
      <c r="AF45" s="18" t="n"/>
      <c r="AG45" s="19" t="n"/>
      <c r="AH45" s="5" t="n"/>
      <c r="AI45" s="5" t="n"/>
      <c r="AJ45" s="5" t="n"/>
      <c r="AK45" s="5" t="n"/>
      <c r="AL45" s="5" t="n"/>
      <c r="AM45" s="5" t="n"/>
      <c r="AN45" s="5" t="n"/>
      <c r="AO45" s="18" t="n"/>
      <c r="AP45" s="19" t="n"/>
      <c r="AQ45" s="19" t="n"/>
      <c r="AR45" s="5" t="inlineStr">
        <is>
          <t>SOURCE-001</t>
        </is>
      </c>
      <c r="AS45" s="5" t="inlineStr">
        <is>
          <t>Unknown</t>
        </is>
      </c>
      <c r="AT45" s="5" t="inlineStr">
        <is>
          <t>No Wikipedia film article; fields come from the filmography table. No film article exists and the biographical article is silent on this title, so role type, narrative fields and romance fields are left blank rather than inferred.</t>
        </is>
      </c>
    </row>
    <row r="46" ht="94" customHeight="1">
      <c r="A46" s="15" t="inlineStr">
        <is>
          <t>FILM-045</t>
        </is>
      </c>
      <c r="B46" s="5" t="inlineStr">
        <is>
          <t>Mr. Romeo</t>
        </is>
      </c>
      <c r="C46" s="5" t="inlineStr">
        <is>
          <t>1974</t>
        </is>
      </c>
      <c r="D46" s="17" t="n">
        <v>1974</v>
      </c>
      <c r="E46" s="5" t="inlineStr">
        <is>
          <t>1970s</t>
        </is>
      </c>
      <c r="F46" s="5" t="n"/>
      <c r="G46" s="5" t="inlineStr">
        <is>
          <t>Drama</t>
        </is>
      </c>
      <c r="H46" s="5" t="n"/>
      <c r="I46" s="18" t="n"/>
      <c r="J46" s="5" t="n"/>
      <c r="K46" s="5" t="n"/>
      <c r="L46" s="5" t="n"/>
      <c r="M46" s="5" t="n"/>
      <c r="N46" s="5" t="n"/>
      <c r="O46" s="5" t="n"/>
      <c r="P46" s="5" t="n"/>
      <c r="Q46" s="5" t="n"/>
      <c r="R46" s="5" t="inlineStr">
        <is>
          <t>Ramesh Saxena</t>
        </is>
      </c>
      <c r="S46" s="5" t="n"/>
      <c r="T46" s="5" t="n"/>
      <c r="U46" s="18" t="n"/>
      <c r="V46" s="5" t="n"/>
      <c r="W46" s="5" t="n"/>
      <c r="X46" s="19" t="inlineStr">
        <is>
          <t>No Wikipedia article or other plot source was located for this film, and the Shashi Kapoor article does not mention it. Only the character name Ramesh Saxena, taken from his filmography, is documented; the size of the part, the cast opposite him and the film's reception are all unrecorded.</t>
        </is>
      </c>
      <c r="Y46" s="19" t="n"/>
      <c r="Z46" s="19" t="n"/>
      <c r="AA46" s="19" t="n"/>
      <c r="AB46" s="19" t="n"/>
      <c r="AC46" s="5" t="n"/>
      <c r="AD46" s="5" t="n"/>
      <c r="AE46" s="5" t="n"/>
      <c r="AF46" s="18" t="n"/>
      <c r="AG46" s="19" t="n"/>
      <c r="AH46" s="5" t="n"/>
      <c r="AI46" s="5" t="n"/>
      <c r="AJ46" s="5" t="n"/>
      <c r="AK46" s="5" t="n"/>
      <c r="AL46" s="5" t="n"/>
      <c r="AM46" s="5" t="n"/>
      <c r="AN46" s="5" t="n"/>
      <c r="AO46" s="18" t="n"/>
      <c r="AP46" s="19" t="n"/>
      <c r="AQ46" s="19" t="n"/>
      <c r="AR46" s="5" t="inlineStr">
        <is>
          <t>SOURCE-001</t>
        </is>
      </c>
      <c r="AS46" s="5" t="inlineStr">
        <is>
          <t>Unknown</t>
        </is>
      </c>
      <c r="AT46" s="5" t="inlineStr">
        <is>
          <t>No Wikipedia film article; fields come from the filmography table. No film article exists and the biographical article is silent on this title, so role type, narrative fields and romance fields are left blank rather than inferred. The title suggests a romantic comedy but that is not evidence of the character's function.</t>
        </is>
      </c>
    </row>
    <row r="47" ht="94" customHeight="1">
      <c r="A47" s="15" t="inlineStr">
        <is>
          <t>FILM-046</t>
        </is>
      </c>
      <c r="B47" s="5" t="inlineStr">
        <is>
          <t>Jeevan Sangram</t>
        </is>
      </c>
      <c r="C47" s="5" t="inlineStr">
        <is>
          <t>1974</t>
        </is>
      </c>
      <c r="D47" s="17" t="n">
        <v>1974</v>
      </c>
      <c r="E47" s="5" t="inlineStr">
        <is>
          <t>1970s</t>
        </is>
      </c>
      <c r="F47" s="5" t="inlineStr">
        <is>
          <t>Hindi</t>
        </is>
      </c>
      <c r="G47" s="5" t="inlineStr">
        <is>
          <t>Historical drama</t>
        </is>
      </c>
      <c r="H47" s="5" t="n"/>
      <c r="I47" s="18" t="n"/>
      <c r="J47" s="5" t="inlineStr">
        <is>
          <t>Rajbans Khanna</t>
        </is>
      </c>
      <c r="K47" s="5" t="inlineStr">
        <is>
          <t>Rajbans Khanna</t>
        </is>
      </c>
      <c r="L47" s="5" t="n"/>
      <c r="M47" s="5" t="n"/>
      <c r="N47" s="5" t="inlineStr">
        <is>
          <t>Based on the voyage of the Komagata Maru and the events that followed.</t>
        </is>
      </c>
      <c r="O47" s="5" t="inlineStr">
        <is>
          <t>Kalyanji–Anandji</t>
        </is>
      </c>
      <c r="P47" s="5" t="n"/>
      <c r="Q47" s="5" t="n"/>
      <c r="R47" s="5" t="inlineStr">
        <is>
          <t>Arjun</t>
        </is>
      </c>
      <c r="S47" s="5" t="n"/>
      <c r="T47" s="5" t="inlineStr">
        <is>
          <t>Lead</t>
        </is>
      </c>
      <c r="U47" s="20" t="n">
        <v>1</v>
      </c>
      <c r="V47" s="5" t="inlineStr">
        <is>
          <t>Not documented</t>
        </is>
      </c>
      <c r="W47" s="5" t="inlineStr">
        <is>
          <t>Among the Indian emigrants aboard the Komagata Maru</t>
        </is>
      </c>
      <c r="X47" s="19" t="inlineStr">
        <is>
          <t>Kapoor plays Arjun in a drama following the passengers of the Komagata Maru and the fate of Indian emigrants to Canada in the early twentieth century. The article carries a cast list and a music section but no plot, so Arjun's position among the passengers and his part in the events are undocumented.</t>
        </is>
      </c>
      <c r="Y47" s="19" t="n"/>
      <c r="Z47" s="19" t="n"/>
      <c r="AA47" s="19" t="n"/>
      <c r="AB47" s="19" t="n"/>
      <c r="AC47" s="5" t="n"/>
      <c r="AD47" s="5" t="inlineStr">
        <is>
          <t>Radha Saluja</t>
        </is>
      </c>
      <c r="AE47" s="5" t="n"/>
      <c r="AF47" s="18" t="n"/>
      <c r="AG47" s="19" t="n"/>
      <c r="AH47" s="5" t="n"/>
      <c r="AI47" s="5" t="n"/>
      <c r="AJ47" s="5" t="n"/>
      <c r="AK47" s="5" t="n"/>
      <c r="AL47" s="5" t="n"/>
      <c r="AM47" s="5" t="n"/>
      <c r="AN47" s="5" t="inlineStr">
        <is>
          <t>Not documented</t>
        </is>
      </c>
      <c r="AO47" s="18" t="n"/>
      <c r="AP47" s="19" t="inlineStr">
        <is>
          <t>No contemporary review was located in the sources consulted.</t>
        </is>
      </c>
      <c r="AQ47" s="19" t="inlineStr">
        <is>
          <t>One of very few Hindi films to dramatise the Komagata Maru incident.</t>
        </is>
      </c>
      <c r="AR47" s="5" t="inlineStr">
        <is>
          <t>SOURCE-001; SOURCE-038</t>
        </is>
      </c>
      <c r="AS47" s="5" t="inlineStr">
        <is>
          <t>Low</t>
        </is>
      </c>
      <c r="AT47" s="5" t="inlineStr">
        <is>
          <t>The article has no plot section, so romance presence, relationship classification and the narrative fields are left blank rather than inferred, and no Romances row is created. Radha Saluja is credited as Amba and Padma Khanna as Allah Rakhi, but neither character's relation to Arjun is documented.</t>
        </is>
      </c>
    </row>
    <row r="48" ht="94" customHeight="1">
      <c r="A48" s="15" t="inlineStr">
        <is>
          <t>FILM-047</t>
        </is>
      </c>
      <c r="B48" s="5" t="inlineStr">
        <is>
          <t>Insaaniyat</t>
        </is>
      </c>
      <c r="C48" s="5" t="inlineStr">
        <is>
          <t>1974</t>
        </is>
      </c>
      <c r="D48" s="17" t="n">
        <v>1974</v>
      </c>
      <c r="E48" s="5" t="inlineStr">
        <is>
          <t>1970s</t>
        </is>
      </c>
      <c r="F48" s="5" t="inlineStr">
        <is>
          <t>Hindi</t>
        </is>
      </c>
      <c r="G48" s="5" t="inlineStr">
        <is>
          <t>Action drama</t>
        </is>
      </c>
      <c r="H48" s="5" t="inlineStr">
        <is>
          <t>Revenge thriller</t>
        </is>
      </c>
      <c r="I48" s="18" t="n"/>
      <c r="J48" s="5" t="inlineStr">
        <is>
          <t>Prayag Raj</t>
        </is>
      </c>
      <c r="K48" s="5" t="inlineStr">
        <is>
          <t>Jagdish Varma; Satpal Varma; Sunil Varma</t>
        </is>
      </c>
      <c r="L48" s="5" t="inlineStr">
        <is>
          <t>J. V. Films</t>
        </is>
      </c>
      <c r="M48" s="5" t="inlineStr">
        <is>
          <t>K. A. Narayan</t>
        </is>
      </c>
      <c r="N48" s="5" t="n"/>
      <c r="O48" s="5" t="inlineStr">
        <is>
          <t>Shankar–Jaikishan</t>
        </is>
      </c>
      <c r="P48" s="5" t="n"/>
      <c r="Q48" s="5" t="inlineStr">
        <is>
          <t>Hasrat Jaipuri; Indeevar</t>
        </is>
      </c>
      <c r="R48" s="5" t="inlineStr">
        <is>
          <t>Dilip</t>
        </is>
      </c>
      <c r="S48" s="5" t="n"/>
      <c r="T48" s="5" t="inlineStr">
        <is>
          <t>Lead</t>
        </is>
      </c>
      <c r="U48" s="20" t="n">
        <v>1</v>
      </c>
      <c r="V48" s="5" t="inlineStr">
        <is>
          <t>Wealthy idler, then avenger</t>
        </is>
      </c>
      <c r="W48" s="5" t="inlineStr">
        <is>
          <t>Raised as the son of the rich Karamchand; in fact the orphaned son of a judge murdered by an escaped convict</t>
        </is>
      </c>
      <c r="X48" s="19" t="inlineStr">
        <is>
          <t>Dilip lives carelessly on his father's money and courts Leena, who rebuffs him before giving in. On his deathbed Karamchand tells him he is not his son: he is the child of a judge whom the convict Raghuveer murdered along with his mother and siblings. Dilip advertises a reward for Raghuveer and closes in on him, not knowing that Raghuveer is the father of his closest friend.</t>
        </is>
      </c>
      <c r="Y48" s="19" t="inlineStr">
        <is>
          <t>To find and destroy the man who killed his family.</t>
        </is>
      </c>
      <c r="Z48" s="19" t="inlineStr">
        <is>
          <t>The revenge he is owed is against his best friend's father, so it cannot be taken without destroying the friendship.</t>
        </is>
      </c>
      <c r="AA48" s="19" t="inlineStr">
        <is>
          <t>From a carefree rich man's son to an orphan with a name he did not know and a killing to answer.</t>
        </is>
      </c>
      <c r="AB48" s="19" t="inlineStr">
        <is>
          <t>Good, pursuing a just revenge</t>
        </is>
      </c>
      <c r="AC48" s="5" t="inlineStr">
        <is>
          <t>Left inside the collision between his revenge and Ram's paternity by the article's plot summary.</t>
        </is>
      </c>
      <c r="AD48" s="5" t="inlineStr">
        <is>
          <t>Madhu</t>
        </is>
      </c>
      <c r="AE48" s="5" t="inlineStr">
        <is>
          <t>Secondary</t>
        </is>
      </c>
      <c r="AF48" s="20" t="n">
        <v>5</v>
      </c>
      <c r="AG48" s="19" t="inlineStr">
        <is>
          <t>Romance subordinate to another genre</t>
        </is>
      </c>
      <c r="AH48" s="5" t="n"/>
      <c r="AI48" s="5" t="n"/>
      <c r="AJ48" s="5" t="n"/>
      <c r="AK48" s="5" t="n"/>
      <c r="AL48" s="5" t="n"/>
      <c r="AM48" s="5" t="n"/>
      <c r="AN48" s="5" t="inlineStr">
        <is>
          <t>Not documented</t>
        </is>
      </c>
      <c r="AO48" s="18" t="n"/>
      <c r="AP48" s="19" t="inlineStr">
        <is>
          <t>No contemporary review was located in the sources consulted.</t>
        </is>
      </c>
      <c r="AQ48" s="19" t="n"/>
      <c r="AR48" s="5" t="inlineStr">
        <is>
          <t>SOURCE-001; SOURCE-039</t>
        </is>
      </c>
      <c r="AS48" s="5" t="inlineStr">
        <is>
          <t>Medium</t>
        </is>
      </c>
      <c r="AT48" s="5" t="n"/>
    </row>
    <row r="49" ht="139" customHeight="1">
      <c r="A49" s="15" t="inlineStr">
        <is>
          <t>FILM-048</t>
        </is>
      </c>
      <c r="B49" s="5" t="inlineStr">
        <is>
          <t>Chor Machaye Shor</t>
        </is>
      </c>
      <c r="C49" s="16" t="n">
        <v>27106</v>
      </c>
      <c r="D49" s="17" t="n">
        <v>1974</v>
      </c>
      <c r="E49" s="5" t="inlineStr">
        <is>
          <t>1970s</t>
        </is>
      </c>
      <c r="F49" s="5" t="inlineStr">
        <is>
          <t>Hindi</t>
        </is>
      </c>
      <c r="G49" s="5" t="inlineStr">
        <is>
          <t>Action comedy</t>
        </is>
      </c>
      <c r="H49" s="5" t="inlineStr">
        <is>
          <t>Social drama</t>
        </is>
      </c>
      <c r="I49" s="18" t="n"/>
      <c r="J49" s="5" t="inlineStr">
        <is>
          <t>Ashok Roy</t>
        </is>
      </c>
      <c r="K49" s="5" t="inlineStr">
        <is>
          <t>N. N. Sippy</t>
        </is>
      </c>
      <c r="L49" s="5" t="inlineStr">
        <is>
          <t>Chandivali Studio; Filmalaya Studio; Filmistan; K. Asif Studios</t>
        </is>
      </c>
      <c r="M49" s="5" t="inlineStr">
        <is>
          <t>S. M. Abbas; Dhruva Chatterjee; Tarun Ghosh</t>
        </is>
      </c>
      <c r="N49" s="5" t="n"/>
      <c r="O49" s="5" t="inlineStr">
        <is>
          <t>Ravindra Jain</t>
        </is>
      </c>
      <c r="P49" s="5" t="n"/>
      <c r="Q49" s="5" t="n"/>
      <c r="R49" s="5" t="inlineStr">
        <is>
          <t>Vijay Sharma</t>
        </is>
      </c>
      <c r="S49" s="5" t="n"/>
      <c r="T49" s="5" t="inlineStr">
        <is>
          <t>Lead</t>
        </is>
      </c>
      <c r="U49" s="20" t="n">
        <v>1</v>
      </c>
      <c r="V49" s="5" t="inlineStr">
        <is>
          <t>Engineer, then prisoner</t>
        </is>
      </c>
      <c r="W49" s="5" t="inlineStr">
        <is>
          <t>Not wealthy, which is the whole of the objection to him</t>
        </is>
      </c>
      <c r="X49" s="19" t="inlineStr">
        <is>
          <t>Vijay Sharma, an engineer, loves the rich Rekha, whose father means her for an evil politician's son and joins that politician in framing Vijay for a crime. In jail he makes three friends, escapes with them, and instead of running takes them to save the village of Shantinagar from the same men. The four return to prison voluntarily once the politician is arrested.</t>
        </is>
      </c>
      <c r="Y49" s="19" t="inlineStr">
        <is>
          <t>To clear himself and to keep Rekha, and then to protect a village that is not his.</t>
        </is>
      </c>
      <c r="Z49" s="19" t="inlineStr">
        <is>
          <t>A rich father and a corrupt politician who between them can manufacture a conviction.</t>
        </is>
      </c>
      <c r="AA49" s="19" t="inlineStr">
        <is>
          <t>From a wronged suitor to a man who chooses a village's safety over his own liberty, which is what finally changes her father's mind.</t>
        </is>
      </c>
      <c r="AB49" s="19" t="inlineStr">
        <is>
          <t>Good</t>
        </is>
      </c>
      <c r="AC49" s="5" t="inlineStr">
        <is>
          <t>Back in prison by choice, accepted at last as a son-in-law, with the sentences expected to be cut.</t>
        </is>
      </c>
      <c r="AD49" s="5" t="inlineStr">
        <is>
          <t>Mumtaz</t>
        </is>
      </c>
      <c r="AE49" s="5" t="inlineStr">
        <is>
          <t>Major</t>
        </is>
      </c>
      <c r="AF49" s="20" t="n">
        <v>7</v>
      </c>
      <c r="AG49" s="19" t="inlineStr">
        <is>
          <t>United couple versus external world</t>
        </is>
      </c>
      <c r="AH49" s="5" t="n"/>
      <c r="AI49" s="21" t="n">
        <v>3</v>
      </c>
      <c r="AJ49" s="21" t="n">
        <v>6</v>
      </c>
      <c r="AK49" s="5" t="n"/>
      <c r="AL49" s="5" t="n"/>
      <c r="AM49" s="5" t="inlineStr">
        <is>
          <t>INR crore</t>
        </is>
      </c>
      <c r="AN49" s="5" t="inlineStr">
        <is>
          <t>Super Hit</t>
        </is>
      </c>
      <c r="AO49" s="20" t="n">
        <v>2</v>
      </c>
      <c r="AP49" s="19" t="inlineStr">
        <is>
          <t>A blockbuster in India and overseas. The Shashi Kapoor article records that its success put a queue of producers outside his house and made him one of the five or six most saleable stars of the time.</t>
        </is>
      </c>
      <c r="AQ49" s="19" t="inlineStr">
        <is>
          <t>The song 'Le Jayenge, Le Jayenge Dilwale Dulhania Le Jayenge' later gave Dilwale Dulhania Le Jayenge its title. Second at the 1974 Indian box office, behind Roti Kapda Aur Makaan.</t>
        </is>
      </c>
      <c r="AR49" s="5" t="inlineStr">
        <is>
          <t>SOURCE-001; SOURCE-035; SOURCE-128; SOURCE-343</t>
        </is>
      </c>
      <c r="AS49" s="5" t="inlineStr">
        <is>
          <t>Medium</t>
        </is>
      </c>
      <c r="AT49" s="5" t="inlineStr">
        <is>
          <t>The film that moved Kapoor from established star to top-rank saleability, and the start of the run of commercial successes that carries through the rest of the decade. Box Office India's archived 1974 annual table gives nett Rs 3.0 crore, India gross Rs 6.0 crore, verdict "Super Hit" and annual rank 2. This supersedes the verdict "Blockbuster" taken from the film article, which is kept here per the rule that the trade figure goes in the column and the encyclopedia claim into notes.</t>
        </is>
      </c>
    </row>
    <row r="50" ht="94" customHeight="1">
      <c r="A50" s="15" t="inlineStr">
        <is>
          <t>FILM-049</t>
        </is>
      </c>
      <c r="B50" s="5" t="inlineStr">
        <is>
          <t>Paap Aur Punya</t>
        </is>
      </c>
      <c r="C50" s="16" t="n">
        <v>27181</v>
      </c>
      <c r="D50" s="17" t="n">
        <v>1974</v>
      </c>
      <c r="E50" s="5" t="inlineStr">
        <is>
          <t>1970s</t>
        </is>
      </c>
      <c r="F50" s="5" t="n"/>
      <c r="G50" s="5" t="inlineStr">
        <is>
          <t>Drama</t>
        </is>
      </c>
      <c r="H50" s="5" t="inlineStr">
        <is>
          <t>Palace intrigue</t>
        </is>
      </c>
      <c r="I50" s="18" t="n"/>
      <c r="J50" s="5" t="inlineStr">
        <is>
          <t>Prayag Raj</t>
        </is>
      </c>
      <c r="K50" s="5" t="inlineStr">
        <is>
          <t>Shyam Sunder Shivdasani</t>
        </is>
      </c>
      <c r="L50" s="5" t="n"/>
      <c r="M50" s="5" t="n"/>
      <c r="N50" s="5" t="n"/>
      <c r="O50" s="5" t="inlineStr">
        <is>
          <t>Kalyanji–Anandji</t>
        </is>
      </c>
      <c r="P50" s="5" t="n"/>
      <c r="Q50" s="5" t="n"/>
      <c r="R50" s="5" t="inlineStr">
        <is>
          <t>Ganga Singh</t>
        </is>
      </c>
      <c r="S50" s="5" t="inlineStr">
        <is>
          <t>Jwala Singh</t>
        </is>
      </c>
      <c r="T50" s="5" t="inlineStr">
        <is>
          <t>Lead</t>
        </is>
      </c>
      <c r="U50" s="20" t="n">
        <v>1</v>
      </c>
      <c r="V50" s="5" t="inlineStr">
        <is>
          <t>Heir to the throne</t>
        </is>
      </c>
      <c r="W50" s="5" t="inlineStr">
        <is>
          <t>Raised as the son of the usurper Balbir Singh</t>
        </is>
      </c>
      <c r="X50" s="19" t="inlineStr">
        <is>
          <t>Ganga Singh is the fair-minded and soft-spoken heir of Balbir Singh, who seized the throne from his brother and had that brother's son killed. Ganga loves Jugni, a poor girl his father will not accept, and then abruptly becomes a womanising, foul-mouthed drunk willing to marry the wealthy Mala instead. Kapoor plays a second part, Jwala Singh, and the change of character is the film's puzzle.</t>
        </is>
      </c>
      <c r="Y50" s="19" t="inlineStr">
        <is>
          <t>To marry Jugni, before the transformation that reverses everything about him.</t>
        </is>
      </c>
      <c r="Z50" s="19" t="inlineStr">
        <is>
          <t>A father who will not have a poor daughter-in-law, and the concealed history of how that father took the throne.</t>
        </is>
      </c>
      <c r="AA50" s="19" t="inlineStr">
        <is>
          <t>A deliberate reversal from gentleness to debauchery, which the plot summary poses as a question rather than explains.</t>
        </is>
      </c>
      <c r="AB50" s="19" t="inlineStr">
        <is>
          <t>Good, then apparently corrupted</t>
        </is>
      </c>
      <c r="AC50" s="5" t="inlineStr">
        <is>
          <t>Left mid-transformation by the article's plot summary, with Jugni abandoned.</t>
        </is>
      </c>
      <c r="AD50" s="5" t="inlineStr">
        <is>
          <t>Sharmila Tagore</t>
        </is>
      </c>
      <c r="AE50" s="5" t="inlineStr">
        <is>
          <t>Major</t>
        </is>
      </c>
      <c r="AF50" s="20" t="n">
        <v>7</v>
      </c>
      <c r="AG50" s="19" t="inlineStr">
        <is>
          <t>Forbidden love</t>
        </is>
      </c>
      <c r="AH50" s="5" t="n"/>
      <c r="AI50" s="5" t="n"/>
      <c r="AJ50" s="5" t="n"/>
      <c r="AK50" s="5" t="n"/>
      <c r="AL50" s="5" t="n"/>
      <c r="AM50" s="5" t="n"/>
      <c r="AN50" s="5" t="inlineStr">
        <is>
          <t>Hit</t>
        </is>
      </c>
      <c r="AO50" s="18" t="n"/>
      <c r="AP50" s="19" t="inlineStr">
        <is>
          <t>The film article records only that it was a success at the box office.</t>
        </is>
      </c>
      <c r="AQ50" s="19" t="n"/>
      <c r="AR50" s="5" t="inlineStr">
        <is>
          <t>SOURCE-001; SOURCE-036; SOURCE-128</t>
        </is>
      </c>
      <c r="AS50" s="5" t="inlineStr">
        <is>
          <t>Low</t>
        </is>
      </c>
      <c r="AT50" s="5" t="inlineStr">
        <is>
          <t>A dual role: the filmography credits Ganga Singh and Jwala Singh, and the coup that opens the film kills a twin, so the two parts are presumably the murdered cousin and the heir, but the plot summary stops before explaining the character change and does not confirm this. Kunal Kapoor plays the young Ganga and Jwala.</t>
        </is>
      </c>
    </row>
    <row r="51" ht="169" customHeight="1">
      <c r="A51" s="15" t="inlineStr">
        <is>
          <t>FILM-050</t>
        </is>
      </c>
      <c r="B51" s="5" t="inlineStr">
        <is>
          <t>Roti Kapda Aur Makaan</t>
        </is>
      </c>
      <c r="C51" s="16" t="n">
        <v>27320</v>
      </c>
      <c r="D51" s="17" t="n">
        <v>1974</v>
      </c>
      <c r="E51" s="5" t="inlineStr">
        <is>
          <t>1970s</t>
        </is>
      </c>
      <c r="F51" s="5" t="inlineStr">
        <is>
          <t>Hindi</t>
        </is>
      </c>
      <c r="G51" s="5" t="inlineStr">
        <is>
          <t>Social drama</t>
        </is>
      </c>
      <c r="H51" s="5" t="inlineStr">
        <is>
          <t>Action</t>
        </is>
      </c>
      <c r="I51" s="17" t="n">
        <v>161</v>
      </c>
      <c r="J51" s="5" t="inlineStr">
        <is>
          <t>Manoj Kumar</t>
        </is>
      </c>
      <c r="K51" s="5" t="inlineStr">
        <is>
          <t>Manoj Kumar</t>
        </is>
      </c>
      <c r="L51" s="5" t="inlineStr">
        <is>
          <t>Chandivali Studio; Filmistan; Mohan Studios; R. K. Studios; Rajkamal Kalamandir</t>
        </is>
      </c>
      <c r="M51" s="5" t="inlineStr">
        <is>
          <t>Manoj Kumar</t>
        </is>
      </c>
      <c r="N51" s="5" t="n"/>
      <c r="O51" s="5" t="inlineStr">
        <is>
          <t>Laxmikant–Pyarelal</t>
        </is>
      </c>
      <c r="P51" s="5" t="n"/>
      <c r="Q51" s="5" t="inlineStr">
        <is>
          <t>Santosh Anand; Verma Malik</t>
        </is>
      </c>
      <c r="R51" s="5" t="inlineStr">
        <is>
          <t>Mohan Babu</t>
        </is>
      </c>
      <c r="S51" s="5" t="n"/>
      <c r="T51" s="5" t="inlineStr">
        <is>
          <t>Supporting</t>
        </is>
      </c>
      <c r="U51" s="20" t="n">
        <v>2</v>
      </c>
      <c r="V51" s="5" t="inlineStr">
        <is>
          <t>Wealthy businessman</t>
        </is>
      </c>
      <c r="W51" s="5" t="inlineStr">
        <is>
          <t>Rich; employer of the woman his rival loves</t>
        </is>
      </c>
      <c r="X51" s="19" t="inlineStr">
        <is>
          <t>Mohan Babu is the rich businessman who employs Sheetal as his secretary, is drawn to her, and proposes marriage at the point where her patience with Bharat's poverty has run out. He is not written as a villain: he offers what Bharat cannot, she accepts with her eyes open, and Mohan stands with Bharat and the others against Nekiram at the end.</t>
        </is>
      </c>
      <c r="Y51" s="19" t="inlineStr">
        <is>
          <t>To marry Sheetal.</t>
        </is>
      </c>
      <c r="Z51" s="19" t="inlineStr">
        <is>
          <t>None of his own making; he is the comfortable alternative against which the film measures its argument about poverty.</t>
        </is>
      </c>
      <c r="AA51" s="19" t="inlineStr">
        <is>
          <t>Slight. His function is to make the cost of Bharat's unemployment concrete.</t>
        </is>
      </c>
      <c r="AB51" s="19" t="inlineStr">
        <is>
          <t>Decent</t>
        </is>
      </c>
      <c r="AC51" s="5" t="inlineStr">
        <is>
          <t>Joins the others in bringing Nekiram down; Sheetal dies in the final conflict.</t>
        </is>
      </c>
      <c r="AD51" s="5" t="inlineStr">
        <is>
          <t>Zeenat Aman</t>
        </is>
      </c>
      <c r="AE51" s="5" t="inlineStr">
        <is>
          <t>Secondary</t>
        </is>
      </c>
      <c r="AF51" s="20" t="n">
        <v>6</v>
      </c>
      <c r="AG51" s="19" t="inlineStr">
        <is>
          <t>Romance subordinate to another genre</t>
        </is>
      </c>
      <c r="AH51" s="5" t="n"/>
      <c r="AI51" s="21" t="n">
        <v>5.25</v>
      </c>
      <c r="AJ51" s="21" t="n">
        <v>10.5</v>
      </c>
      <c r="AK51" s="5" t="n"/>
      <c r="AL51" s="5" t="n"/>
      <c r="AM51" s="5" t="inlineStr">
        <is>
          <t>INR crore</t>
        </is>
      </c>
      <c r="AN51" s="5" t="inlineStr">
        <is>
          <t>Blockbuster</t>
        </is>
      </c>
      <c r="AO51" s="20" t="n">
        <v>1</v>
      </c>
      <c r="AP51" s="19" t="inlineStr">
        <is>
          <t>A major commercial success and the highest-grossing Indian film of 1974, declared an all-time blockbuster. The film received three Filmfare Awards from fourteen nominations.</t>
        </is>
      </c>
      <c r="AQ51" s="19" t="inlineStr">
        <is>
          <t>One of the most influential social dramas of its decade, and with Chor Machaye Shor it gave Kapoor the top two box-office places of 1974.</t>
        </is>
      </c>
      <c r="AR51" s="5" t="inlineStr">
        <is>
          <t>SOURCE-001; SOURCE-037; SOURCE-128; SOURCE-343</t>
        </is>
      </c>
      <c r="AS51" s="5" t="inlineStr">
        <is>
          <t>Medium</t>
        </is>
      </c>
      <c r="AT51" s="5" t="inlineStr">
        <is>
          <t>Kapoor is billed second to Manoj Kumar, who wrote, directed and produced. This is the first of the major multi-starrers in which his function is structural rather than central, a pattern that dominates the rest of the decade. Box Office India's archived 1974 annual table gives nett Rs 5.25 crore, India gross Rs 10.5 crore, verdict "Blockbuster" and annual rank 1. This supersedes the verdict "All-time blockbuster" taken from the film article, which is kept here per the rule that the trade figure goes in the column and the encyclopedia claim into notes.</t>
        </is>
      </c>
    </row>
    <row r="52" ht="79" customHeight="1">
      <c r="A52" s="15" t="inlineStr">
        <is>
          <t>FILM-051</t>
        </is>
      </c>
      <c r="B52" s="5" t="inlineStr">
        <is>
          <t>Anari</t>
        </is>
      </c>
      <c r="C52" s="16" t="n">
        <v>27411</v>
      </c>
      <c r="D52" s="17" t="n">
        <v>1975</v>
      </c>
      <c r="E52" s="5" t="inlineStr">
        <is>
          <t>1970s</t>
        </is>
      </c>
      <c r="F52" s="5" t="inlineStr">
        <is>
          <t>Hindi</t>
        </is>
      </c>
      <c r="G52" s="5" t="inlineStr">
        <is>
          <t>Crime thriller</t>
        </is>
      </c>
      <c r="H52" s="5" t="inlineStr">
        <is>
          <t>Romantic drama</t>
        </is>
      </c>
      <c r="I52" s="18" t="n"/>
      <c r="J52" s="5" t="inlineStr">
        <is>
          <t>Asit Sen</t>
        </is>
      </c>
      <c r="K52" s="5" t="inlineStr">
        <is>
          <t>Satish Bhatia; Inder Kapoor</t>
        </is>
      </c>
      <c r="L52" s="5" t="n"/>
      <c r="M52" s="5" t="n"/>
      <c r="N52" s="5" t="inlineStr">
        <is>
          <t>Remake of the 1964 Bengali film Ayananta.</t>
        </is>
      </c>
      <c r="O52" s="5" t="inlineStr">
        <is>
          <t>Laxmikant–Pyarelal</t>
        </is>
      </c>
      <c r="P52" s="5" t="n"/>
      <c r="Q52" s="5" t="n"/>
      <c r="R52" s="5" t="inlineStr">
        <is>
          <t>Raj</t>
        </is>
      </c>
      <c r="S52" s="5" t="n"/>
      <c r="T52" s="5" t="inlineStr">
        <is>
          <t>Lead</t>
        </is>
      </c>
      <c r="U52" s="20" t="n">
        <v>1</v>
      </c>
      <c r="V52" s="5" t="inlineStr">
        <is>
          <t>Not stated at the outset; takes a job among the wealthy</t>
        </is>
      </c>
      <c r="W52" s="5" t="inlineStr">
        <is>
          <t>Extreme poverty; supporting a family and a sister who must be married</t>
        </is>
      </c>
      <c r="X52" s="19" t="inlineStr">
        <is>
          <t>Raj and Poonam are sweethearts held down by poverty: he must provide for his family and pay for his sister's wedding, she is nursing an ailing mother on pennies while her father drinks. A job takes Raj into a world of wealth and intrigue, and the film's subject is that both of them lose their moral bearings there.</t>
        </is>
      </c>
      <c r="Y52" s="19" t="inlineStr">
        <is>
          <t>To earn enough to keep his family and marry Poonam.</t>
        </is>
      </c>
      <c r="Z52" s="19" t="inlineStr">
        <is>
          <t>Money, and what acquiring it costs both of them.</t>
        </is>
      </c>
      <c r="AA52" s="19" t="inlineStr">
        <is>
          <t>From a poor man with intact principles to one whose compass has gone, in parallel with Poonam's.</t>
        </is>
      </c>
      <c r="AB52" s="19" t="inlineStr">
        <is>
          <t>Good, then compromised</t>
        </is>
      </c>
      <c r="AC52" s="5" t="inlineStr">
        <is>
          <t>Not stated by the article's brief plot summary.</t>
        </is>
      </c>
      <c r="AD52" s="5" t="inlineStr">
        <is>
          <t>Sharmila Tagore</t>
        </is>
      </c>
      <c r="AE52" s="5" t="inlineStr">
        <is>
          <t>Major</t>
        </is>
      </c>
      <c r="AF52" s="20" t="n">
        <v>7</v>
      </c>
      <c r="AG52" s="19" t="inlineStr">
        <is>
          <t>United couple versus external world</t>
        </is>
      </c>
      <c r="AH52" s="5" t="n"/>
      <c r="AI52" s="5" t="n"/>
      <c r="AJ52" s="5" t="n"/>
      <c r="AK52" s="5" t="n"/>
      <c r="AL52" s="5" t="n"/>
      <c r="AM52" s="5" t="n"/>
      <c r="AN52" s="5" t="inlineStr">
        <is>
          <t>Flop</t>
        </is>
      </c>
      <c r="AO52" s="18" t="n"/>
      <c r="AP52" s="19" t="inlineStr">
        <is>
          <t>No contemporary review was located; the Shashi Kapoor article records that the film underperformed commercially.</t>
        </is>
      </c>
      <c r="AQ52" s="19" t="n"/>
      <c r="AR52" s="5" t="inlineStr">
        <is>
          <t>SOURCE-001; SOURCE-040; SOURCE-128</t>
        </is>
      </c>
      <c r="AS52" s="5" t="inlineStr">
        <is>
          <t>Medium</t>
        </is>
      </c>
      <c r="AT52" s="5" t="inlineStr">
        <is>
          <t>The article's plot section is four sentences long, so the pairing is scored on the situation it establishes rather than on a full narrative. Kapoor's first release of 1975, a week before Deewaar.</t>
        </is>
      </c>
    </row>
    <row r="53" ht="139" customHeight="1">
      <c r="A53" s="15" t="inlineStr">
        <is>
          <t>FILM-052</t>
        </is>
      </c>
      <c r="B53" s="5" t="inlineStr">
        <is>
          <t>Deewaar</t>
        </is>
      </c>
      <c r="C53" s="16" t="n">
        <v>27418</v>
      </c>
      <c r="D53" s="17" t="n">
        <v>1975</v>
      </c>
      <c r="E53" s="5" t="inlineStr">
        <is>
          <t>1970s</t>
        </is>
      </c>
      <c r="F53" s="5" t="inlineStr">
        <is>
          <t>Hindi</t>
        </is>
      </c>
      <c r="G53" s="5" t="inlineStr">
        <is>
          <t>Crime drama</t>
        </is>
      </c>
      <c r="H53" s="5" t="inlineStr">
        <is>
          <t>Family melodrama</t>
        </is>
      </c>
      <c r="I53" s="17" t="n">
        <v>176</v>
      </c>
      <c r="J53" s="5" t="inlineStr">
        <is>
          <t>Yash Chopra</t>
        </is>
      </c>
      <c r="K53" s="5" t="inlineStr">
        <is>
          <t>Gulshan Rai</t>
        </is>
      </c>
      <c r="L53" s="5" t="inlineStr">
        <is>
          <t>Trimurti Films</t>
        </is>
      </c>
      <c r="M53" s="5" t="inlineStr">
        <is>
          <t>Salim–Javed</t>
        </is>
      </c>
      <c r="N53" s="5" t="n"/>
      <c r="O53" s="5" t="inlineStr">
        <is>
          <t>R. D. Burman</t>
        </is>
      </c>
      <c r="P53" s="5" t="n"/>
      <c r="Q53" s="5" t="inlineStr">
        <is>
          <t>Sahir Ludhianvi</t>
        </is>
      </c>
      <c r="R53" s="5" t="inlineStr">
        <is>
          <t>Sub Inspector Ravi Verma</t>
        </is>
      </c>
      <c r="S53" s="5" t="n"/>
      <c r="T53" s="5" t="inlineStr">
        <is>
          <t>Co-lead</t>
        </is>
      </c>
      <c r="U53" s="20" t="n">
        <v>1</v>
      </c>
      <c r="V53" s="5" t="inlineStr">
        <is>
          <t>Police sub-inspector</t>
        </is>
      </c>
      <c r="W53" s="5" t="inlineStr">
        <is>
          <t>Son of a disgraced trade union leader; raised in a Bombay pavement slum, educated at his brother's expense</t>
        </is>
      </c>
      <c r="X53" s="19" t="inlineStr">
        <is>
          <t>Ravi Verma is the younger of two brothers raised under a bridge after their father was broken by the strike he led. Vijay sacrifices his own schooling to educate him; Ravi becomes a police sub-inspector, unwavering about the law, romances Veera, the daughter of the DCP who sponsors his training, and is finally the officer who must shoot his own brother. The 'Mere paas maa hai' line is his.</t>
        </is>
      </c>
      <c r="Y53" s="19" t="inlineStr">
        <is>
          <t>To serve the law without exception, including against his own family.</t>
        </is>
      </c>
      <c r="Z53" s="19" t="inlineStr">
        <is>
          <t>A brother he loves and owes his education to, who is the criminal he is assigned to bring in.</t>
        </is>
      </c>
      <c r="AA53" s="19" t="inlineStr">
        <is>
          <t>From the studious younger brother to the officer who kills him, and ends the film decorated and remorseful.</t>
        </is>
      </c>
      <c r="AB53" s="19" t="inlineStr">
        <is>
          <t>Lawful and principled</t>
        </is>
      </c>
      <c r="AC53" s="5" t="inlineStr">
        <is>
          <t>Awarded for the pursuit alongside Veera and his mother, and filled with remorse for killing Vijay.</t>
        </is>
      </c>
      <c r="AD53" s="5" t="inlineStr">
        <is>
          <t>Neetu Singh</t>
        </is>
      </c>
      <c r="AE53" s="5" t="inlineStr">
        <is>
          <t>Minor</t>
        </is>
      </c>
      <c r="AF53" s="20" t="n">
        <v>3</v>
      </c>
      <c r="AG53" s="19" t="inlineStr">
        <is>
          <t>Romance subordinate to another genre</t>
        </is>
      </c>
      <c r="AH53" s="5" t="n"/>
      <c r="AI53" s="5" t="n"/>
      <c r="AJ53" s="21" t="n">
        <v>7.5</v>
      </c>
      <c r="AK53" s="5" t="n"/>
      <c r="AL53" s="5" t="n"/>
      <c r="AM53" s="5" t="inlineStr">
        <is>
          <t>INR crore</t>
        </is>
      </c>
      <c r="AN53" s="5" t="inlineStr">
        <is>
          <t>Blockbuster</t>
        </is>
      </c>
      <c r="AO53" s="20" t="n">
        <v>4</v>
      </c>
      <c r="AP53" s="19" t="inlineStr">
        <is>
          <t>A blockbuster and the fourth highest-grossing Hindi film of 1975, with critical praise for the story, dialogue and screenplay and for the performances of Bachchan, Kapoor and Nirupa Roy in particular.</t>
        </is>
      </c>
      <c r="AQ53" s="19" t="inlineStr">
        <is>
          <t>Won Kapoor the Filmfare Award for Best Supporting Actor. Widely regarded as one of the greatest Indian films ever made and included in 1001 Movies You Must See Before You Die; his line 'Mere paas maa hai' has become part of Indian popular culture. Remade in Hong Kong as The Brothers, with Danny Lee in Kapoor's part, which in turn fed the heroic-bloodshed cycle, and cited as an influence on Slumdog Millionaire.</t>
        </is>
      </c>
      <c r="AR53" s="5" t="inlineStr">
        <is>
          <t>SOURCE-001; SOURCE-041; SOURCE-128</t>
        </is>
      </c>
      <c r="AS53" s="5" t="inlineStr">
        <is>
          <t>High</t>
        </is>
      </c>
      <c r="AT53" s="5" t="inlineStr">
        <is>
          <t>Infobox gross '₹75 million' has no nett/gross label and is not entered. Indian gross of Rs 75 million, about Rs 7.5 crore, as given by the film article. Kapoor's award was in the supporting category, but the film is built as a two-hander between the brothers and the role is scored here as a co-lead. The first of the Bachchan pairings that dominate the rest of his commercial career.</t>
        </is>
      </c>
    </row>
    <row r="54" ht="94" customHeight="1">
      <c r="A54" s="15" t="inlineStr">
        <is>
          <t>FILM-053</t>
        </is>
      </c>
      <c r="B54" s="5" t="inlineStr">
        <is>
          <t>Prem Kahani</t>
        </is>
      </c>
      <c r="C54" s="16" t="n">
        <v>27460</v>
      </c>
      <c r="D54" s="17" t="n">
        <v>1975</v>
      </c>
      <c r="E54" s="5" t="inlineStr">
        <is>
          <t>1970s</t>
        </is>
      </c>
      <c r="F54" s="5" t="inlineStr">
        <is>
          <t>Hindi</t>
        </is>
      </c>
      <c r="G54" s="5" t="inlineStr">
        <is>
          <t>Period drama</t>
        </is>
      </c>
      <c r="H54" s="5" t="inlineStr">
        <is>
          <t>Romance</t>
        </is>
      </c>
      <c r="I54" s="17" t="n">
        <v>150</v>
      </c>
      <c r="J54" s="5" t="inlineStr">
        <is>
          <t>Raj Khosla</t>
        </is>
      </c>
      <c r="K54" s="5" t="inlineStr">
        <is>
          <t>Lekhraj Khosla; Bolu Khosla</t>
        </is>
      </c>
      <c r="L54" s="5" t="inlineStr">
        <is>
          <t>Khosla Enterprises</t>
        </is>
      </c>
      <c r="M54" s="5" t="inlineStr">
        <is>
          <t>Raj Khosla</t>
        </is>
      </c>
      <c r="N54" s="5" t="n"/>
      <c r="O54" s="5" t="inlineStr">
        <is>
          <t>Laxmikant–Pyarelal</t>
        </is>
      </c>
      <c r="P54" s="5" t="n"/>
      <c r="Q54" s="5" t="n"/>
      <c r="R54" s="5" t="inlineStr">
        <is>
          <t>SP Dheeraj Kumar</t>
        </is>
      </c>
      <c r="S54" s="5" t="n"/>
      <c r="T54" s="5" t="inlineStr">
        <is>
          <t>Co-lead</t>
        </is>
      </c>
      <c r="U54" s="20" t="n">
        <v>1</v>
      </c>
      <c r="V54" s="5" t="inlineStr">
        <is>
          <t>Superintendent of Police under the British administration</t>
        </is>
      </c>
      <c r="W54" s="5" t="inlineStr">
        <is>
          <t>Son of a judge; a colonial officer married to the woman his best friend loves</t>
        </is>
      </c>
      <c r="X54" s="19" t="inlineStr">
        <is>
          <t>Dheeraj Kumar is an SP in Ghazipur and the closest friend of the poet-turned-revolutionary Rajesh. He marries Kamini, not knowing she is the woman Rajesh renounced to spare her widowhood, and then shelters the wounded Rajesh in his own house. A constable's file suggesting his wife and his friend are in love turns the friendship into a drunken confrontation that ends with Kamini shooting Rajesh.</t>
        </is>
      </c>
      <c r="Y54" s="19" t="inlineStr">
        <is>
          <t>To protect his friend and keep faith with his wife, in a job that requires him to hunt men like Rajesh.</t>
        </is>
      </c>
      <c r="Z54" s="19" t="inlineStr">
        <is>
          <t>A marriage built on a renunciation he knew nothing about, and a uniform that makes sheltering his friend treason.</t>
        </is>
      </c>
      <c r="AA54" s="19" t="inlineStr">
        <is>
          <t>From an untroubled officer and husband to a man forced to weigh a friendship, a marriage and the state against each other.</t>
        </is>
      </c>
      <c r="AB54" s="19" t="inlineStr">
        <is>
          <t>Good, caught between loyalties</t>
        </is>
      </c>
      <c r="AC54" s="5" t="inlineStr">
        <is>
          <t>Saves Rajesh from the police even after accusing him, and is present at the killing that resolves the triangle.</t>
        </is>
      </c>
      <c r="AD54" s="5" t="inlineStr">
        <is>
          <t>Mumtaz</t>
        </is>
      </c>
      <c r="AE54" s="5" t="inlineStr">
        <is>
          <t>Major</t>
        </is>
      </c>
      <c r="AF54" s="20" t="n">
        <v>8</v>
      </c>
      <c r="AG54" s="19" t="inlineStr">
        <is>
          <t>Love triangle</t>
        </is>
      </c>
      <c r="AH54" s="5" t="n"/>
      <c r="AI54" s="5" t="n"/>
      <c r="AJ54" s="5" t="n"/>
      <c r="AK54" s="5" t="n"/>
      <c r="AL54" s="5" t="n"/>
      <c r="AM54" s="5" t="n"/>
      <c r="AN54" s="5" t="inlineStr">
        <is>
          <t>Hit</t>
        </is>
      </c>
      <c r="AO54" s="18" t="n"/>
      <c r="AP54" s="19" t="inlineStr">
        <is>
          <t>Well received by reviewers and audiences; the Shashi Kapoor article records it as a hit.</t>
        </is>
      </c>
      <c r="AQ54" s="19" t="n"/>
      <c r="AR54" s="5" t="inlineStr">
        <is>
          <t>SOURCE-001; SOURCE-042; SOURCE-128</t>
        </is>
      </c>
      <c r="AS54" s="5" t="inlineStr">
        <is>
          <t>Medium</t>
        </is>
      </c>
      <c r="AT54" s="5" t="inlineStr">
        <is>
          <t>Vinod Khanna appears as the Pathan truck driver Sher Khan in a guest role. Kapoor plays the husband in the triangle rather than the lover, with Rajesh Khanna as the renouncing poet.</t>
        </is>
      </c>
    </row>
    <row r="55" ht="229" customHeight="1">
      <c r="A55" s="15" t="inlineStr">
        <is>
          <t>FILM-054</t>
        </is>
      </c>
      <c r="B55" s="5" t="inlineStr">
        <is>
          <t>Chori Mera Kaam</t>
        </is>
      </c>
      <c r="C55" s="16" t="n">
        <v>27516</v>
      </c>
      <c r="D55" s="17" t="n">
        <v>1975</v>
      </c>
      <c r="E55" s="5" t="inlineStr">
        <is>
          <t>1970s</t>
        </is>
      </c>
      <c r="F55" s="5" t="inlineStr">
        <is>
          <t>Hindi</t>
        </is>
      </c>
      <c r="G55" s="5" t="inlineStr">
        <is>
          <t>Comedy</t>
        </is>
      </c>
      <c r="H55" s="5" t="inlineStr">
        <is>
          <t>Crime caper</t>
        </is>
      </c>
      <c r="I55" s="18" t="n"/>
      <c r="J55" s="5" t="inlineStr">
        <is>
          <t>Brij Sadanah</t>
        </is>
      </c>
      <c r="K55" s="5" t="inlineStr">
        <is>
          <t>Chander Sadanah</t>
        </is>
      </c>
      <c r="L55" s="5" t="n"/>
      <c r="M55" s="5" t="inlineStr">
        <is>
          <t>K. A. Narayan</t>
        </is>
      </c>
      <c r="N55" s="5" t="n"/>
      <c r="O55" s="5" t="inlineStr">
        <is>
          <t>Kalyanji–Anandji</t>
        </is>
      </c>
      <c r="P55" s="5" t="n"/>
      <c r="Q55" s="5" t="inlineStr">
        <is>
          <t>Verma Malik</t>
        </is>
      </c>
      <c r="R55" s="5" t="inlineStr">
        <is>
          <t>Bholanath (Bhola)</t>
        </is>
      </c>
      <c r="S55" s="5" t="n"/>
      <c r="T55" s="5" t="inlineStr">
        <is>
          <t>Co-lead</t>
        </is>
      </c>
      <c r="U55" s="20" t="n">
        <v>2</v>
      </c>
      <c r="V55" s="5" t="inlineStr">
        <is>
          <t>Thief</t>
        </is>
      </c>
      <c r="W55" s="5" t="inlineStr">
        <is>
          <t>Not documented</t>
        </is>
      </c>
      <c r="X55" s="19" t="inlineStr">
        <is>
          <t>Kapoor plays Bholanath, called Bhola, in a caper comedy alongside Ashok Kumar's Shankar and Pran's double-sided Inspector Kumar, with Zeenat Aman as Sharmili. The article has a full cast list but no plot section, so the shape of the scheme, Bhola's part in it and his relation to Sharmili are undocumented.</t>
        </is>
      </c>
      <c r="Y55" s="19" t="n"/>
      <c r="Z55" s="19" t="n"/>
      <c r="AA55" s="19" t="n"/>
      <c r="AB55" s="19" t="n"/>
      <c r="AC55" s="5" t="n"/>
      <c r="AD55" s="5" t="inlineStr">
        <is>
          <t>Zeenat Aman</t>
        </is>
      </c>
      <c r="AE55" s="5" t="inlineStr">
        <is>
          <t>Secondary</t>
        </is>
      </c>
      <c r="AF55" s="18" t="n"/>
      <c r="AG55" s="19" t="inlineStr">
        <is>
          <t>Romance subordinate to another genre</t>
        </is>
      </c>
      <c r="AH55" s="5" t="n"/>
      <c r="AI55" s="5" t="n"/>
      <c r="AJ55" s="5" t="n"/>
      <c r="AK55" s="5" t="n"/>
      <c r="AL55" s="5" t="n"/>
      <c r="AM55" s="5" t="n"/>
      <c r="AN55" s="5" t="inlineStr">
        <is>
          <t>Hit</t>
        </is>
      </c>
      <c r="AO55" s="18" t="n"/>
      <c r="AP55" s="19" t="inlineStr">
        <is>
          <t>A retrospective notice for The Hindu records Deven Verma at his best in this film, the role that brought him his first Filmfare Award, and states that the romantic pair of Shashi Kapoor and Zeenat Aman added glamour and fun, with Zeenat Aman's Sharmili the driving force behind Bhola Nath's escalating extortion of the publisher Pravinbhai. The Shashi Kapoor article records the film as a large hit and one of his successes of 1975.</t>
        </is>
      </c>
      <c r="AQ55" s="19" t="n"/>
      <c r="AR55" s="5" t="inlineStr">
        <is>
          <t>SOURCE-001; SOURCE-043; SOURCE-128; SOURCE-357</t>
        </is>
      </c>
      <c r="AS55" s="5" t="inlineStr">
        <is>
          <t>Low</t>
        </is>
      </c>
      <c r="AT55" s="5" t="inlineStr">
        <is>
          <t>The article has no plot section, so romance presence and the narrative fields are left blank rather than inferred, and no Romances row is created. The biographical article describes the film as being opposite Zeenat Aman, which implies a romantic pairing but does not describe one. The Hindu's retrospective notice assigns Zeenat Aman's Sharmili to Kapoor's Bhola Nath as a romantic pair, which the phase-2 research could not source from the film article; romance presence is therefore raised from blank to Secondary and classified as subordinate to the caper. No Romances row is created even so, because the notice establishes only that the relationship exists and gives it no development or outcome. The notice independently corroborates AWARD-041, Deven Verma's Filmfare Best Comedian win for this film.</t>
        </is>
      </c>
    </row>
    <row r="56" ht="94" customHeight="1">
      <c r="A56" s="15" t="inlineStr">
        <is>
          <t>FILM-055</t>
        </is>
      </c>
      <c r="B56" s="5" t="inlineStr">
        <is>
          <t>Salaakhen</t>
        </is>
      </c>
      <c r="C56" s="16" t="n">
        <v>27754</v>
      </c>
      <c r="D56" s="17" t="n">
        <v>1975</v>
      </c>
      <c r="E56" s="5" t="inlineStr">
        <is>
          <t>1970s</t>
        </is>
      </c>
      <c r="F56" s="5" t="inlineStr">
        <is>
          <t>Hindi</t>
        </is>
      </c>
      <c r="G56" s="5" t="inlineStr">
        <is>
          <t>Crime drama</t>
        </is>
      </c>
      <c r="H56" s="5" t="inlineStr">
        <is>
          <t>Romance</t>
        </is>
      </c>
      <c r="I56" s="18" t="n"/>
      <c r="J56" s="5" t="inlineStr">
        <is>
          <t>A. Salaam</t>
        </is>
      </c>
      <c r="K56" s="5" t="inlineStr">
        <is>
          <t>Parvesh C Mehra</t>
        </is>
      </c>
      <c r="L56" s="5" t="n"/>
      <c r="M56" s="5" t="n"/>
      <c r="N56" s="5" t="n"/>
      <c r="O56" s="5" t="inlineStr">
        <is>
          <t>Ravindra Jain</t>
        </is>
      </c>
      <c r="P56" s="5" t="n"/>
      <c r="Q56" s="5" t="n"/>
      <c r="R56" s="5" t="inlineStr">
        <is>
          <t>Raju</t>
        </is>
      </c>
      <c r="S56" s="5" t="inlineStr">
        <is>
          <t>Chander</t>
        </is>
      </c>
      <c r="T56" s="5" t="inlineStr">
        <is>
          <t>Lead</t>
        </is>
      </c>
      <c r="U56" s="20" t="n">
        <v>1</v>
      </c>
      <c r="V56" s="5" t="inlineStr">
        <is>
          <t>Card sharp and thief</t>
        </is>
      </c>
      <c r="W56" s="5" t="inlineStr">
        <is>
          <t>Son of a convicted burglar; separated in childhood from the girl next door</t>
        </is>
      </c>
      <c r="X56" s="19" t="inlineStr">
        <is>
          <t>Raju and Guddi are inseparable childhood neighbours until his father is arrested for burglary and they are parted. He grows up a card sharp and thief called Chander, she a stage singer and dancer called Seema, and when they meet and fall in love neither knows who the other was. He is travelling to the same birthplace she is, to get himself arrested for a fee from a gangster.</t>
        </is>
      </c>
      <c r="Y56" s="19" t="inlineStr">
        <is>
          <t>Money, until Seema gives him something else to want.</t>
        </is>
      </c>
      <c r="Z56" s="19" t="inlineStr">
        <is>
          <t>Two assumed names that hide a shared childhood, and a criminal errand running underneath the romance.</t>
        </is>
      </c>
      <c r="AA56" s="19" t="inlineStr">
        <is>
          <t>From a thief for hire toward a man with a reason not to be, by way of a recognition neither of them has made yet.</t>
        </is>
      </c>
      <c r="AB56" s="19" t="inlineStr">
        <is>
          <t>Criminal but sympathetic</t>
        </is>
      </c>
      <c r="AC56" s="5" t="inlineStr">
        <is>
          <t>Not stated by the article's plot summary, which stops at the journey.</t>
        </is>
      </c>
      <c r="AD56" s="5" t="inlineStr">
        <is>
          <t>Sulakshana Pandit</t>
        </is>
      </c>
      <c r="AE56" s="5" t="inlineStr">
        <is>
          <t>Central</t>
        </is>
      </c>
      <c r="AF56" s="20" t="n">
        <v>8</v>
      </c>
      <c r="AG56" s="19" t="inlineStr">
        <is>
          <t>Friendship to love</t>
        </is>
      </c>
      <c r="AH56" s="5" t="n"/>
      <c r="AI56" s="5" t="n"/>
      <c r="AJ56" s="5" t="n"/>
      <c r="AK56" s="5" t="n"/>
      <c r="AL56" s="5" t="n"/>
      <c r="AM56" s="5" t="n"/>
      <c r="AN56" s="5" t="inlineStr">
        <is>
          <t>Semi-hit</t>
        </is>
      </c>
      <c r="AO56" s="18" t="n"/>
      <c r="AP56" s="19" t="inlineStr">
        <is>
          <t>No contemporary review was located; the Shashi Kapoor article records the film as a semi-hit.</t>
        </is>
      </c>
      <c r="AQ56" s="19" t="n"/>
      <c r="AR56" s="5" t="inlineStr">
        <is>
          <t>SOURCE-001; SOURCE-044; SOURCE-128</t>
        </is>
      </c>
      <c r="AS56" s="5" t="inlineStr">
        <is>
          <t>Medium</t>
        </is>
      </c>
      <c r="AT56" s="5" t="inlineStr">
        <is>
          <t>Both leads carry two names, Raju and Chander for Kapoor and Guddi and Seema for Sulakshana Pandit, and the article's plot summary ends before the recognition, so the outcome is left blank.</t>
        </is>
      </c>
    </row>
    <row r="57" ht="94" customHeight="1">
      <c r="A57" s="15" t="inlineStr">
        <is>
          <t>FILM-056</t>
        </is>
      </c>
      <c r="B57" s="5" t="inlineStr">
        <is>
          <t>Naach Uthe Sansaar</t>
        </is>
      </c>
      <c r="C57" s="5" t="inlineStr">
        <is>
          <t>1976</t>
        </is>
      </c>
      <c r="D57" s="17" t="n">
        <v>1976</v>
      </c>
      <c r="E57" s="5" t="inlineStr">
        <is>
          <t>1970s</t>
        </is>
      </c>
      <c r="F57" s="5" t="inlineStr">
        <is>
          <t>Hindi</t>
        </is>
      </c>
      <c r="G57" s="5" t="inlineStr">
        <is>
          <t>Romance</t>
        </is>
      </c>
      <c r="H57" s="5" t="n"/>
      <c r="I57" s="18" t="n"/>
      <c r="J57" s="5" t="inlineStr">
        <is>
          <t>Yakub Hasan Rizvi</t>
        </is>
      </c>
      <c r="K57" s="5" t="n"/>
      <c r="L57" s="5" t="n"/>
      <c r="M57" s="5" t="n"/>
      <c r="N57" s="5" t="n"/>
      <c r="O57" s="5" t="inlineStr">
        <is>
          <t>Laxmikant–Pyarelal</t>
        </is>
      </c>
      <c r="P57" s="5" t="n"/>
      <c r="Q57" s="5" t="n"/>
      <c r="R57" s="5" t="inlineStr">
        <is>
          <t>Karmu</t>
        </is>
      </c>
      <c r="S57" s="5" t="n"/>
      <c r="T57" s="5" t="inlineStr">
        <is>
          <t>Lead</t>
        </is>
      </c>
      <c r="U57" s="20" t="n">
        <v>1</v>
      </c>
      <c r="V57" s="5" t="inlineStr">
        <is>
          <t>Not documented</t>
        </is>
      </c>
      <c r="W57" s="5" t="n"/>
      <c r="X57" s="19" t="inlineStr">
        <is>
          <t>Kapoor plays Karmu opposite Hema Malini's Nanki Mehto, with Simi Garewal and Aruna Irani also credited. The article describes the film as a romance and carries a cast list and a production section, but no plot, so the courtship, the function of the other two women and the outcome are all undocumented.</t>
        </is>
      </c>
      <c r="Y57" s="19" t="n"/>
      <c r="Z57" s="19" t="n"/>
      <c r="AA57" s="19" t="n"/>
      <c r="AB57" s="19" t="n"/>
      <c r="AC57" s="5" t="n"/>
      <c r="AD57" s="5" t="inlineStr">
        <is>
          <t>Hema Malini</t>
        </is>
      </c>
      <c r="AE57" s="5" t="inlineStr">
        <is>
          <t>Central</t>
        </is>
      </c>
      <c r="AF57" s="20" t="n">
        <v>8</v>
      </c>
      <c r="AG57" s="19" t="n"/>
      <c r="AH57" s="5" t="n"/>
      <c r="AI57" s="5" t="n"/>
      <c r="AJ57" s="5" t="n"/>
      <c r="AK57" s="5" t="n"/>
      <c r="AL57" s="5" t="n"/>
      <c r="AM57" s="5" t="n"/>
      <c r="AN57" s="5" t="inlineStr">
        <is>
          <t>Not documented</t>
        </is>
      </c>
      <c r="AO57" s="18" t="n"/>
      <c r="AP57" s="19" t="inlineStr">
        <is>
          <t>No contemporary review was located in the sources consulted.</t>
        </is>
      </c>
      <c r="AQ57" s="19" t="n"/>
      <c r="AR57" s="5" t="inlineStr">
        <is>
          <t>SOURCE-001; SOURCE-048</t>
        </is>
      </c>
      <c r="AS57" s="5" t="inlineStr">
        <is>
          <t>Low</t>
        </is>
      </c>
      <c r="AT57" s="5" t="inlineStr">
        <is>
          <t>Romance presence is recorded as Central because the article describes the film as a romance and bills Kapoor and Hema Malini as its leads. No Romances row is created and the relationship classification is left blank: the article has no plot section, so the relationship cannot be scored honestly.</t>
        </is>
      </c>
    </row>
    <row r="58" ht="79" customHeight="1">
      <c r="A58" s="15" t="inlineStr">
        <is>
          <t>FILM-057</t>
        </is>
      </c>
      <c r="B58" s="5" t="inlineStr">
        <is>
          <t>Koi Jeeta Koi Haara</t>
        </is>
      </c>
      <c r="C58" s="5" t="inlineStr">
        <is>
          <t>1976</t>
        </is>
      </c>
      <c r="D58" s="17" t="n">
        <v>1976</v>
      </c>
      <c r="E58" s="5" t="inlineStr">
        <is>
          <t>1970s</t>
        </is>
      </c>
      <c r="F58" s="5" t="inlineStr">
        <is>
          <t>Hindi</t>
        </is>
      </c>
      <c r="G58" s="5" t="inlineStr">
        <is>
          <t>Crime drama</t>
        </is>
      </c>
      <c r="H58" s="5" t="inlineStr">
        <is>
          <t>Revenge thriller</t>
        </is>
      </c>
      <c r="I58" s="18" t="n"/>
      <c r="J58" s="5" t="inlineStr">
        <is>
          <t>Samir Ganguly</t>
        </is>
      </c>
      <c r="K58" s="5" t="inlineStr">
        <is>
          <t>Anand Bhargava</t>
        </is>
      </c>
      <c r="L58" s="5" t="n"/>
      <c r="M58" s="5" t="n"/>
      <c r="N58" s="5" t="n"/>
      <c r="O58" s="5" t="inlineStr">
        <is>
          <t>Laxmikant–Pyarelal</t>
        </is>
      </c>
      <c r="P58" s="5" t="n"/>
      <c r="Q58" s="5" t="inlineStr">
        <is>
          <t>Anand Bakshi</t>
        </is>
      </c>
      <c r="R58" s="5" t="inlineStr">
        <is>
          <t>Ajit</t>
        </is>
      </c>
      <c r="S58" s="5" t="n"/>
      <c r="T58" s="5" t="inlineStr">
        <is>
          <t>Lead</t>
        </is>
      </c>
      <c r="U58" s="18" t="n"/>
      <c r="V58" s="5" t="inlineStr">
        <is>
          <t>Gang leader</t>
        </is>
      </c>
      <c r="W58" s="5" t="inlineStr">
        <is>
          <t>Criminal underworld</t>
        </is>
      </c>
      <c r="X58" s="19" t="inlineStr">
        <is>
          <t>Ajit is a notorious gang leader who unexpectedly falls in love with Sonali. When an enemy tries to kill him and he is believed dead, Sonali eventually marries another man. Ajit survives, returns, and goes after the people who tried to kill him, finding the life he intended to come back to already given to someone else.</t>
        </is>
      </c>
      <c r="Y58" s="19" t="inlineStr">
        <is>
          <t>Sonali first, and revenge once she is beyond reach.</t>
        </is>
      </c>
      <c r="Z58" s="19" t="inlineStr">
        <is>
          <t>An assassination attempt that costs him not his life but the marriage he was heading toward.</t>
        </is>
      </c>
      <c r="AA58" s="19" t="inlineStr">
        <is>
          <t>From a gangster softened by an unlikely attachment to one returning for revenge after it is lost.</t>
        </is>
      </c>
      <c r="AB58" s="19" t="inlineStr">
        <is>
          <t>Criminal</t>
        </is>
      </c>
      <c r="AC58" s="5" t="inlineStr">
        <is>
          <t>Returns to take revenge on those who tried to kill him.</t>
        </is>
      </c>
      <c r="AD58" s="5" t="inlineStr">
        <is>
          <t>Saira Banu</t>
        </is>
      </c>
      <c r="AE58" s="5" t="inlineStr">
        <is>
          <t>Major</t>
        </is>
      </c>
      <c r="AF58" s="20" t="n">
        <v>7</v>
      </c>
      <c r="AG58" s="19" t="inlineStr">
        <is>
          <t>Tragic lovers</t>
        </is>
      </c>
      <c r="AH58" s="5" t="n"/>
      <c r="AI58" s="5" t="n"/>
      <c r="AJ58" s="5" t="n"/>
      <c r="AK58" s="5" t="n"/>
      <c r="AL58" s="5" t="n"/>
      <c r="AM58" s="5" t="n"/>
      <c r="AN58" s="5" t="inlineStr">
        <is>
          <t>Not documented</t>
        </is>
      </c>
      <c r="AO58" s="18" t="n"/>
      <c r="AP58" s="19" t="inlineStr">
        <is>
          <t>No contemporary review was located in the sources consulted.</t>
        </is>
      </c>
      <c r="AQ58" s="19" t="n"/>
      <c r="AR58" s="5" t="inlineStr">
        <is>
          <t>SOURCE-001; SOURCE-049</t>
        </is>
      </c>
      <c r="AS58" s="5" t="inlineStr">
        <is>
          <t>Low</t>
        </is>
      </c>
      <c r="AT58" s="5" t="inlineStr">
        <is>
          <t>The article's cast list gives no character mappings, so the identification of Saira Banu as Sonali rests on her being billed first among the women and is recorded as an inference in the Romances row rather than as a sourced fact. The plot section is four sentences long.</t>
        </is>
      </c>
    </row>
    <row r="59" ht="79" customHeight="1">
      <c r="A59" s="15" t="inlineStr">
        <is>
          <t>FILM-058</t>
        </is>
      </c>
      <c r="B59" s="5" t="inlineStr">
        <is>
          <t>Deewaangee</t>
        </is>
      </c>
      <c r="C59" s="5" t="inlineStr">
        <is>
          <t>1976</t>
        </is>
      </c>
      <c r="D59" s="17" t="n">
        <v>1976</v>
      </c>
      <c r="E59" s="5" t="inlineStr">
        <is>
          <t>1970s</t>
        </is>
      </c>
      <c r="F59" s="5" t="inlineStr">
        <is>
          <t>Hindi</t>
        </is>
      </c>
      <c r="G59" s="5" t="inlineStr">
        <is>
          <t>Crime drama</t>
        </is>
      </c>
      <c r="H59" s="5" t="n"/>
      <c r="I59" s="18" t="n"/>
      <c r="J59" s="5" t="inlineStr">
        <is>
          <t>Samir Ganguly</t>
        </is>
      </c>
      <c r="K59" s="5" t="inlineStr">
        <is>
          <t>Subodh Mukherjee</t>
        </is>
      </c>
      <c r="L59" s="5" t="n"/>
      <c r="M59" s="5" t="inlineStr">
        <is>
          <t>Anand Dutta; Sneh Dutta</t>
        </is>
      </c>
      <c r="N59" s="5" t="n"/>
      <c r="O59" s="5" t="inlineStr">
        <is>
          <t>Ravindra Jain; S. D. Burman</t>
        </is>
      </c>
      <c r="P59" s="5" t="n"/>
      <c r="Q59" s="5" t="inlineStr">
        <is>
          <t>Anand Bakshi; Ravindra Jain; Naqsh Lyallpuri; Hasrat Jaipuri</t>
        </is>
      </c>
      <c r="R59" s="5" t="inlineStr">
        <is>
          <t>Shekhar</t>
        </is>
      </c>
      <c r="S59" s="5" t="n"/>
      <c r="T59" s="5" t="inlineStr">
        <is>
          <t>Lead</t>
        </is>
      </c>
      <c r="U59" s="20" t="n">
        <v>1</v>
      </c>
      <c r="V59" s="5" t="inlineStr">
        <is>
          <t>Not documented</t>
        </is>
      </c>
      <c r="W59" s="5" t="n"/>
      <c r="X59" s="19" t="inlineStr">
        <is>
          <t>Kapoor plays Shekhar opposite Zeenat Aman's Kanchan. The article's entire plot section is one sentence, describing a woman who protects her family after losing their property and money and a man who thinks money is everything, so beyond that characterisation nothing about Shekhar is documented.</t>
        </is>
      </c>
      <c r="Y59" s="19" t="n"/>
      <c r="Z59" s="19" t="n"/>
      <c r="AA59" s="19" t="n"/>
      <c r="AB59" s="19" t="n"/>
      <c r="AC59" s="5" t="n"/>
      <c r="AD59" s="5" t="inlineStr">
        <is>
          <t>Zeenat Aman</t>
        </is>
      </c>
      <c r="AE59" s="5" t="n"/>
      <c r="AF59" s="18" t="n"/>
      <c r="AG59" s="19" t="n"/>
      <c r="AH59" s="5" t="n"/>
      <c r="AI59" s="5" t="n"/>
      <c r="AJ59" s="5" t="n"/>
      <c r="AK59" s="5" t="n"/>
      <c r="AL59" s="5" t="n"/>
      <c r="AM59" s="5" t="n"/>
      <c r="AN59" s="5" t="inlineStr">
        <is>
          <t>Not documented</t>
        </is>
      </c>
      <c r="AO59" s="18" t="n"/>
      <c r="AP59" s="19" t="inlineStr">
        <is>
          <t>No contemporary review was located in the sources consulted.</t>
        </is>
      </c>
      <c r="AQ59" s="19" t="n"/>
      <c r="AR59" s="5" t="inlineStr">
        <is>
          <t>SOURCE-001; SOURCE-050</t>
        </is>
      </c>
      <c r="AS59" s="5" t="inlineStr">
        <is>
          <t>Low</t>
        </is>
      </c>
      <c r="AT59" s="5" t="inlineStr">
        <is>
          <t>The one-sentence plot summary suggests Kapoor plays the man who thinks money is everything, opposite Zeenat Aman's family protector, but does not say so, so the character fields and romance fields are left blank rather than inferred and no Romances row is created.</t>
        </is>
      </c>
    </row>
    <row r="60" ht="184" customHeight="1">
      <c r="A60" s="15" t="inlineStr">
        <is>
          <t>FILM-059</t>
        </is>
      </c>
      <c r="B60" s="5" t="inlineStr">
        <is>
          <t>Aap Beati</t>
        </is>
      </c>
      <c r="C60" s="5" t="inlineStr">
        <is>
          <t>1976</t>
        </is>
      </c>
      <c r="D60" s="17" t="n">
        <v>1976</v>
      </c>
      <c r="E60" s="5" t="inlineStr">
        <is>
          <t>1970s</t>
        </is>
      </c>
      <c r="F60" s="5" t="inlineStr">
        <is>
          <t>Hindi</t>
        </is>
      </c>
      <c r="G60" s="5" t="inlineStr">
        <is>
          <t>Family drama</t>
        </is>
      </c>
      <c r="H60" s="5" t="inlineStr">
        <is>
          <t>Romance</t>
        </is>
      </c>
      <c r="I60" s="18" t="n"/>
      <c r="J60" s="5" t="inlineStr">
        <is>
          <t>Mohan Kumar</t>
        </is>
      </c>
      <c r="K60" s="5" t="inlineStr">
        <is>
          <t>Mohan Kumar</t>
        </is>
      </c>
      <c r="L60" s="5" t="n"/>
      <c r="M60" s="5" t="n"/>
      <c r="N60" s="5" t="n"/>
      <c r="O60" s="5" t="inlineStr">
        <is>
          <t>Laxmikant–Pyarelal</t>
        </is>
      </c>
      <c r="P60" s="5" t="n"/>
      <c r="Q60" s="5" t="n"/>
      <c r="R60" s="5" t="inlineStr">
        <is>
          <t>Ranjit</t>
        </is>
      </c>
      <c r="S60" s="5" t="n"/>
      <c r="T60" s="5" t="inlineStr">
        <is>
          <t>Lead</t>
        </is>
      </c>
      <c r="U60" s="20" t="n">
        <v>1</v>
      </c>
      <c r="V60" s="5" t="inlineStr">
        <is>
          <t>Not documented; later drifts toward crime</t>
        </is>
      </c>
      <c r="W60" s="5" t="inlineStr">
        <is>
          <t>Son of the wealthy Mayadas, disinherited for refusing an arranged match</t>
        </is>
      </c>
      <c r="X60" s="19" t="inlineStr">
        <is>
          <t>Ranjeet and Geeta Kapoor love each other and mean to marry, to the delight of her family, until his father Mayadas orders him to marry a rich man's daughter instead. He refuses and is thrown out. By the time Geeta returns from three weeks in Paris her father is dead, her mother blinded in a fire, and Ranjeet is destitute and contemplating crime to stay alive.</t>
        </is>
      </c>
      <c r="Y60" s="19" t="inlineStr">
        <is>
          <t>To marry Geeta rather than the heiress his father has selected.</t>
        </is>
      </c>
      <c r="Z60" s="19" t="inlineStr">
        <is>
          <t>A father who disinherits him for the refusal, and the destitution that follows.</t>
        </is>
      </c>
      <c r="AA60" s="19" t="inlineStr">
        <is>
          <t>From a wealthy man's son who chooses love over money to a deadbeat considering criminal work, which is the price the film exacts for the choice.</t>
        </is>
      </c>
      <c r="AB60" s="19" t="inlineStr">
        <is>
          <t>Good, then desperate</t>
        </is>
      </c>
      <c r="AC60" s="5" t="inlineStr">
        <is>
          <t>Left destitute and contemplating crime at the point the plot summary reaches.</t>
        </is>
      </c>
      <c r="AD60" s="5" t="inlineStr">
        <is>
          <t>Hema Malini</t>
        </is>
      </c>
      <c r="AE60" s="5" t="inlineStr">
        <is>
          <t>Major</t>
        </is>
      </c>
      <c r="AF60" s="20" t="n">
        <v>7</v>
      </c>
      <c r="AG60" s="19" t="inlineStr">
        <is>
          <t>Forbidden love</t>
        </is>
      </c>
      <c r="AH60" s="5" t="n"/>
      <c r="AI60" s="21" t="n">
        <v>1.3</v>
      </c>
      <c r="AJ60" s="21" t="n">
        <v>2.6</v>
      </c>
      <c r="AK60" s="5" t="n"/>
      <c r="AL60" s="5" t="n"/>
      <c r="AM60" s="5" t="inlineStr">
        <is>
          <t>INR crore</t>
        </is>
      </c>
      <c r="AN60" s="5" t="inlineStr">
        <is>
          <t>Semi Hit</t>
        </is>
      </c>
      <c r="AO60" s="20" t="n">
        <v>11</v>
      </c>
      <c r="AP60" s="19" t="inlineStr">
        <is>
          <t>A retrospective notice for The Hindu holds that the film depends heavily on the splendid screen presence Hema Malini exudes and that she is complimented in equal measure by Shashi Kapoor, who gives a trademark graceful performance, while finding that the film, despite its successful run, suffered glaring flaws, among them a lack of depth in its musical score. The Shashi Kapoor article groups it with Shankar Dada as one of his successes of 1976.</t>
        </is>
      </c>
      <c r="AQ60" s="19" t="n"/>
      <c r="AR60" s="5" t="inlineStr">
        <is>
          <t>SOURCE-001; SOURCE-051; SOURCE-128; SOURCE-344; SOURCE-358</t>
        </is>
      </c>
      <c r="AS60" s="5" t="inlineStr">
        <is>
          <t>Medium</t>
        </is>
      </c>
      <c r="AT60" s="5" t="inlineStr">
        <is>
          <t>The film's weight sits on Geeta and her father Kishorilal, who sacrifice to educate a son who then abandons them; Ranjeet's disinheritance is the parallel strand. Box Office India's archived 1976 annual table gives nett Rs 1.3 crore, India gross Rs 2.6 crore, verdict "Semi Hit" and annual rank 11. This supersedes the verdict "Hit" taken from the film article, which is kept here per the rule that the trade figure goes in the column and the encyclopedia claim into notes. Critical reception rewritten: phase 2 found no contemporary review, and The Hindu's retrospective notice of 23 July 2015 now supplies one.</t>
        </is>
      </c>
    </row>
    <row r="61" ht="184" customHeight="1">
      <c r="A61" s="15" t="inlineStr">
        <is>
          <t>FILM-060</t>
        </is>
      </c>
      <c r="B61" s="5" t="inlineStr">
        <is>
          <t>Kabhi Kabhie</t>
        </is>
      </c>
      <c r="C61" s="16" t="n">
        <v>27817</v>
      </c>
      <c r="D61" s="17" t="n">
        <v>1976</v>
      </c>
      <c r="E61" s="5" t="inlineStr">
        <is>
          <t>1970s</t>
        </is>
      </c>
      <c r="F61" s="5" t="inlineStr">
        <is>
          <t>Hindi; Urdu</t>
        </is>
      </c>
      <c r="G61" s="5" t="inlineStr">
        <is>
          <t>Musical romantic drama</t>
        </is>
      </c>
      <c r="H61" s="5" t="inlineStr">
        <is>
          <t>Family drama</t>
        </is>
      </c>
      <c r="I61" s="17" t="n">
        <v>178</v>
      </c>
      <c r="J61" s="5" t="inlineStr">
        <is>
          <t>Yash Chopra</t>
        </is>
      </c>
      <c r="K61" s="5" t="inlineStr">
        <is>
          <t>Yash Chopra</t>
        </is>
      </c>
      <c r="L61" s="5" t="inlineStr">
        <is>
          <t>Yash Raj Films</t>
        </is>
      </c>
      <c r="M61" s="5" t="inlineStr">
        <is>
          <t>Pamela Chopra; Sagar Sarhadi</t>
        </is>
      </c>
      <c r="N61" s="5" t="n"/>
      <c r="O61" s="5" t="inlineStr">
        <is>
          <t>Khayyam</t>
        </is>
      </c>
      <c r="P61" s="5" t="n"/>
      <c r="Q61" s="5" t="inlineStr">
        <is>
          <t>Sahir Ludhianvi</t>
        </is>
      </c>
      <c r="R61" s="5" t="inlineStr">
        <is>
          <t>Vijay Khanna</t>
        </is>
      </c>
      <c r="S61" s="5" t="n"/>
      <c r="T61" s="5" t="inlineStr">
        <is>
          <t>Ensemble lead</t>
        </is>
      </c>
      <c r="U61" s="20" t="n">
        <v>2</v>
      </c>
      <c r="V61" s="5" t="inlineStr">
        <is>
          <t>Architect</t>
        </is>
      </c>
      <c r="W61" s="5" t="inlineStr">
        <is>
          <t>Prosperous professional; marries into an arranged match</t>
        </is>
      </c>
      <c r="X61" s="19" t="inlineStr">
        <is>
          <t>Vijay Khanna marries Pooja by arrangement, against her wishes and without knowing she is in love with the poet Amit. He is an admirer of Amit's verse and gives Pooja his anthology on their wedding night. Twenty years on he invites Amit home, deduces that heartbreak ended the poetry, and is generous about a rival he never knew he had until he begins to understand what his own marriage was built on.</t>
        </is>
      </c>
      <c r="Y61" s="19" t="inlineStr">
        <is>
          <t>To keep a marriage and a family he believes is settled.</t>
        </is>
      </c>
      <c r="Z61" s="19" t="inlineStr">
        <is>
          <t>A wife whose first attachment he only gradually recognises, and his own admiration for the man who was it.</t>
        </is>
      </c>
      <c r="AA61" s="19" t="inlineStr">
        <is>
          <t>From an untroubled husband to one who sees the shape of his wife's earlier life, and has to decide what to do with that.</t>
        </is>
      </c>
      <c r="AB61" s="19" t="inlineStr">
        <is>
          <t>Decent</t>
        </is>
      </c>
      <c r="AC61" s="5" t="inlineStr">
        <is>
          <t>The marriage holds through the second generation's crisis.</t>
        </is>
      </c>
      <c r="AD61" s="5" t="inlineStr">
        <is>
          <t>Raakhee</t>
        </is>
      </c>
      <c r="AE61" s="5" t="inlineStr">
        <is>
          <t>Major</t>
        </is>
      </c>
      <c r="AF61" s="20" t="n">
        <v>9</v>
      </c>
      <c r="AG61" s="19" t="inlineStr">
        <is>
          <t>Established relationship</t>
        </is>
      </c>
      <c r="AH61" s="5" t="n"/>
      <c r="AI61" s="21" t="n">
        <v>2</v>
      </c>
      <c r="AJ61" s="21" t="n">
        <v>4</v>
      </c>
      <c r="AK61" s="5" t="n"/>
      <c r="AL61" s="5" t="n"/>
      <c r="AM61" s="5" t="inlineStr">
        <is>
          <t>INR crore</t>
        </is>
      </c>
      <c r="AN61" s="5" t="inlineStr">
        <is>
          <t>Semi Hit</t>
        </is>
      </c>
      <c r="AO61" s="20" t="n">
        <v>8</v>
      </c>
      <c r="AP61" s="19" t="inlineStr">
        <is>
          <t>A major success despite its sombre subject. Its Khayyam soundtrack with Sahir Ludhianvi's lyrics was singled out on release and remains among the most admired of the decade.</t>
        </is>
      </c>
      <c r="AQ61" s="19" t="inlineStr">
        <is>
          <t>Kapoor was nominated for the Filmfare Award for Best Supporting Actor. Khayyam won Best Music Director and Sahir Ludhianvi Best Lyricist at the 24th Filmfare Awards, and Mukesh won his final Filmfare Award for Best Male Playback Singer, posthumously, for the title song.</t>
        </is>
      </c>
      <c r="AR61" s="5" t="inlineStr">
        <is>
          <t>SOURCE-001; SOURCE-045; SOURCE-128; SOURCE-344</t>
        </is>
      </c>
      <c r="AS61" s="5" t="inlineStr">
        <is>
          <t>Medium</t>
        </is>
      </c>
      <c r="AT61" s="5" t="inlineStr">
        <is>
          <t>Infobox gross '₹40 million' has no nett/gross label and is not entered. Jennifer Kendal, Kapoor's wife, is credited with costume design. The role is the mirror of Jab Jab Phool Khile: there he is the man a woman chooses against her father, here the man a father chooses for a woman against her wishes. Box Office India's archived 1976 annual table gives nett Rs 2.0 crore, India gross Rs 4.0 crore, verdict "Semi Hit" and annual rank 8. This supersedes the verdict "Superhit" taken from the film article, which is kept here per the rule that the trade figure goes in the column and the encyclopedia claim into notes.</t>
        </is>
      </c>
    </row>
    <row r="62" ht="169" customHeight="1">
      <c r="A62" s="15" t="inlineStr">
        <is>
          <t>FILM-061</t>
        </is>
      </c>
      <c r="B62" s="5" t="inlineStr">
        <is>
          <t>Shankar Dada</t>
        </is>
      </c>
      <c r="C62" s="16" t="n">
        <v>27963</v>
      </c>
      <c r="D62" s="17" t="n">
        <v>1976</v>
      </c>
      <c r="E62" s="5" t="inlineStr">
        <is>
          <t>1970s</t>
        </is>
      </c>
      <c r="F62" s="5" t="inlineStr">
        <is>
          <t>Hindi</t>
        </is>
      </c>
      <c r="G62" s="5" t="inlineStr">
        <is>
          <t>Action drama</t>
        </is>
      </c>
      <c r="H62" s="5" t="n"/>
      <c r="I62" s="18" t="n"/>
      <c r="J62" s="5" t="inlineStr">
        <is>
          <t>Shibu Mitra</t>
        </is>
      </c>
      <c r="K62" s="5" t="inlineStr">
        <is>
          <t>S. K. Kapur</t>
        </is>
      </c>
      <c r="L62" s="5" t="n"/>
      <c r="M62" s="5" t="inlineStr">
        <is>
          <t>Ram Kelkar; Ehsan Rizvi</t>
        </is>
      </c>
      <c r="N62" s="5" t="n"/>
      <c r="O62" s="5" t="inlineStr">
        <is>
          <t>Sonik Omi</t>
        </is>
      </c>
      <c r="P62" s="5" t="n"/>
      <c r="Q62" s="5" t="n"/>
      <c r="R62" s="5" t="inlineStr">
        <is>
          <t>Inspector Ram Singh</t>
        </is>
      </c>
      <c r="S62" s="5" t="inlineStr">
        <is>
          <t>Shankar Singh (Shankar Dada)</t>
        </is>
      </c>
      <c r="T62" s="5" t="inlineStr">
        <is>
          <t>Lead</t>
        </is>
      </c>
      <c r="U62" s="20" t="n">
        <v>2</v>
      </c>
      <c r="V62" s="5" t="inlineStr">
        <is>
          <t>Police inspector; and a criminal</t>
        </is>
      </c>
      <c r="W62" s="5" t="n"/>
      <c r="X62" s="19" t="inlineStr">
        <is>
          <t>A double role, as Inspector Ram Singh and as the criminal Shankar Singh, known as Shankar Dada, opposite Neetu Singh's Roopa Verma and under Ashok Kumar's Police Superintendent. The article carries a cast list and a song list but no plot section, so the relation between the two characters and the shape of the story are undocumented.</t>
        </is>
      </c>
      <c r="Y62" s="19" t="n"/>
      <c r="Z62" s="19" t="n"/>
      <c r="AA62" s="19" t="n"/>
      <c r="AB62" s="19" t="n"/>
      <c r="AC62" s="5" t="n"/>
      <c r="AD62" s="5" t="inlineStr">
        <is>
          <t>Neetu Singh</t>
        </is>
      </c>
      <c r="AE62" s="5" t="n"/>
      <c r="AF62" s="18" t="n"/>
      <c r="AG62" s="19" t="n"/>
      <c r="AH62" s="5" t="n"/>
      <c r="AI62" s="21" t="n">
        <v>1.15</v>
      </c>
      <c r="AJ62" s="21" t="n">
        <v>2.3</v>
      </c>
      <c r="AK62" s="5" t="n"/>
      <c r="AL62" s="5" t="n"/>
      <c r="AM62" s="5" t="inlineStr">
        <is>
          <t>INR crore</t>
        </is>
      </c>
      <c r="AN62" s="5" t="inlineStr">
        <is>
          <t>Above Average</t>
        </is>
      </c>
      <c r="AO62" s="20" t="n">
        <v>13</v>
      </c>
      <c r="AP62" s="19" t="inlineStr">
        <is>
          <t>No contemporary review was located; the Shashi Kapoor article groups the film with Aap Beati as one of his two successes following Fakira.</t>
        </is>
      </c>
      <c r="AQ62" s="19" t="n"/>
      <c r="AR62" s="5" t="inlineStr">
        <is>
          <t>SOURCE-001; SOURCE-046; SOURCE-128; SOURCE-344</t>
        </is>
      </c>
      <c r="AS62" s="5" t="inlineStr">
        <is>
          <t>Low</t>
        </is>
      </c>
      <c r="AT62" s="5" t="inlineStr">
        <is>
          <t>The article has no plot section, so romance presence, relationship classification and the narrative fields are left blank rather than inferred, and no Romances row is created. The double role is taken from the cast list, which names both parts. Box Office India's archived 1976 annual table gives nett Rs 1.15 crore, India gross Rs 2.3 crore, verdict "Above Average" and annual rank 13. This supersedes the verdict "Hit" taken from the film article, which is kept here per the rule that the trade figure goes in the column and the encyclopedia claim into notes.</t>
        </is>
      </c>
    </row>
    <row r="63" ht="169" customHeight="1">
      <c r="A63" s="15" t="inlineStr">
        <is>
          <t>FILM-062</t>
        </is>
      </c>
      <c r="B63" s="5" t="inlineStr">
        <is>
          <t>Fakira</t>
        </is>
      </c>
      <c r="C63" s="16" t="n">
        <v>28009</v>
      </c>
      <c r="D63" s="17" t="n">
        <v>1976</v>
      </c>
      <c r="E63" s="5" t="inlineStr">
        <is>
          <t>1970s</t>
        </is>
      </c>
      <c r="F63" s="5" t="inlineStr">
        <is>
          <t>Hindi</t>
        </is>
      </c>
      <c r="G63" s="5" t="inlineStr">
        <is>
          <t>Crime action</t>
        </is>
      </c>
      <c r="H63" s="5" t="inlineStr">
        <is>
          <t>Drama</t>
        </is>
      </c>
      <c r="I63" s="18" t="n"/>
      <c r="J63" s="5" t="inlineStr">
        <is>
          <t>C. P. Dixit</t>
        </is>
      </c>
      <c r="K63" s="5" t="inlineStr">
        <is>
          <t>N. N. Sippy</t>
        </is>
      </c>
      <c r="L63" s="5" t="n"/>
      <c r="M63" s="5" t="inlineStr">
        <is>
          <t>S. M. Abbas; R. K. Bannerjee; Dhruva Chatterjee</t>
        </is>
      </c>
      <c r="N63" s="5" t="n"/>
      <c r="O63" s="5" t="inlineStr">
        <is>
          <t>Ravindra Jain</t>
        </is>
      </c>
      <c r="P63" s="5" t="n"/>
      <c r="Q63" s="5" t="n"/>
      <c r="R63" s="5" t="inlineStr">
        <is>
          <t>Vijay (Fakira)</t>
        </is>
      </c>
      <c r="S63" s="5" t="inlineStr">
        <is>
          <t>Nawab Jhumritalaya; Fakira</t>
        </is>
      </c>
      <c r="T63" s="5" t="inlineStr">
        <is>
          <t>Lead</t>
        </is>
      </c>
      <c r="U63" s="20" t="n">
        <v>1</v>
      </c>
      <c r="V63" s="5" t="inlineStr">
        <is>
          <t>Criminal, operating as Fakira</t>
        </is>
      </c>
      <c r="W63" s="5" t="inlineStr">
        <is>
          <t>Orphaned by a fire, harassed and separated from his brother in childhood</t>
        </is>
      </c>
      <c r="X63" s="19" t="inlineStr">
        <is>
          <t>Vijay and his brother lose their parents in a fire, are harassed and separated, and grow up as criminals on opposite sides, enemies who do not know they are brothers. Operating as Fakira, Vijay heads a gang into which the policewoman Neeta infiltrates undercover; they fall in love, while Neelam, who loves him herself, refuses to trust her.</t>
        </is>
      </c>
      <c r="Y63" s="19" t="inlineStr">
        <is>
          <t>To run his operation and, increasingly, to hold on to Neeta.</t>
        </is>
      </c>
      <c r="Z63" s="19" t="inlineStr">
        <is>
          <t>A rival he does not know is his brother, and a lover he does not know is a police officer.</t>
        </is>
      </c>
      <c r="AA63" s="19" t="inlineStr">
        <is>
          <t>From a criminal formed by childhood catastrophe toward the recognition of both the brother and the deception.</t>
        </is>
      </c>
      <c r="AB63" s="19" t="inlineStr">
        <is>
          <t>Criminal but sympathetic</t>
        </is>
      </c>
      <c r="AC63" s="5" t="inlineStr">
        <is>
          <t>Not stated by the article's plot summary.</t>
        </is>
      </c>
      <c r="AD63" s="5" t="inlineStr">
        <is>
          <t>Shabana Azmi</t>
        </is>
      </c>
      <c r="AE63" s="5" t="inlineStr">
        <is>
          <t>Major</t>
        </is>
      </c>
      <c r="AF63" s="20" t="n">
        <v>7</v>
      </c>
      <c r="AG63" s="19" t="inlineStr">
        <is>
          <t>Relationship damaged by mistrust</t>
        </is>
      </c>
      <c r="AH63" s="5" t="n"/>
      <c r="AI63" s="21" t="n">
        <v>2.5</v>
      </c>
      <c r="AJ63" s="21" t="n">
        <v>5</v>
      </c>
      <c r="AK63" s="5" t="n"/>
      <c r="AL63" s="5" t="n"/>
      <c r="AM63" s="5" t="inlineStr">
        <is>
          <t>INR crore</t>
        </is>
      </c>
      <c r="AN63" s="5" t="inlineStr">
        <is>
          <t>Hit</t>
        </is>
      </c>
      <c r="AO63" s="20" t="n">
        <v>6</v>
      </c>
      <c r="AP63" s="19" t="inlineStr">
        <is>
          <t>A major commercial success, and the second blockbuster Kapoor made with the Chor Machaye Shor team.</t>
        </is>
      </c>
      <c r="AQ63" s="19" t="inlineStr">
        <is>
          <t>Won Best Cinematography (Fali Mistry) and Best Art Direction (S. S. Samel) at the 24th Filmfare Awards, with two playback-singing nominations for 'Sunke Teri Pukar'. Remade in Telugu as Dongalaku Donga (1977).</t>
        </is>
      </c>
      <c r="AR63" s="5" t="inlineStr">
        <is>
          <t>SOURCE-001; SOURCE-047; SOURCE-128; SOURCE-344</t>
        </is>
      </c>
      <c r="AS63" s="5" t="inlineStr">
        <is>
          <t>Medium</t>
        </is>
      </c>
      <c r="AT63" s="5" t="inlineStr">
        <is>
          <t>Infobox gross '₹5 crore' has no nett/gross label and is not entered. Neelam, played by Aruna Irani, loves Vijay and distrusts Neeta on that account, but the attachment is one-sided and he is not recorded as participating in it, so it is noted here rather than given a Romances row. Box Office India's archived 1976 annual table gives nett Rs 2.5 crore, India gross Rs 5.0 crore, verdict "Hit" and annual rank 6. This supersedes the verdict "Blockbuster" taken from the film article, which is kept here per the rule that the trade figure goes in the column and the encyclopedia claim into notes.</t>
        </is>
      </c>
    </row>
    <row r="64" ht="79" customHeight="1">
      <c r="A64" s="15" t="inlineStr">
        <is>
          <t>FILM-063</t>
        </is>
      </c>
      <c r="B64" s="5" t="inlineStr">
        <is>
          <t>Hira Aur Patthar</t>
        </is>
      </c>
      <c r="C64" s="5" t="inlineStr">
        <is>
          <t>1977</t>
        </is>
      </c>
      <c r="D64" s="17" t="n">
        <v>1977</v>
      </c>
      <c r="E64" s="5" t="inlineStr">
        <is>
          <t>1970s</t>
        </is>
      </c>
      <c r="F64" s="5" t="inlineStr">
        <is>
          <t>Hindi</t>
        </is>
      </c>
      <c r="G64" s="5" t="inlineStr">
        <is>
          <t>Drama</t>
        </is>
      </c>
      <c r="H64" s="5" t="n"/>
      <c r="I64" s="18" t="n"/>
      <c r="J64" s="5" t="inlineStr">
        <is>
          <t>Vijay Bhatt</t>
        </is>
      </c>
      <c r="K64" s="5" t="inlineStr">
        <is>
          <t>Arun Bhatt; Kishore Vyas</t>
        </is>
      </c>
      <c r="L64" s="5" t="n"/>
      <c r="M64" s="5" t="inlineStr">
        <is>
          <t>Satyadev Dubey; Moosa Kaleem; Arun Bhatt; Ram Kelkar</t>
        </is>
      </c>
      <c r="N64" s="5" t="n"/>
      <c r="O64" s="5" t="inlineStr">
        <is>
          <t>Kalyanji–Anandji</t>
        </is>
      </c>
      <c r="P64" s="5" t="n"/>
      <c r="Q64" s="5" t="n"/>
      <c r="R64" s="5" t="inlineStr">
        <is>
          <t>Shankar</t>
        </is>
      </c>
      <c r="S64" s="5" t="n"/>
      <c r="T64" s="5" t="inlineStr">
        <is>
          <t>Lead</t>
        </is>
      </c>
      <c r="U64" s="20" t="n">
        <v>1</v>
      </c>
      <c r="V64" s="5" t="inlineStr">
        <is>
          <t>Not documented</t>
        </is>
      </c>
      <c r="W64" s="5" t="n"/>
      <c r="X64" s="19" t="inlineStr">
        <is>
          <t>Kapoor plays Shankar opposite Shabana Azmi's Gauri, with Ashok Kumar as Dr. Anand. The article carries a cast list and a soundtrack section but no plot, so the story, the nature of the relationship with Gauri and the character's function are undocumented. It was the last film of the director Vijay Bhatt.</t>
        </is>
      </c>
      <c r="Y64" s="19" t="n"/>
      <c r="Z64" s="19" t="n"/>
      <c r="AA64" s="19" t="n"/>
      <c r="AB64" s="19" t="n"/>
      <c r="AC64" s="5" t="n"/>
      <c r="AD64" s="5" t="inlineStr">
        <is>
          <t>Shabana Azmi</t>
        </is>
      </c>
      <c r="AE64" s="5" t="n"/>
      <c r="AF64" s="18" t="n"/>
      <c r="AG64" s="19" t="n"/>
      <c r="AH64" s="5" t="n"/>
      <c r="AI64" s="5" t="n"/>
      <c r="AJ64" s="5" t="n"/>
      <c r="AK64" s="5" t="n"/>
      <c r="AL64" s="5" t="n"/>
      <c r="AM64" s="5" t="n"/>
      <c r="AN64" s="5" t="inlineStr">
        <is>
          <t>Flop</t>
        </is>
      </c>
      <c r="AO64" s="18" t="n"/>
      <c r="AP64" s="19" t="inlineStr">
        <is>
          <t>No contemporary review was located; the Shashi Kapoor article groups the film with Farishta Ya Qatil and Chakkar Pe Chakkar among his 1977 failures.</t>
        </is>
      </c>
      <c r="AQ64" s="19" t="inlineStr">
        <is>
          <t>The last film directed by Vijay Bhatt.</t>
        </is>
      </c>
      <c r="AR64" s="5" t="inlineStr">
        <is>
          <t>SOURCE-001; SOURCE-053; SOURCE-128</t>
        </is>
      </c>
      <c r="AS64" s="5" t="inlineStr">
        <is>
          <t>Low</t>
        </is>
      </c>
      <c r="AT64" s="5" t="inlineStr">
        <is>
          <t>The article has no plot section, so romance presence and the narrative fields are left blank rather than inferred and no Romances row is created. The second of four films Kapoor made with Shabana Azmi in this stretch, after Fakira.</t>
        </is>
      </c>
    </row>
    <row r="65" ht="64" customHeight="1">
      <c r="A65" s="15" t="inlineStr">
        <is>
          <t>FILM-064</t>
        </is>
      </c>
      <c r="B65" s="5" t="inlineStr">
        <is>
          <t>Farishta Ya Qatil</t>
        </is>
      </c>
      <c r="C65" s="5" t="inlineStr">
        <is>
          <t>1977</t>
        </is>
      </c>
      <c r="D65" s="17" t="n">
        <v>1977</v>
      </c>
      <c r="E65" s="5" t="inlineStr">
        <is>
          <t>1970s</t>
        </is>
      </c>
      <c r="F65" s="5" t="inlineStr">
        <is>
          <t>Hindi</t>
        </is>
      </c>
      <c r="G65" s="5" t="inlineStr">
        <is>
          <t>Drama</t>
        </is>
      </c>
      <c r="H65" s="5" t="n"/>
      <c r="I65" s="18" t="n"/>
      <c r="J65" s="5" t="inlineStr">
        <is>
          <t>S. M. Abbas</t>
        </is>
      </c>
      <c r="K65" s="5" t="inlineStr">
        <is>
          <t>Ziaul Hasan; Mohd Ilyas</t>
        </is>
      </c>
      <c r="L65" s="5" t="n"/>
      <c r="M65" s="5" t="inlineStr">
        <is>
          <t>S. M. Abbas</t>
        </is>
      </c>
      <c r="N65" s="5" t="n"/>
      <c r="O65" s="5" t="inlineStr">
        <is>
          <t>Kalyanji–Anandji</t>
        </is>
      </c>
      <c r="P65" s="5" t="n"/>
      <c r="Q65" s="5" t="n"/>
      <c r="R65" s="5" t="inlineStr">
        <is>
          <t>Nitin</t>
        </is>
      </c>
      <c r="S65" s="5" t="n"/>
      <c r="T65" s="5" t="inlineStr">
        <is>
          <t>Lead</t>
        </is>
      </c>
      <c r="U65" s="20" t="n">
        <v>1</v>
      </c>
      <c r="V65" s="5" t="inlineStr">
        <is>
          <t>Not documented</t>
        </is>
      </c>
      <c r="W65" s="5" t="n"/>
      <c r="X65" s="19" t="inlineStr">
        <is>
          <t>Kapoor plays Nitin opposite Rekha. The article has no plot section and its cast list gives no character mappings beyond the actors' names, so nothing about the part is documented other than the character name, which comes from the filmography rather than from the article.</t>
        </is>
      </c>
      <c r="Y65" s="19" t="n"/>
      <c r="Z65" s="19" t="n"/>
      <c r="AA65" s="19" t="n"/>
      <c r="AB65" s="19" t="n"/>
      <c r="AC65" s="5" t="n"/>
      <c r="AD65" s="5" t="inlineStr">
        <is>
          <t>Rekha</t>
        </is>
      </c>
      <c r="AE65" s="5" t="n"/>
      <c r="AF65" s="18" t="n"/>
      <c r="AG65" s="19" t="n"/>
      <c r="AH65" s="5" t="n"/>
      <c r="AI65" s="5" t="n"/>
      <c r="AJ65" s="5" t="n"/>
      <c r="AK65" s="5" t="n"/>
      <c r="AL65" s="5" t="n"/>
      <c r="AM65" s="5" t="n"/>
      <c r="AN65" s="5" t="inlineStr">
        <is>
          <t>Flop</t>
        </is>
      </c>
      <c r="AO65" s="18" t="n"/>
      <c r="AP65" s="19" t="inlineStr">
        <is>
          <t>No contemporary review was located; the Shashi Kapoor article groups the film with Hira Aur Patthar and Chakkar Pe Chakkar among his 1977 failures.</t>
        </is>
      </c>
      <c r="AQ65" s="19" t="n"/>
      <c r="AR65" s="5" t="inlineStr">
        <is>
          <t>SOURCE-001; SOURCE-056; SOURCE-128</t>
        </is>
      </c>
      <c r="AS65" s="5" t="inlineStr">
        <is>
          <t>Low</t>
        </is>
      </c>
      <c r="AT65" s="5" t="inlineStr">
        <is>
          <t>The article has no plot section and no character mappings in its cast list, so romance presence and the narrative fields are left blank rather than inferred and no Romances row is created.</t>
        </is>
      </c>
    </row>
    <row r="66" ht="109" customHeight="1">
      <c r="A66" s="15" t="inlineStr">
        <is>
          <t>FILM-065</t>
        </is>
      </c>
      <c r="B66" s="5" t="inlineStr">
        <is>
          <t>Chor Sipahee</t>
        </is>
      </c>
      <c r="C66" s="5" t="inlineStr">
        <is>
          <t>1977</t>
        </is>
      </c>
      <c r="D66" s="17" t="n">
        <v>1977</v>
      </c>
      <c r="E66" s="5" t="inlineStr">
        <is>
          <t>1970s</t>
        </is>
      </c>
      <c r="F66" s="5" t="inlineStr">
        <is>
          <t>Hindi</t>
        </is>
      </c>
      <c r="G66" s="5" t="inlineStr">
        <is>
          <t>Crime drama</t>
        </is>
      </c>
      <c r="H66" s="5" t="n"/>
      <c r="I66" s="18" t="n"/>
      <c r="J66" s="5" t="inlineStr">
        <is>
          <t>Prayag Raj</t>
        </is>
      </c>
      <c r="K66" s="5" t="inlineStr">
        <is>
          <t>Shyam Sunder Shivdasani</t>
        </is>
      </c>
      <c r="L66" s="5" t="n"/>
      <c r="M66" s="5" t="n"/>
      <c r="N66" s="5" t="n"/>
      <c r="O66" s="5" t="inlineStr">
        <is>
          <t>Laxmikant–Pyarelal</t>
        </is>
      </c>
      <c r="P66" s="5" t="n"/>
      <c r="Q66" s="5" t="n"/>
      <c r="R66" s="5" t="inlineStr">
        <is>
          <t>CBI Inspector Shankar</t>
        </is>
      </c>
      <c r="S66" s="5" t="n"/>
      <c r="T66" s="5" t="inlineStr">
        <is>
          <t>Co-lead</t>
        </is>
      </c>
      <c r="U66" s="20" t="n">
        <v>1</v>
      </c>
      <c r="V66" s="5" t="inlineStr">
        <is>
          <t>Police inspector, later a convict and criminal associate</t>
        </is>
      </c>
      <c r="W66" s="5" t="inlineStr">
        <is>
          <t>A reformist officer who loses his position and serves a sentence</t>
        </is>
      </c>
      <c r="X66" s="19" t="inlineStr">
        <is>
          <t>Inspector Shankar Kumar believes criminals can be turned and tries it on Raja Dada without success. Having come to know Raja's mother and unmarried sister, he destroys the evidence tying Raja to an informer's murder, and loses his job, his liberty and his record for it. He comes out of prison a different man, ready to join Raja, who has meanwhile graduated to international smuggling and must be convinced to take him.</t>
        </is>
      </c>
      <c r="Y66" s="19" t="inlineStr">
        <is>
          <t>First to reform Raja, and afterwards to be admitted to the gang he once tried to break up.</t>
        </is>
      </c>
      <c r="Z66" s="19" t="inlineStr">
        <is>
          <t>A reformist principle that destroys the reformer, and a criminal who has outgrown him.</t>
        </is>
      </c>
      <c r="AA66" s="19" t="inlineStr">
        <is>
          <t>From a police officer with a theory about criminals to a convict seeking a place in the organisation he failed to reform.</t>
        </is>
      </c>
      <c r="AB66" s="19" t="inlineStr">
        <is>
          <t>Good, then compromised</t>
        </is>
      </c>
      <c r="AC66" s="5" t="inlineStr">
        <is>
          <t>Left having to prove himself worthy of joining Raja's gang.</t>
        </is>
      </c>
      <c r="AD66" s="5" t="inlineStr">
        <is>
          <t>Parveen Babi; Shabana Azmi</t>
        </is>
      </c>
      <c r="AE66" s="5" t="n"/>
      <c r="AF66" s="18" t="n"/>
      <c r="AG66" s="19" t="n"/>
      <c r="AH66" s="5" t="n"/>
      <c r="AI66" s="5" t="n"/>
      <c r="AJ66" s="5" t="n"/>
      <c r="AK66" s="5" t="n"/>
      <c r="AL66" s="5" t="n"/>
      <c r="AM66" s="5" t="n"/>
      <c r="AN66" s="5" t="inlineStr">
        <is>
          <t>Hit</t>
        </is>
      </c>
      <c r="AO66" s="18" t="n"/>
      <c r="AP66" s="19" t="inlineStr">
        <is>
          <t>No contemporary review was located; the Shashi Kapoor article names Chor Sipahee and Mukti as the two exceptions to a run of 1977 failures.</t>
        </is>
      </c>
      <c r="AQ66" s="19" t="n"/>
      <c r="AR66" s="5" t="inlineStr">
        <is>
          <t>SOURCE-001; SOURCE-057; SOURCE-128</t>
        </is>
      </c>
      <c r="AS66" s="5" t="inlineStr">
        <is>
          <t>Medium</t>
        </is>
      </c>
      <c r="AT66" s="5" t="inlineStr">
        <is>
          <t>The plot summary records that Shankar becomes acquainted with Raja's unmarried sister Bharti, played by Parveen Babi, and with their ailing mother, but it does not describe a romance, and no source located assigns either Bharti or Shabana Azmi's Priya to him. Romance presence is therefore left blank and no Romances row is created rather than inferring a pairing from billing.</t>
        </is>
      </c>
    </row>
    <row r="67" ht="139" customHeight="1">
      <c r="A67" s="15" t="inlineStr">
        <is>
          <t>FILM-066</t>
        </is>
      </c>
      <c r="B67" s="5" t="inlineStr">
        <is>
          <t>Chakkar Pe Chakkar</t>
        </is>
      </c>
      <c r="C67" s="5" t="inlineStr">
        <is>
          <t>1977</t>
        </is>
      </c>
      <c r="D67" s="17" t="n">
        <v>1977</v>
      </c>
      <c r="E67" s="5" t="inlineStr">
        <is>
          <t>1970s</t>
        </is>
      </c>
      <c r="F67" s="5" t="inlineStr">
        <is>
          <t>Hindi</t>
        </is>
      </c>
      <c r="G67" s="5" t="inlineStr">
        <is>
          <t>Romantic comedy</t>
        </is>
      </c>
      <c r="H67" s="5" t="inlineStr">
        <is>
          <t>Crime caper</t>
        </is>
      </c>
      <c r="I67" s="18" t="n"/>
      <c r="J67" s="5" t="inlineStr">
        <is>
          <t>Ashok Roy</t>
        </is>
      </c>
      <c r="K67" s="5" t="inlineStr">
        <is>
          <t>Ashok Roy</t>
        </is>
      </c>
      <c r="L67" s="5" t="n"/>
      <c r="M67" s="5" t="inlineStr">
        <is>
          <t>Amit Khanna; Verma Malik; Charandas Shokh; Suridh Kar</t>
        </is>
      </c>
      <c r="N67" s="5" t="n"/>
      <c r="O67" s="5" t="inlineStr">
        <is>
          <t>Kalyanji–Anandji</t>
        </is>
      </c>
      <c r="P67" s="5" t="n"/>
      <c r="Q67" s="5" t="n"/>
      <c r="R67" s="5" t="inlineStr">
        <is>
          <t>Ravi Kumar</t>
        </is>
      </c>
      <c r="S67" s="5" t="n"/>
      <c r="T67" s="5" t="inlineStr">
        <is>
          <t>Lead</t>
        </is>
      </c>
      <c r="U67" s="20" t="n">
        <v>1</v>
      </c>
      <c r="V67" s="5" t="inlineStr">
        <is>
          <t>Popular film actor</t>
        </is>
      </c>
      <c r="W67" s="5" t="inlineStr">
        <is>
          <t>The Hindi film industry</t>
        </is>
      </c>
      <c r="X67" s="19" t="inlineStr">
        <is>
          <t>Ravi Kumar is a popular actor shooting a film meant to expose the fraudulent Swami Hari Om. He refuses a scene requiring him to kill a child, quarrels with the producer, and is found holding the knife over the producer's body. He flees, is taken by a dacoit gang who turn out to be his fans, stages his own death, and joins them in disguises to find the real killer, until the Swami discovers he is alive and abducts his mother and his sweetheart Sheila.</t>
        </is>
      </c>
      <c r="Y67" s="19" t="inlineStr">
        <is>
          <t>To clear himself of a murder he did not commit, and then to recover his mother and Sheila.</t>
        </is>
      </c>
      <c r="Z67" s="19" t="inlineStr">
        <is>
          <t>A framing that makes a film star the prime suspect, and a fraudulent godman who takes hostages.</t>
        </is>
      </c>
      <c r="AA67" s="19" t="inlineStr">
        <is>
          <t>From a star with scruples about a scene to a fugitive running a disguise operation of his own.</t>
        </is>
      </c>
      <c r="AB67" s="19" t="inlineStr">
        <is>
          <t>Good</t>
        </is>
      </c>
      <c r="AC67" s="5" t="inlineStr">
        <is>
          <t>Left at the point of the abduction by the article's storyline summary.</t>
        </is>
      </c>
      <c r="AD67" s="5" t="inlineStr">
        <is>
          <t>Rekha</t>
        </is>
      </c>
      <c r="AE67" s="5" t="inlineStr">
        <is>
          <t>Major</t>
        </is>
      </c>
      <c r="AF67" s="20" t="n">
        <v>6</v>
      </c>
      <c r="AG67" s="19" t="inlineStr">
        <is>
          <t>Romance subordinate to another genre</t>
        </is>
      </c>
      <c r="AH67" s="5" t="n"/>
      <c r="AI67" s="21" t="n">
        <v>1.15</v>
      </c>
      <c r="AJ67" s="21" t="n">
        <v>2.3</v>
      </c>
      <c r="AK67" s="5" t="n"/>
      <c r="AL67" s="5" t="n"/>
      <c r="AM67" s="5" t="inlineStr">
        <is>
          <t>INR crore</t>
        </is>
      </c>
      <c r="AN67" s="5" t="inlineStr">
        <is>
          <t>Average</t>
        </is>
      </c>
      <c r="AO67" s="20" t="n">
        <v>17</v>
      </c>
      <c r="AP67" s="19" t="inlineStr">
        <is>
          <t>No contemporary review was located; the Shashi Kapoor article groups the film with Hira Aur Patthar and Farishta Ya Qatil among his 1977 failures.</t>
        </is>
      </c>
      <c r="AQ67" s="19" t="n"/>
      <c r="AR67" s="5" t="inlineStr">
        <is>
          <t>SOURCE-001; SOURCE-058; SOURCE-128; SOURCE-345</t>
        </is>
      </c>
      <c r="AS67" s="5" t="inlineStr">
        <is>
          <t>Medium</t>
        </is>
      </c>
      <c r="AT67" s="5" t="inlineStr">
        <is>
          <t>One of several films in this period in which Kapoor plays a film actor; the storyline section, rather than a plot section, is the article's only narrative text. Box Office India's archived 1977 annual table gives nett Rs 1.15 crore, India gross Rs 2.3 crore, verdict "Average" and annual rank 17. This supersedes the verdict "Flop" taken from the film article, which is kept here per the rule that the trade figure goes in the column and the encyclopedia claim into notes.</t>
        </is>
      </c>
    </row>
    <row r="68" ht="229" customHeight="1">
      <c r="A68" s="15" t="inlineStr">
        <is>
          <t>FILM-067</t>
        </is>
      </c>
      <c r="B68" s="5" t="inlineStr">
        <is>
          <t>Immaan Dharam</t>
        </is>
      </c>
      <c r="C68" s="16" t="n">
        <v>28139</v>
      </c>
      <c r="D68" s="17" t="n">
        <v>1977</v>
      </c>
      <c r="E68" s="5" t="inlineStr">
        <is>
          <t>1970s</t>
        </is>
      </c>
      <c r="F68" s="5" t="inlineStr">
        <is>
          <t>Hindi</t>
        </is>
      </c>
      <c r="G68" s="5" t="inlineStr">
        <is>
          <t>Action drama</t>
        </is>
      </c>
      <c r="H68" s="5" t="inlineStr">
        <is>
          <t>Social drama</t>
        </is>
      </c>
      <c r="I68" s="18" t="n"/>
      <c r="J68" s="5" t="inlineStr">
        <is>
          <t>Desh Mukherjee</t>
        </is>
      </c>
      <c r="K68" s="5" t="inlineStr">
        <is>
          <t>Premji; Suchitra Films Pvt. Ltd.</t>
        </is>
      </c>
      <c r="L68" s="5" t="n"/>
      <c r="M68" s="5" t="inlineStr">
        <is>
          <t>Salim–Javed</t>
        </is>
      </c>
      <c r="N68" s="5" t="n"/>
      <c r="O68" s="5" t="inlineStr">
        <is>
          <t>Laxmikant–Pyarelal</t>
        </is>
      </c>
      <c r="P68" s="5" t="n"/>
      <c r="Q68" s="5" t="n"/>
      <c r="R68" s="5" t="inlineStr">
        <is>
          <t>Mohan Kumar Saxena</t>
        </is>
      </c>
      <c r="S68" s="5" t="n"/>
      <c r="T68" s="5" t="inlineStr">
        <is>
          <t>Ensemble lead</t>
        </is>
      </c>
      <c r="U68" s="20" t="n">
        <v>1</v>
      </c>
      <c r="V68" s="5" t="inlineStr">
        <is>
          <t>Professional false witness, then an honest man in search of work</t>
        </is>
      </c>
      <c r="W68" s="5" t="inlineStr">
        <is>
          <t>Court-yard hanger-on living by perjury</t>
        </is>
      </c>
      <c r="X68" s="19" t="inlineStr">
        <is>
          <t>Mohan Saxena and Ahmed Raza make their living hanging about the courts as mock witnesses, giving whatever evidence a case requires. Kabir Das turns them toward honesty, at which point they discover how nearly impossible it is to live honestly. When Kabir is arrested for a murder he denies, the pair set out to find the real killer and land themselves in trouble instead.</t>
        </is>
      </c>
      <c r="Y68" s="19" t="inlineStr">
        <is>
          <t>To go straight, and then to clear the man who persuaded him to.</t>
        </is>
      </c>
      <c r="Z68" s="19" t="inlineStr">
        <is>
          <t>The discovery that honesty does not pay, set against a friend's murder charge.</t>
        </is>
      </c>
      <c r="AA68" s="19" t="inlineStr">
        <is>
          <t>From perjurer to reformed man to amateur investigator, with the reform tested by destitution.</t>
        </is>
      </c>
      <c r="AB68" s="19" t="inlineStr">
        <is>
          <t>Corrupt, then reformed</t>
        </is>
      </c>
      <c r="AC68" s="5" t="inlineStr">
        <is>
          <t>In trouble alongside Ahmed by the end of the plot summary.</t>
        </is>
      </c>
      <c r="AD68" s="5" t="inlineStr">
        <is>
          <t>Rekha; Aparna Sen</t>
        </is>
      </c>
      <c r="AE68" s="5" t="inlineStr">
        <is>
          <t>Minor</t>
        </is>
      </c>
      <c r="AF68" s="18" t="n"/>
      <c r="AG68" s="19" t="n"/>
      <c r="AH68" s="5" t="n"/>
      <c r="AI68" s="21" t="n">
        <v>1.3</v>
      </c>
      <c r="AJ68" s="21" t="n">
        <v>2.6</v>
      </c>
      <c r="AK68" s="5" t="n"/>
      <c r="AL68" s="5" t="n"/>
      <c r="AM68" s="5" t="inlineStr">
        <is>
          <t>INR crore</t>
        </is>
      </c>
      <c r="AN68" s="5" t="inlineStr">
        <is>
          <t>Flop</t>
        </is>
      </c>
      <c r="AO68" s="20" t="n">
        <v>15</v>
      </c>
      <c r="AP68" s="19" t="inlineStr">
        <is>
          <t>The film article records it as both a commercial and a critical failure. The Shashi Kapoor article notes it took a bumper opening before collections dropped on poor word of mouth. The Hindu's Blast from the Past notice judges that an enviable line-up assembled to reap riches at the box office comes a cropper after initial promise, while allowing that the film takes off on a racy note with Mohan and Ahmed reeling off false statements in court.</t>
        </is>
      </c>
      <c r="AQ68" s="19" t="inlineStr">
        <is>
          <t>Written by Salim-Javed, and one of the Bachchan and Kapoor pairings of the decade.</t>
        </is>
      </c>
      <c r="AR68" s="5" t="inlineStr">
        <is>
          <t>SOURCE-001; SOURCE-052; SOURCE-128; SOURCE-345; SOURCE-359</t>
        </is>
      </c>
      <c r="AS68" s="5" t="inlineStr">
        <is>
          <t>Medium</t>
        </is>
      </c>
      <c r="AT68" s="5" t="inlineStr">
        <is>
          <t>Rekha, Aparna Sen and Helen are billed among the leads but the article's plot summary names none of them and assigns no romance to Mohan, so romance presence is left blank and no Romances row is created rather than inferring a pairing from billing. Box Office India's archived 1977 annual table gives nett Rs 1.3 crore, India gross Rs 2.6 crore, verdict "Flop" and annual rank 15. The Hindu's notice states that Rekha's Durga, a Tamil-speaking labourer, falls for Kapoor's Mohan, a relationship the film article does not assign to anyone; romance presence is therefore raised from blank to Minor. No Romances row is created, because the attachment is recorded as one-directional with no development or outcome, which does not meet this project's threshold for a scoreable pairing.</t>
        </is>
      </c>
    </row>
    <row r="69" ht="154" customHeight="1">
      <c r="A69" s="15" t="inlineStr">
        <is>
          <t>FILM-068</t>
        </is>
      </c>
      <c r="B69" s="5" t="inlineStr">
        <is>
          <t>Mukti</t>
        </is>
      </c>
      <c r="C69" s="16" t="n">
        <v>28351</v>
      </c>
      <c r="D69" s="17" t="n">
        <v>1977</v>
      </c>
      <c r="E69" s="5" t="inlineStr">
        <is>
          <t>1970s</t>
        </is>
      </c>
      <c r="F69" s="5" t="inlineStr">
        <is>
          <t>Hindi</t>
        </is>
      </c>
      <c r="G69" s="5" t="inlineStr">
        <is>
          <t>Romantic drama</t>
        </is>
      </c>
      <c r="H69" s="5" t="inlineStr">
        <is>
          <t>Prison drama</t>
        </is>
      </c>
      <c r="I69" s="17" t="n">
        <v>125</v>
      </c>
      <c r="J69" s="5" t="inlineStr">
        <is>
          <t>Raj Tilak</t>
        </is>
      </c>
      <c r="K69" s="5" t="inlineStr">
        <is>
          <t>Raj Tilak; Tilak Movies Pvt. Ltd.</t>
        </is>
      </c>
      <c r="L69" s="5" t="inlineStr">
        <is>
          <t>Essel Studios; Famous Cine Studios; Natraj Studios; R. K. Studios; Rajkamal Kalamandir</t>
        </is>
      </c>
      <c r="M69" s="5" t="inlineStr">
        <is>
          <t>Dhruva Chatterjee; Keka Chatterjee; Renu Khanna; Kader Khan</t>
        </is>
      </c>
      <c r="N69" s="5" t="n"/>
      <c r="O69" s="5" t="inlineStr">
        <is>
          <t>R. D. Burman</t>
        </is>
      </c>
      <c r="P69" s="5" t="n"/>
      <c r="Q69" s="5" t="inlineStr">
        <is>
          <t>Anand Bakshi</t>
        </is>
      </c>
      <c r="R69" s="5" t="inlineStr">
        <is>
          <t>Kailash Sharma</t>
        </is>
      </c>
      <c r="S69" s="5" t="n"/>
      <c r="T69" s="5" t="inlineStr">
        <is>
          <t>Lead</t>
        </is>
      </c>
      <c r="U69" s="20" t="n">
        <v>1</v>
      </c>
      <c r="V69" s="5" t="inlineStr">
        <is>
          <t>Convict, sentenced for molestation and murder</t>
        </is>
      </c>
      <c r="W69" s="5" t="inlineStr">
        <is>
          <t>A married man with a young daughter, convicted and presumed hanged</t>
        </is>
      </c>
      <c r="X69" s="19" t="inlineStr">
        <is>
          <t>Kailash Sharma is convicted of molesting Shanno and killing Dheeraj Verma and sentenced to hang. His appeals fail and he tells his wife Seema to take their daughter and start again elsewhere. His sentence is in fact commuted to life, and fourteen years later he comes to Bombay to find a family that has rebuilt itself around Seema's second husband, and decides not to disturb it, until she learns he is alive.</t>
        </is>
      </c>
      <c r="Y69" s="19" t="inlineStr">
        <is>
          <t>To see his wife and daughter, and then to spare them the consequences of his existence.</t>
        </is>
      </c>
      <c r="Z69" s="19" t="inlineStr">
        <is>
          <t>A man legally dead to his family whose reappearance can only damage the life they have built.</t>
        </is>
      </c>
      <c r="AA69" s="19" t="inlineStr">
        <is>
          <t>From condemned prisoner to a man choosing not to reclaim what was his.</t>
        </is>
      </c>
      <c r="AB69" s="19" t="inlineStr">
        <is>
          <t>Ambiguous, given the conviction, and self-denying thereafter</t>
        </is>
      </c>
      <c r="AC69" s="5" t="inlineStr">
        <is>
          <t>His decision to stay away is overtaken when Seema comes to meet him secretly.</t>
        </is>
      </c>
      <c r="AD69" s="5" t="inlineStr">
        <is>
          <t>Vidya Sinha</t>
        </is>
      </c>
      <c r="AE69" s="5" t="inlineStr">
        <is>
          <t>Central</t>
        </is>
      </c>
      <c r="AF69" s="20" t="n">
        <v>9</v>
      </c>
      <c r="AG69" s="19" t="inlineStr">
        <is>
          <t>Marriage under strain</t>
        </is>
      </c>
      <c r="AH69" s="21" t="n">
        <v>1.2</v>
      </c>
      <c r="AI69" s="5" t="n"/>
      <c r="AJ69" s="5" t="n"/>
      <c r="AK69" s="5" t="n"/>
      <c r="AL69" s="5" t="n"/>
      <c r="AM69" s="5" t="inlineStr">
        <is>
          <t>INR crore</t>
        </is>
      </c>
      <c r="AN69" s="5" t="inlineStr">
        <is>
          <t>Hit</t>
        </is>
      </c>
      <c r="AO69" s="18" t="n"/>
      <c r="AP69" s="19" t="inlineStr">
        <is>
          <t>A retrospective notice for The Hindu holds that Shashi Kapoor's natural charm together with Vidya Sinha and Sanjeev Kumar's acting prowess breathed life into this otherwise average film, that the romantic scenes between Kapoor and Vidya Sinha still look fresh, and that the two form an attractive pair and perform convincingly; it praises Kader Khan's sincere and honest performance and finds Vikram and Bindiya Goswami unimpressive. The Shashi Kapoor article names Mukti and Chor Sipahee as the two exceptions to a run of 1977 failures.</t>
        </is>
      </c>
      <c r="AQ69" s="19" t="n"/>
      <c r="AR69" s="5" t="inlineStr">
        <is>
          <t>SOURCE-001; SOURCE-054; SOURCE-128; SOURCE-360</t>
        </is>
      </c>
      <c r="AS69" s="5" t="inlineStr">
        <is>
          <t>Medium</t>
        </is>
      </c>
      <c r="AT69" s="5" t="inlineStr">
        <is>
          <t>The film article describes the conviction as for sexually molesting Shanno and killing Dheeraj Kumar Verma, and does not state whether Kailash was guilty; the row records the conviction as the article gives it without asserting innocence. Critical reception rewritten from The Hindu's retrospective notice of 19 May 2016, which also gives the film's box-office status as a hit, corroborating the verdict already recorded.</t>
        </is>
      </c>
    </row>
    <row r="70" ht="94" customHeight="1">
      <c r="A70" s="15" t="inlineStr">
        <is>
          <t>FILM-069</t>
        </is>
      </c>
      <c r="B70" s="5" t="inlineStr">
        <is>
          <t>Doosra Aadmi</t>
        </is>
      </c>
      <c r="C70" s="16" t="n">
        <v>28382</v>
      </c>
      <c r="D70" s="17" t="n">
        <v>1977</v>
      </c>
      <c r="E70" s="5" t="inlineStr">
        <is>
          <t>1970s</t>
        </is>
      </c>
      <c r="F70" s="5" t="inlineStr">
        <is>
          <t>Hindi</t>
        </is>
      </c>
      <c r="G70" s="5" t="inlineStr">
        <is>
          <t>Romantic drama</t>
        </is>
      </c>
      <c r="H70" s="5" t="n"/>
      <c r="I70" s="18" t="n"/>
      <c r="J70" s="5" t="inlineStr">
        <is>
          <t>Ramesh Talwar</t>
        </is>
      </c>
      <c r="K70" s="5" t="inlineStr">
        <is>
          <t>Yash Chopra</t>
        </is>
      </c>
      <c r="L70" s="5" t="n"/>
      <c r="M70" s="5" t="inlineStr">
        <is>
          <t>Raju Saigal; Sagar Sarhadi</t>
        </is>
      </c>
      <c r="N70" s="5" t="n"/>
      <c r="O70" s="5" t="inlineStr">
        <is>
          <t>Rajesh Roshan</t>
        </is>
      </c>
      <c r="P70" s="5" t="n"/>
      <c r="Q70" s="5" t="inlineStr">
        <is>
          <t>Majrooh Sultanpuri</t>
        </is>
      </c>
      <c r="R70" s="5" t="inlineStr">
        <is>
          <t>Shashi Saigal</t>
        </is>
      </c>
      <c r="S70" s="5" t="n"/>
      <c r="T70" s="5" t="inlineStr">
        <is>
          <t>Cameo</t>
        </is>
      </c>
      <c r="U70" s="20" t="n">
        <v>4</v>
      </c>
      <c r="V70" s="5" t="inlineStr">
        <is>
          <t>Not documented; Nisha's boyfriend before his death</t>
        </is>
      </c>
      <c r="W70" s="5" t="inlineStr">
        <is>
          <t>Not documented</t>
        </is>
      </c>
      <c r="X70" s="19" t="inlineStr">
        <is>
          <t>A cameo as Shashi Saigal, the boyfriend whose death sends Nisha into seclusion years before the film's action. He exists chiefly as the man Karan Saxena comes to resemble in her eyes, which is the premise the whole film runs on, but the part itself is brief.</t>
        </is>
      </c>
      <c r="Y70" s="19" t="n"/>
      <c r="Z70" s="19" t="n"/>
      <c r="AA70" s="19" t="n"/>
      <c r="AB70" s="19" t="n"/>
      <c r="AC70" s="5" t="n"/>
      <c r="AD70" s="5" t="inlineStr">
        <is>
          <t>Raakhee</t>
        </is>
      </c>
      <c r="AE70" s="5" t="inlineStr">
        <is>
          <t>Secondary</t>
        </is>
      </c>
      <c r="AF70" s="20" t="n">
        <v>8</v>
      </c>
      <c r="AG70" s="19" t="inlineStr">
        <is>
          <t>Tragic lovers</t>
        </is>
      </c>
      <c r="AH70" s="5" t="n"/>
      <c r="AI70" s="5" t="n"/>
      <c r="AJ70" s="5" t="n"/>
      <c r="AK70" s="5" t="n"/>
      <c r="AL70" s="5" t="n"/>
      <c r="AM70" s="5" t="n"/>
      <c r="AN70" s="5" t="inlineStr">
        <is>
          <t>Not documented</t>
        </is>
      </c>
      <c r="AO70" s="18" t="n"/>
      <c r="AP70" s="19" t="inlineStr">
        <is>
          <t>No contemporary review was located in the sources consulted.</t>
        </is>
      </c>
      <c r="AQ70" s="19" t="inlineStr">
        <is>
          <t>Produced by Yash Chopra; the title, meaning 'the second man', refers to Karan standing in for Kapoor's character in Nisha's imagination.</t>
        </is>
      </c>
      <c r="AR70" s="5" t="inlineStr">
        <is>
          <t>SOURCE-001; SOURCE-055</t>
        </is>
      </c>
      <c r="AS70" s="5" t="inlineStr">
        <is>
          <t>Medium</t>
        </is>
      </c>
      <c r="AT70" s="5" t="inlineStr">
        <is>
          <t>Filmography notes: Cameo. The filmography marks this a cameo and the character is dead before the film's present action. A Romances row is created because the relationship is the film's premise rather than a detail, but its centrality is scored for the film and the part itself is small.</t>
        </is>
      </c>
    </row>
    <row r="71" ht="94" customHeight="1">
      <c r="A71" s="15" t="inlineStr">
        <is>
          <t>FILM-070</t>
        </is>
      </c>
      <c r="B71" s="5" t="inlineStr">
        <is>
          <t>Rahu Ketu</t>
        </is>
      </c>
      <c r="C71" s="5" t="inlineStr">
        <is>
          <t>1978</t>
        </is>
      </c>
      <c r="D71" s="17" t="n">
        <v>1978</v>
      </c>
      <c r="E71" s="5" t="inlineStr">
        <is>
          <t>1970s</t>
        </is>
      </c>
      <c r="F71" s="5" t="inlineStr">
        <is>
          <t>Hindi</t>
        </is>
      </c>
      <c r="G71" s="5" t="inlineStr">
        <is>
          <t>Action</t>
        </is>
      </c>
      <c r="H71" s="5" t="n"/>
      <c r="I71" s="18" t="n"/>
      <c r="J71" s="5" t="inlineStr">
        <is>
          <t>B. R. Ishara</t>
        </is>
      </c>
      <c r="K71" s="5" t="inlineStr">
        <is>
          <t>B. D. Pandey</t>
        </is>
      </c>
      <c r="L71" s="5" t="n"/>
      <c r="M71" s="5" t="n"/>
      <c r="N71" s="5" t="n"/>
      <c r="O71" s="5" t="inlineStr">
        <is>
          <t>Kalyanji–Anandji</t>
        </is>
      </c>
      <c r="P71" s="5" t="n"/>
      <c r="Q71" s="5" t="inlineStr">
        <is>
          <t>Verma Malik</t>
        </is>
      </c>
      <c r="R71" s="5" t="inlineStr">
        <is>
          <t>Ravi Kapoor</t>
        </is>
      </c>
      <c r="S71" s="5" t="n"/>
      <c r="T71" s="5" t="inlineStr">
        <is>
          <t>Co-lead</t>
        </is>
      </c>
      <c r="U71" s="20" t="n">
        <v>1</v>
      </c>
      <c r="V71" s="5" t="inlineStr">
        <is>
          <t>CBI officer</t>
        </is>
      </c>
      <c r="W71" s="5" t="n"/>
      <c r="X71" s="19" t="inlineStr">
        <is>
          <t>Kapoor plays CBI Officer Ravi Kapoor opposite Rekha's Tulsi, in a film whose title roles belong to Premnath and Pran as Rahu and Ketu. The article carries a cast list and a song list but no plot section, so the investigation, the relationship with Tulsi and the part's shape are undocumented.</t>
        </is>
      </c>
      <c r="Y71" s="19" t="n"/>
      <c r="Z71" s="19" t="n"/>
      <c r="AA71" s="19" t="n"/>
      <c r="AB71" s="19" t="n"/>
      <c r="AC71" s="5" t="n"/>
      <c r="AD71" s="5" t="inlineStr">
        <is>
          <t>Rekha</t>
        </is>
      </c>
      <c r="AE71" s="5" t="n"/>
      <c r="AF71" s="18" t="n"/>
      <c r="AG71" s="19" t="n"/>
      <c r="AH71" s="5" t="n"/>
      <c r="AI71" s="5" t="n"/>
      <c r="AJ71" s="5" t="n"/>
      <c r="AK71" s="5" t="n"/>
      <c r="AL71" s="5" t="n"/>
      <c r="AM71" s="5" t="n"/>
      <c r="AN71" s="5" t="inlineStr">
        <is>
          <t>Not documented</t>
        </is>
      </c>
      <c r="AO71" s="18" t="n"/>
      <c r="AP71" s="19" t="inlineStr">
        <is>
          <t>No contemporary review was located in the sources consulted.</t>
        </is>
      </c>
      <c r="AQ71" s="19" t="n"/>
      <c r="AR71" s="5" t="inlineStr">
        <is>
          <t>SOURCE-001; SOURCE-059</t>
        </is>
      </c>
      <c r="AS71" s="5" t="inlineStr">
        <is>
          <t>Low</t>
        </is>
      </c>
      <c r="AT71" s="5" t="inlineStr">
        <is>
          <t>The article's opening sentence places Premnath and Pran in the title roles and Kapoor among those in pivotal roles, which is the basis for the co-lead classification. No plot section exists, so romance presence and the narrative fields are left blank and no Romances row is created.</t>
        </is>
      </c>
    </row>
    <row r="72" ht="64" customHeight="1">
      <c r="A72" s="15" t="inlineStr">
        <is>
          <t>FILM-071</t>
        </is>
      </c>
      <c r="B72" s="5" t="inlineStr">
        <is>
          <t>Do Musafir</t>
        </is>
      </c>
      <c r="C72" s="5" t="inlineStr">
        <is>
          <t>1978</t>
        </is>
      </c>
      <c r="D72" s="17" t="n">
        <v>1978</v>
      </c>
      <c r="E72" s="5" t="inlineStr">
        <is>
          <t>1970s</t>
        </is>
      </c>
      <c r="F72" s="5" t="inlineStr">
        <is>
          <t>Hindi</t>
        </is>
      </c>
      <c r="G72" s="5" t="inlineStr">
        <is>
          <t>Drama</t>
        </is>
      </c>
      <c r="H72" s="5" t="n"/>
      <c r="I72" s="18" t="n"/>
      <c r="J72" s="5" t="inlineStr">
        <is>
          <t>Devendra Goel</t>
        </is>
      </c>
      <c r="K72" s="5" t="inlineStr">
        <is>
          <t>Rabindranath Kumar</t>
        </is>
      </c>
      <c r="L72" s="5" t="n"/>
      <c r="M72" s="5" t="n"/>
      <c r="N72" s="5" t="n"/>
      <c r="O72" s="5" t="inlineStr">
        <is>
          <t>Kalyanji–Anandji</t>
        </is>
      </c>
      <c r="P72" s="5" t="n"/>
      <c r="Q72" s="5" t="inlineStr">
        <is>
          <t>Indeevar</t>
        </is>
      </c>
      <c r="R72" s="5" t="inlineStr">
        <is>
          <t>Raju</t>
        </is>
      </c>
      <c r="S72" s="5" t="inlineStr">
        <is>
          <t>Vicky</t>
        </is>
      </c>
      <c r="T72" s="5" t="inlineStr">
        <is>
          <t>Lead</t>
        </is>
      </c>
      <c r="U72" s="20" t="n">
        <v>2</v>
      </c>
      <c r="V72" s="5" t="inlineStr">
        <is>
          <t>Not documented</t>
        </is>
      </c>
      <c r="W72" s="5" t="n"/>
      <c r="X72" s="19" t="inlineStr">
        <is>
          <t>Kapoor plays Raju, also called Vicky, opposite Rekha's Bijli, with Ashok Kumar, Pran and Prem Chopra in support. The article carries a cast list and a music section but no plot, so the two names, the relationship with Bijli and everything else about the part are undocumented.</t>
        </is>
      </c>
      <c r="Y72" s="19" t="n"/>
      <c r="Z72" s="19" t="n"/>
      <c r="AA72" s="19" t="n"/>
      <c r="AB72" s="19" t="n"/>
      <c r="AC72" s="5" t="n"/>
      <c r="AD72" s="5" t="inlineStr">
        <is>
          <t>Rekha</t>
        </is>
      </c>
      <c r="AE72" s="5" t="n"/>
      <c r="AF72" s="18" t="n"/>
      <c r="AG72" s="19" t="n"/>
      <c r="AH72" s="5" t="n"/>
      <c r="AI72" s="5" t="n"/>
      <c r="AJ72" s="5" t="n"/>
      <c r="AK72" s="5" t="n"/>
      <c r="AL72" s="5" t="n"/>
      <c r="AM72" s="5" t="n"/>
      <c r="AN72" s="5" t="inlineStr">
        <is>
          <t>Not documented</t>
        </is>
      </c>
      <c r="AO72" s="18" t="n"/>
      <c r="AP72" s="19" t="inlineStr">
        <is>
          <t>No contemporary review was located in the sources consulted.</t>
        </is>
      </c>
      <c r="AQ72" s="19" t="n"/>
      <c r="AR72" s="5" t="inlineStr">
        <is>
          <t>SOURCE-001; SOURCE-063</t>
        </is>
      </c>
      <c r="AS72" s="5" t="inlineStr">
        <is>
          <t>Low</t>
        </is>
      </c>
      <c r="AT72" s="5" t="inlineStr">
        <is>
          <t>The article has no plot section, so romance presence and the narrative fields are left blank rather than inferred and no Romances row is created. The title means 'two travellers'.</t>
        </is>
      </c>
    </row>
    <row r="73" ht="94" customHeight="1">
      <c r="A73" s="15" t="inlineStr">
        <is>
          <t>FILM-072</t>
        </is>
      </c>
      <c r="B73" s="5" t="inlineStr">
        <is>
          <t>Trishna</t>
        </is>
      </c>
      <c r="C73" s="5" t="inlineStr">
        <is>
          <t>1978</t>
        </is>
      </c>
      <c r="D73" s="17" t="n">
        <v>1978</v>
      </c>
      <c r="E73" s="5" t="inlineStr">
        <is>
          <t>1970s</t>
        </is>
      </c>
      <c r="F73" s="5" t="inlineStr">
        <is>
          <t>Hindi</t>
        </is>
      </c>
      <c r="G73" s="5" t="inlineStr">
        <is>
          <t>Thriller</t>
        </is>
      </c>
      <c r="H73" s="5" t="inlineStr">
        <is>
          <t>Psychological drama</t>
        </is>
      </c>
      <c r="I73" s="17" t="n">
        <v>7</v>
      </c>
      <c r="J73" s="5" t="inlineStr">
        <is>
          <t>Anil Ganguly</t>
        </is>
      </c>
      <c r="K73" s="5" t="inlineStr">
        <is>
          <t>G. P. Sippy; Ramesh Sippy</t>
        </is>
      </c>
      <c r="L73" s="5" t="n"/>
      <c r="M73" s="5" t="inlineStr">
        <is>
          <t>Sachin Bhowmick; M. G. Hashmat; Amarjeet</t>
        </is>
      </c>
      <c r="N73" s="5" t="inlineStr">
        <is>
          <t>Loosely based on the 1977 Tamil film Thoondil Meen.</t>
        </is>
      </c>
      <c r="O73" s="5" t="inlineStr">
        <is>
          <t>Kalyanji–Anandji</t>
        </is>
      </c>
      <c r="P73" s="5" t="n"/>
      <c r="Q73" s="5" t="n"/>
      <c r="R73" s="5" t="inlineStr">
        <is>
          <t>Vinod</t>
        </is>
      </c>
      <c r="S73" s="5" t="n"/>
      <c r="T73" s="5" t="inlineStr">
        <is>
          <t>Co-lead</t>
        </is>
      </c>
      <c r="U73" s="20" t="n">
        <v>1</v>
      </c>
      <c r="V73" s="5" t="inlineStr">
        <is>
          <t>Interior decorator</t>
        </is>
      </c>
      <c r="W73" s="5" t="inlineStr">
        <is>
          <t>A former college acquaintance of the woman he is hired to work for</t>
        </is>
      </c>
      <c r="X73" s="19" t="inlineStr">
        <is>
          <t>Vinod Sinha is hired to decorate the Khandala bungalow where Aarti Gupta, a childless wife, is staying alone. Remembering him from college, she spends time with him; knowing she is unaccompanied, he sets about pursuing her, and in the scuffle that follows she kills him. Her sister helps dispose of the body, and then Aarti's husband brings home an amnesiac patient who is Vinod, expected to recover his memory.</t>
        </is>
      </c>
      <c r="Y73" s="19" t="inlineStr">
        <is>
          <t>To have Aarti, exploiting the fact that she is alone.</t>
        </is>
      </c>
      <c r="Z73" s="19" t="inlineStr">
        <is>
          <t>A pursuit that will not take refusal, and then a resurrection that threatens the women who buried it.</t>
        </is>
      </c>
      <c r="AA73" s="19" t="inlineStr">
        <is>
          <t>From an old acquaintance to a predator to an amnesiac whose returning memory is the film's ticking clock.</t>
        </is>
      </c>
      <c r="AB73" s="19" t="inlineStr">
        <is>
          <t>Predatory</t>
        </is>
      </c>
      <c r="AC73" s="5" t="inlineStr">
        <is>
          <t>Survives the killing, loses his memory, and is treated by the husband of the woman who killed him.</t>
        </is>
      </c>
      <c r="AD73" s="5" t="inlineStr">
        <is>
          <t>Raakhee</t>
        </is>
      </c>
      <c r="AE73" s="5" t="inlineStr">
        <is>
          <t>Major</t>
        </is>
      </c>
      <c r="AF73" s="20" t="n">
        <v>8</v>
      </c>
      <c r="AG73" s="19" t="inlineStr">
        <is>
          <t>Obsessive pursuit</t>
        </is>
      </c>
      <c r="AH73" s="5" t="n"/>
      <c r="AI73" s="5" t="n"/>
      <c r="AJ73" s="5" t="n"/>
      <c r="AK73" s="5" t="n"/>
      <c r="AL73" s="5" t="n"/>
      <c r="AM73" s="5" t="n"/>
      <c r="AN73" s="5" t="inlineStr">
        <is>
          <t>Hit</t>
        </is>
      </c>
      <c r="AO73" s="18" t="n"/>
      <c r="AP73" s="19" t="inlineStr">
        <is>
          <t>No contemporary review was located; the Shashi Kapoor article includes Trishna in his run of 1978 successes. Raakhee was nominated for the Filmfare Award for Best Actress.</t>
        </is>
      </c>
      <c r="AQ73" s="19" t="n"/>
      <c r="AR73" s="5" t="inlineStr">
        <is>
          <t>SOURCE-001; SOURCE-064; SOURCE-128</t>
        </is>
      </c>
      <c r="AS73" s="5" t="inlineStr">
        <is>
          <t>Medium</t>
        </is>
      </c>
      <c r="AT73" s="5" t="inlineStr">
        <is>
          <t>One of the very few roles in which Kapoor plays the aggressor in a sexual pursuit rather than a suitor, and the only one in this stretch of the filmography where his character is killed by the woman he is pursuing.</t>
        </is>
      </c>
    </row>
    <row r="74" ht="109" customHeight="1">
      <c r="A74" s="15" t="inlineStr">
        <is>
          <t>FILM-073</t>
        </is>
      </c>
      <c r="B74" s="5" t="inlineStr">
        <is>
          <t>Muqaddar</t>
        </is>
      </c>
      <c r="C74" s="5" t="inlineStr">
        <is>
          <t>1978</t>
        </is>
      </c>
      <c r="D74" s="17" t="n">
        <v>1978</v>
      </c>
      <c r="E74" s="5" t="inlineStr">
        <is>
          <t>1970s</t>
        </is>
      </c>
      <c r="F74" s="5" t="n"/>
      <c r="G74" s="5" t="inlineStr">
        <is>
          <t>Drama</t>
        </is>
      </c>
      <c r="H74" s="5" t="n"/>
      <c r="I74" s="18" t="n"/>
      <c r="J74" s="5" t="n"/>
      <c r="K74" s="5" t="n"/>
      <c r="L74" s="5" t="n"/>
      <c r="M74" s="5" t="n"/>
      <c r="N74" s="5" t="n"/>
      <c r="O74" s="5" t="n"/>
      <c r="P74" s="5" t="n"/>
      <c r="Q74" s="5" t="n"/>
      <c r="R74" s="5" t="inlineStr">
        <is>
          <t>Ramu Dada</t>
        </is>
      </c>
      <c r="S74" s="5" t="n"/>
      <c r="T74" s="5" t="n"/>
      <c r="U74" s="18" t="n"/>
      <c r="V74" s="5" t="n"/>
      <c r="W74" s="5" t="n"/>
      <c r="X74" s="19" t="inlineStr">
        <is>
          <t>No Wikipedia article or other plot source was located for this film, and the Shashi Kapoor article does not mention it. Only the character name Ramu Dada, taken from his filmography, is documented; the size of the part, the cast opposite him and the film's reception are all unrecorded.</t>
        </is>
      </c>
      <c r="Y74" s="19" t="n"/>
      <c r="Z74" s="19" t="n"/>
      <c r="AA74" s="19" t="n"/>
      <c r="AB74" s="19" t="n"/>
      <c r="AC74" s="5" t="n"/>
      <c r="AD74" s="5" t="n"/>
      <c r="AE74" s="5" t="n"/>
      <c r="AF74" s="18" t="n"/>
      <c r="AG74" s="19" t="n"/>
      <c r="AH74" s="5" t="n"/>
      <c r="AI74" s="21" t="n">
        <v>1.45</v>
      </c>
      <c r="AJ74" s="21" t="n">
        <v>2.9</v>
      </c>
      <c r="AK74" s="5" t="n"/>
      <c r="AL74" s="5" t="n"/>
      <c r="AM74" s="5" t="inlineStr">
        <is>
          <t>INR crore</t>
        </is>
      </c>
      <c r="AN74" s="5" t="inlineStr">
        <is>
          <t>Average</t>
        </is>
      </c>
      <c r="AO74" s="20" t="n">
        <v>18</v>
      </c>
      <c r="AP74" s="19" t="n"/>
      <c r="AQ74" s="19" t="n"/>
      <c r="AR74" s="5" t="inlineStr">
        <is>
          <t>SOURCE-001; SOURCE-346</t>
        </is>
      </c>
      <c r="AS74" s="5" t="inlineStr">
        <is>
          <t>Unknown</t>
        </is>
      </c>
      <c r="AT74" s="5" t="inlineStr">
        <is>
          <t>No Wikipedia film article; fields come from the filmography table. No film article exists and the biographical article is silent on this title, so role type, narrative fields and romance fields are left blank rather than inferred. Box Office India's archived 1978 annual table gives nett Rs 1.45 crore, India gross Rs 2.9 crore, verdict "Average" and annual rank 18.</t>
        </is>
      </c>
    </row>
    <row r="75" ht="94" customHeight="1">
      <c r="A75" s="15" t="inlineStr">
        <is>
          <t>FILM-074</t>
        </is>
      </c>
      <c r="B75" s="5" t="inlineStr">
        <is>
          <t>Amar Shakti</t>
        </is>
      </c>
      <c r="C75" s="5" t="inlineStr">
        <is>
          <t>1978</t>
        </is>
      </c>
      <c r="D75" s="17" t="n">
        <v>1978</v>
      </c>
      <c r="E75" s="5" t="inlineStr">
        <is>
          <t>1970s</t>
        </is>
      </c>
      <c r="F75" s="5" t="inlineStr">
        <is>
          <t>Hindi</t>
        </is>
      </c>
      <c r="G75" s="5" t="inlineStr">
        <is>
          <t>Action drama</t>
        </is>
      </c>
      <c r="H75" s="5" t="inlineStr">
        <is>
          <t>Period adventure</t>
        </is>
      </c>
      <c r="I75" s="18" t="n"/>
      <c r="J75" s="5" t="inlineStr">
        <is>
          <t>Harmesh Malhotra</t>
        </is>
      </c>
      <c r="K75" s="5" t="inlineStr">
        <is>
          <t>A. K. Nadiadwala</t>
        </is>
      </c>
      <c r="L75" s="5" t="n"/>
      <c r="M75" s="5" t="n"/>
      <c r="N75" s="5" t="n"/>
      <c r="O75" s="5" t="inlineStr">
        <is>
          <t>Laxmikant–Pyarelal</t>
        </is>
      </c>
      <c r="P75" s="5" t="n"/>
      <c r="Q75" s="5" t="inlineStr">
        <is>
          <t>Anand Bakshi</t>
        </is>
      </c>
      <c r="R75" s="5" t="inlineStr">
        <is>
          <t>Chhota Kumar</t>
        </is>
      </c>
      <c r="S75" s="5" t="inlineStr">
        <is>
          <t>Amar Singh</t>
        </is>
      </c>
      <c r="T75" s="5" t="inlineStr">
        <is>
          <t>Lead</t>
        </is>
      </c>
      <c r="U75" s="20" t="n">
        <v>1</v>
      </c>
      <c r="V75" s="5" t="inlineStr">
        <is>
          <t>Prince, and a swordsman raised outside the palace</t>
        </is>
      </c>
      <c r="W75" s="5" t="n"/>
      <c r="X75" s="19" t="inlineStr">
        <is>
          <t>A double role, as Chhota Kumar and as Amar Singh, opposite Sulakshana Pandit's Rajkumari Sunita Singh, with Shatrughan Sinha in a matching pair of parts as Bada Kumar and Shakti Singh. The article carries a cast list and a soundtrack section but no plot, so the relation between the two princes and the two commoners is undocumented.</t>
        </is>
      </c>
      <c r="Y75" s="19" t="n"/>
      <c r="Z75" s="19" t="n"/>
      <c r="AA75" s="19" t="n"/>
      <c r="AB75" s="19" t="n"/>
      <c r="AC75" s="5" t="n"/>
      <c r="AD75" s="5" t="inlineStr">
        <is>
          <t>Sulakshana Pandit</t>
        </is>
      </c>
      <c r="AE75" s="5" t="n"/>
      <c r="AF75" s="18" t="n"/>
      <c r="AG75" s="19" t="n"/>
      <c r="AH75" s="5" t="n"/>
      <c r="AI75" s="5" t="n"/>
      <c r="AJ75" s="5" t="n"/>
      <c r="AK75" s="5" t="n"/>
      <c r="AL75" s="5" t="n"/>
      <c r="AM75" s="5" t="n"/>
      <c r="AN75" s="5" t="inlineStr">
        <is>
          <t>Hit</t>
        </is>
      </c>
      <c r="AO75" s="18" t="n"/>
      <c r="AP75" s="19" t="inlineStr">
        <is>
          <t>No contemporary review was located; the Shashi Kapoor article includes Amar Shakti in his run of 1978 successes.</t>
        </is>
      </c>
      <c r="AQ75" s="19" t="n"/>
      <c r="AR75" s="5" t="inlineStr">
        <is>
          <t>SOURCE-001; SOURCE-068; SOURCE-128</t>
        </is>
      </c>
      <c r="AS75" s="5" t="inlineStr">
        <is>
          <t>Low</t>
        </is>
      </c>
      <c r="AT75" s="5" t="inlineStr">
        <is>
          <t>The cast list pairs Kapoor's two parts with Shatrughan Sinha's two, which suggests a swapped-identity plot between princes and commoners, but the article has no plot section and no source consulted confirms it, so romance presence and the narrative fields are left blank and no Romances row is created.</t>
        </is>
      </c>
    </row>
    <row r="76" ht="64" customHeight="1">
      <c r="A76" s="15" t="inlineStr">
        <is>
          <t>FILM-075</t>
        </is>
      </c>
      <c r="B76" s="5" t="inlineStr">
        <is>
          <t>Phaansi</t>
        </is>
      </c>
      <c r="C76" s="16" t="n">
        <v>28558</v>
      </c>
      <c r="D76" s="17" t="n">
        <v>1978</v>
      </c>
      <c r="E76" s="5" t="inlineStr">
        <is>
          <t>1970s</t>
        </is>
      </c>
      <c r="F76" s="5" t="inlineStr">
        <is>
          <t>Hindi</t>
        </is>
      </c>
      <c r="G76" s="5" t="inlineStr">
        <is>
          <t>Action drama</t>
        </is>
      </c>
      <c r="H76" s="5" t="n"/>
      <c r="I76" s="18" t="n"/>
      <c r="J76" s="5" t="inlineStr">
        <is>
          <t>Harmesh Malhotra</t>
        </is>
      </c>
      <c r="K76" s="5" t="n"/>
      <c r="L76" s="5" t="n"/>
      <c r="M76" s="5" t="n"/>
      <c r="N76" s="5" t="n"/>
      <c r="O76" s="5" t="inlineStr">
        <is>
          <t>Laxmikant–Pyarelal</t>
        </is>
      </c>
      <c r="P76" s="5" t="n"/>
      <c r="Q76" s="5" t="n"/>
      <c r="R76" s="5" t="inlineStr">
        <is>
          <t>Raju</t>
        </is>
      </c>
      <c r="S76" s="5" t="n"/>
      <c r="T76" s="5" t="inlineStr">
        <is>
          <t>Lead</t>
        </is>
      </c>
      <c r="U76" s="20" t="n">
        <v>1</v>
      </c>
      <c r="V76" s="5" t="inlineStr">
        <is>
          <t>Not documented</t>
        </is>
      </c>
      <c r="W76" s="5" t="n"/>
      <c r="X76" s="19" t="inlineStr">
        <is>
          <t>Kapoor plays Raju opposite Sulakshana Pandit, with Pran, Iftekhar, Asrani and Ranjeet in support. The article consists of a soundtrack listing and external links, with no plot or cast section, so nothing about the part is documented beyond the character name from the filmography.</t>
        </is>
      </c>
      <c r="Y76" s="19" t="n"/>
      <c r="Z76" s="19" t="n"/>
      <c r="AA76" s="19" t="n"/>
      <c r="AB76" s="19" t="n"/>
      <c r="AC76" s="5" t="n"/>
      <c r="AD76" s="5" t="inlineStr">
        <is>
          <t>Sulakshana Pandit</t>
        </is>
      </c>
      <c r="AE76" s="5" t="n"/>
      <c r="AF76" s="18" t="n"/>
      <c r="AG76" s="19" t="n"/>
      <c r="AH76" s="5" t="n"/>
      <c r="AI76" s="5" t="n"/>
      <c r="AJ76" s="5" t="n"/>
      <c r="AK76" s="5" t="n"/>
      <c r="AL76" s="5" t="n"/>
      <c r="AM76" s="5" t="n"/>
      <c r="AN76" s="5" t="inlineStr">
        <is>
          <t>Hit</t>
        </is>
      </c>
      <c r="AO76" s="18" t="n"/>
      <c r="AP76" s="19" t="inlineStr">
        <is>
          <t>No contemporary review was located; the Shashi Kapoor article opens his run of 1978 successes with Phaansi. The article notes that Ranjeet found the role of the film's dacoit mentally troubling to play.</t>
        </is>
      </c>
      <c r="AQ76" s="19" t="n"/>
      <c r="AR76" s="5" t="inlineStr">
        <is>
          <t>SOURCE-001; SOURCE-060; SOURCE-128</t>
        </is>
      </c>
      <c r="AS76" s="5" t="inlineStr">
        <is>
          <t>Low</t>
        </is>
      </c>
      <c r="AT76" s="5" t="inlineStr">
        <is>
          <t>The article has neither a plot nor a cast section, so romance presence and the narrative fields are left blank rather than inferred and no Romances row is created.</t>
        </is>
      </c>
    </row>
    <row r="77" ht="184" customHeight="1">
      <c r="A77" s="15" t="inlineStr">
        <is>
          <t>FILM-076</t>
        </is>
      </c>
      <c r="B77" s="5" t="inlineStr">
        <is>
          <t>Satyam Shivam Sundaram</t>
        </is>
      </c>
      <c r="C77" s="16" t="n">
        <v>28573</v>
      </c>
      <c r="D77" s="17" t="n">
        <v>1978</v>
      </c>
      <c r="E77" s="5" t="inlineStr">
        <is>
          <t>1970s</t>
        </is>
      </c>
      <c r="F77" s="5" t="inlineStr">
        <is>
          <t>Hindi</t>
        </is>
      </c>
      <c r="G77" s="5" t="inlineStr">
        <is>
          <t>Romantic drama</t>
        </is>
      </c>
      <c r="H77" s="5" t="inlineStr">
        <is>
          <t>Musical</t>
        </is>
      </c>
      <c r="I77" s="17" t="n">
        <v>172</v>
      </c>
      <c r="J77" s="5" t="inlineStr">
        <is>
          <t>Raj Kapoor</t>
        </is>
      </c>
      <c r="K77" s="5" t="inlineStr">
        <is>
          <t>Raj Kapoor</t>
        </is>
      </c>
      <c r="L77" s="5" t="inlineStr">
        <is>
          <t>R. K. Studios</t>
        </is>
      </c>
      <c r="M77" s="5" t="inlineStr">
        <is>
          <t>Jainendra Jain</t>
        </is>
      </c>
      <c r="N77" s="5" t="n"/>
      <c r="O77" s="5" t="inlineStr">
        <is>
          <t>Laxmikant–Pyarelal</t>
        </is>
      </c>
      <c r="P77" s="5" t="n"/>
      <c r="Q77" s="5" t="n"/>
      <c r="R77" s="5" t="inlineStr">
        <is>
          <t>Rajiv</t>
        </is>
      </c>
      <c r="S77" s="5" t="n"/>
      <c r="T77" s="5" t="inlineStr">
        <is>
          <t>Lead</t>
        </is>
      </c>
      <c r="U77" s="20" t="n">
        <v>1</v>
      </c>
      <c r="V77" s="5" t="inlineStr">
        <is>
          <t>Civil engineer, supervising a dam</t>
        </is>
      </c>
      <c r="W77" s="5" t="inlineStr">
        <is>
          <t>Educated outsider posted to a village</t>
        </is>
      </c>
      <c r="X77" s="19" t="inlineStr">
        <is>
          <t>Rajeev, an engineer who cannot bear ugliness, arrives to oversee a dam, hears Roopa singing in the temple and falls in love without seeing the burn scars she keeps behind her sari. He marries her, discovers the scarring on the wedding night, believes he has been cheated and drives her out, then takes as his mistress a veiled woman he does not recognise as the same wife, and accuses her of infidelity when she becomes pregnant.</t>
        </is>
      </c>
      <c r="Y77" s="19" t="inlineStr">
        <is>
          <t>To possess the beauty he thinks he heard, and to refuse anything short of it.</t>
        </is>
      </c>
      <c r="Z77" s="19" t="inlineStr">
        <is>
          <t>A man who loves an idea of a woman and cannot recognise the woman herself, in either of the forms she takes for him.</t>
        </is>
      </c>
      <c r="AA77" s="19" t="inlineStr">
        <is>
          <t>From an aesthete in love with a voice to a husband who shames his wife publicly, and only then toward recognition.</t>
        </is>
      </c>
      <c r="AB77" s="19" t="inlineStr">
        <is>
          <t>Cruel, within a frame that asks for his redemption</t>
        </is>
      </c>
      <c r="AC77" s="5" t="inlineStr">
        <is>
          <t>Confronted with the identity of wife and mistress as the storm breaks over the village.</t>
        </is>
      </c>
      <c r="AD77" s="5" t="inlineStr">
        <is>
          <t>Zeenat Aman</t>
        </is>
      </c>
      <c r="AE77" s="5" t="inlineStr">
        <is>
          <t>Central</t>
        </is>
      </c>
      <c r="AF77" s="20" t="n">
        <v>10</v>
      </c>
      <c r="AG77" s="19" t="inlineStr">
        <is>
          <t>Marriage under strain</t>
        </is>
      </c>
      <c r="AH77" s="5" t="n"/>
      <c r="AI77" s="21" t="n">
        <v>2.25</v>
      </c>
      <c r="AJ77" s="21" t="n">
        <v>4.5</v>
      </c>
      <c r="AK77" s="5" t="n"/>
      <c r="AL77" s="5" t="n"/>
      <c r="AM77" s="5" t="inlineStr">
        <is>
          <t>INR crore</t>
        </is>
      </c>
      <c r="AN77" s="5" t="inlineStr">
        <is>
          <t>Average</t>
        </is>
      </c>
      <c r="AO77" s="20" t="n">
        <v>9</v>
      </c>
      <c r="AP77" s="19" t="inlineStr">
        <is>
          <t>The film was commercially successful and heavily discussed, with a dedicated controversy section in its article; the Shashi Kapoor article includes it in his run of 1978 successes. The Hindu's Blast from the Past notice is dismissive of Kapoor's part, calling him a wonderful mannequin for a hero and a glorified extra masquerading as a hero, and holds that the film was in fact a showcase of Zeenat Aman's powers of seduction, her voice and her figure, alongside what it calls her limited, quite limited acting potential.</t>
        </is>
      </c>
      <c r="AQ77" s="19" t="inlineStr">
        <is>
          <t>Laxmikant-Pyarelal won Best Music Director and Radhu Karmakar Best Cinematography at the 26th Filmfare Awards; Raj Kapoor was nominated for Best Director and Zeenat Aman for Best Actress. Raj Kapoor's stated inspiration was Lata Mangeshkar, and Hema Malini, Dimple Kapadia and Vidya Sinha all refused the female lead over its sensual content before Zeenat Aman took it.</t>
        </is>
      </c>
      <c r="AR77" s="5" t="inlineStr">
        <is>
          <t>SOURCE-001; SOURCE-061; SOURCE-128; SOURCE-346; SOURCE-361</t>
        </is>
      </c>
      <c r="AS77" s="5" t="inlineStr">
        <is>
          <t>Medium</t>
        </is>
      </c>
      <c r="AT77" s="5" t="inlineStr">
        <is>
          <t>Rajesh Khanna was nearly cast in Kapoor's part before Raj Kapoor was persuaded otherwise. Padmini Kolhapure plays the young Roopa. The film's treatment of the wife-and-mistress device is the most extreme instance in the filmography of a Kapoor character failing to recognise the woman he has married. Box Office India's archived 1978 annual table gives nett Rs 2.25 crore, India gross Rs 4.5 crore, verdict "Average" and annual rank 9. This supersedes the verdict "Hit" taken from the film article, which is kept here per the rule that the trade figure goes in the column and the encyclopedia claim into notes.</t>
        </is>
      </c>
    </row>
    <row r="78" ht="94" customHeight="1">
      <c r="A78" s="15" t="inlineStr">
        <is>
          <t>FILM-077</t>
        </is>
      </c>
      <c r="B78" s="5" t="inlineStr">
        <is>
          <t>Aahuti</t>
        </is>
      </c>
      <c r="C78" s="16" t="n">
        <v>28608</v>
      </c>
      <c r="D78" s="17" t="n">
        <v>1978</v>
      </c>
      <c r="E78" s="5" t="inlineStr">
        <is>
          <t>1970s</t>
        </is>
      </c>
      <c r="F78" s="5" t="inlineStr">
        <is>
          <t>Hindi</t>
        </is>
      </c>
      <c r="G78" s="5" t="inlineStr">
        <is>
          <t>Action drama</t>
        </is>
      </c>
      <c r="H78" s="5" t="inlineStr">
        <is>
          <t>Family drama</t>
        </is>
      </c>
      <c r="I78" s="18" t="n"/>
      <c r="J78" s="5" t="inlineStr">
        <is>
          <t>Ashok V. Bhushan</t>
        </is>
      </c>
      <c r="K78" s="5" t="inlineStr">
        <is>
          <t>Ramchand Bashomal; Reeta Shah; R. Soni</t>
        </is>
      </c>
      <c r="L78" s="5" t="n"/>
      <c r="M78" s="5" t="n"/>
      <c r="N78" s="5" t="n"/>
      <c r="O78" s="5" t="inlineStr">
        <is>
          <t>Laxmikant–Pyarelal</t>
        </is>
      </c>
      <c r="P78" s="5" t="n"/>
      <c r="Q78" s="5" t="n"/>
      <c r="R78" s="5" t="inlineStr">
        <is>
          <t>Laxman Prasad</t>
        </is>
      </c>
      <c r="S78" s="5" t="n"/>
      <c r="T78" s="5" t="inlineStr">
        <is>
          <t>Co-lead</t>
        </is>
      </c>
      <c r="U78" s="20" t="n">
        <v>2</v>
      </c>
      <c r="V78" s="5" t="inlineStr">
        <is>
          <t>Factory worker making lead shielding containers for uranium</t>
        </is>
      </c>
      <c r="W78" s="5" t="inlineStr">
        <is>
          <t>One of three separated sons of the customs officer Harnam Prasad; believed dead in childhood</t>
        </is>
      </c>
      <c r="X78" s="19" t="inlineStr">
        <is>
          <t>Laxman Prasad is the second of three brothers scattered when a smuggling gang took revenge on their father's testimony, burning a picnic bus, wrecking a boat and crippling their mother. He grows up a trusted worker in a factory making lead containers for uranium, which he defends from the gang that wants them, and is saved from the police by Rekha, a fellow worker and his love interest.</t>
        </is>
      </c>
      <c r="Y78" s="19" t="inlineStr">
        <is>
          <t>To do his job honestly and keep the uranium shielding out of the wrong hands.</t>
        </is>
      </c>
      <c r="Z78" s="19" t="inlineStr">
        <is>
          <t>The same gang that destroyed his family now wants what his factory makes, and one of his own brothers is working for them.</t>
        </is>
      </c>
      <c r="AA78" s="19" t="inlineStr">
        <is>
          <t>From an anonymous factory hand to one of three brothers reassembled against the man who broke the family.</t>
        </is>
      </c>
      <c r="AB78" s="19" t="inlineStr">
        <is>
          <t>Good</t>
        </is>
      </c>
      <c r="AC78" s="5" t="inlineStr">
        <is>
          <t>Drawn into the confrontation as his brothers converge on Heeralal.</t>
        </is>
      </c>
      <c r="AD78" s="5" t="inlineStr">
        <is>
          <t>Parveen Babi</t>
        </is>
      </c>
      <c r="AE78" s="5" t="inlineStr">
        <is>
          <t>Secondary</t>
        </is>
      </c>
      <c r="AF78" s="20" t="n">
        <v>4</v>
      </c>
      <c r="AG78" s="19" t="inlineStr">
        <is>
          <t>Romance subordinate to another genre</t>
        </is>
      </c>
      <c r="AH78" s="5" t="n"/>
      <c r="AI78" s="5" t="n"/>
      <c r="AJ78" s="5" t="n"/>
      <c r="AK78" s="5" t="n"/>
      <c r="AL78" s="5" t="n"/>
      <c r="AM78" s="5" t="n"/>
      <c r="AN78" s="5" t="inlineStr">
        <is>
          <t>Hit</t>
        </is>
      </c>
      <c r="AO78" s="18" t="n"/>
      <c r="AP78" s="19" t="inlineStr">
        <is>
          <t>No contemporary review was located; the Shashi Kapoor article includes Aahuti in his run of 1978 successes.</t>
        </is>
      </c>
      <c r="AQ78" s="19" t="n"/>
      <c r="AR78" s="5" t="inlineStr">
        <is>
          <t>SOURCE-001; SOURCE-069; SOURCE-128</t>
        </is>
      </c>
      <c r="AS78" s="5" t="inlineStr">
        <is>
          <t>Medium</t>
        </is>
      </c>
      <c r="AT78" s="5" t="inlineStr">
        <is>
          <t>The article explicitly identifies Parveen Babi's Rekha as a fellow worker and Laxman's love interest, which is the basis for the Romances row; Zaheera's Kusum is the love interest of the brother Ram Prasad, not of Kapoor's character.</t>
        </is>
      </c>
    </row>
    <row r="79" ht="199" customHeight="1">
      <c r="A79" s="15" t="inlineStr">
        <is>
          <t>FILM-078</t>
        </is>
      </c>
      <c r="B79" s="5" t="inlineStr">
        <is>
          <t>Trishul</t>
        </is>
      </c>
      <c r="C79" s="16" t="n">
        <v>28615</v>
      </c>
      <c r="D79" s="17" t="n">
        <v>1978</v>
      </c>
      <c r="E79" s="5" t="inlineStr">
        <is>
          <t>1970s</t>
        </is>
      </c>
      <c r="F79" s="5" t="inlineStr">
        <is>
          <t>Hindi</t>
        </is>
      </c>
      <c r="G79" s="5" t="inlineStr">
        <is>
          <t>Action drama</t>
        </is>
      </c>
      <c r="H79" s="5" t="inlineStr">
        <is>
          <t>Family melodrama</t>
        </is>
      </c>
      <c r="I79" s="17" t="n">
        <v>168</v>
      </c>
      <c r="J79" s="5" t="inlineStr">
        <is>
          <t>Yash Chopra</t>
        </is>
      </c>
      <c r="K79" s="5" t="inlineStr">
        <is>
          <t>Gulshan Rai</t>
        </is>
      </c>
      <c r="L79" s="5" t="inlineStr">
        <is>
          <t>Trimurti Films</t>
        </is>
      </c>
      <c r="M79" s="5" t="inlineStr">
        <is>
          <t>Salim–Javed</t>
        </is>
      </c>
      <c r="N79" s="5" t="n"/>
      <c r="O79" s="5" t="inlineStr">
        <is>
          <t>Khayyam</t>
        </is>
      </c>
      <c r="P79" s="5" t="n"/>
      <c r="Q79" s="5" t="inlineStr">
        <is>
          <t>Sahir Ludhianvi</t>
        </is>
      </c>
      <c r="R79" s="5" t="inlineStr">
        <is>
          <t>Shekhar Gupta</t>
        </is>
      </c>
      <c r="S79" s="5" t="n"/>
      <c r="T79" s="5" t="inlineStr">
        <is>
          <t>Ensemble lead</t>
        </is>
      </c>
      <c r="U79" s="20" t="n">
        <v>1</v>
      </c>
      <c r="V79" s="5" t="inlineStr">
        <is>
          <t>Businessman in his father's construction company</t>
        </is>
      </c>
      <c r="W79" s="5" t="inlineStr">
        <is>
          <t>Legitimate son of R. K. Gupta and the heiress Kamini; returns from abroad into the family firm</t>
        </is>
      </c>
      <c r="X79" s="19" t="inlineStr">
        <is>
          <t>Shekhar Gupta comes back from abroad to take his place in his father's company just as Vijay, the son his father abandoned before birth, arrives to destroy it. He is the legitimate half-brother caught in the crossfire, engaged in business against a man he does not know is family, with his girlfriend Sheetal Verma among the pieces Vijay tries to move.</t>
        </is>
      </c>
      <c r="Y79" s="19" t="inlineStr">
        <is>
          <t>To take up his place in the family firm and hold it against a hostile newcomer.</t>
        </is>
      </c>
      <c r="Z79" s="19" t="inlineStr">
        <is>
          <t>A half-brother waging a commercial war on the family, and a father whose old betrayal caused it.</t>
        </is>
      </c>
      <c r="AA79" s="19" t="inlineStr">
        <is>
          <t>From an untroubled heir to a man who learns what his father did and where his own position came from.</t>
        </is>
      </c>
      <c r="AB79" s="19" t="inlineStr">
        <is>
          <t>Good</t>
        </is>
      </c>
      <c r="AC79" s="5" t="inlineStr">
        <is>
          <t>Assists Vijay in rescuing Ravi and is reconciled to the family's expanded truth.</t>
        </is>
      </c>
      <c r="AD79" s="5" t="inlineStr">
        <is>
          <t>Hema Malini</t>
        </is>
      </c>
      <c r="AE79" s="5" t="inlineStr">
        <is>
          <t>Secondary</t>
        </is>
      </c>
      <c r="AF79" s="20" t="n">
        <v>5</v>
      </c>
      <c r="AG79" s="19" t="inlineStr">
        <is>
          <t>Romance subordinate to another genre</t>
        </is>
      </c>
      <c r="AH79" s="5" t="n"/>
      <c r="AI79" s="21" t="n">
        <v>5.5</v>
      </c>
      <c r="AJ79" s="21" t="n">
        <v>11</v>
      </c>
      <c r="AK79" s="5" t="n"/>
      <c r="AL79" s="5" t="n"/>
      <c r="AM79" s="5" t="inlineStr">
        <is>
          <t>INR crore</t>
        </is>
      </c>
      <c r="AN79" s="5" t="inlineStr">
        <is>
          <t>Super Hit</t>
        </is>
      </c>
      <c r="AO79" s="20" t="n">
        <v>2</v>
      </c>
      <c r="AP79" s="19" t="inlineStr">
        <is>
          <t>Declared a super hit and the second highest-grossing Indian film of 1978, behind Muqaddar Ka Sikandar and above Don, both also starring Bachchan.</t>
        </is>
      </c>
      <c r="AQ79" s="19" t="inlineStr">
        <is>
          <t>A Salim-Javed script for Yash Chopra, and among the most durable of the Bachchan and Kapoor multi-starrers. The film also took a substantial Soviet release.</t>
        </is>
      </c>
      <c r="AR79" s="5" t="inlineStr">
        <is>
          <t>SOURCE-001; SOURCE-062; SOURCE-128; SOURCE-346</t>
        </is>
      </c>
      <c r="AS79" s="5" t="inlineStr">
        <is>
          <t>High</t>
        </is>
      </c>
      <c r="AT79" s="5" t="inlineStr">
        <is>
          <t>Indian gross of Rs 110 million, about Rs 11 crore, with nett earnings of Rs 55 million, about Rs 5.5 crore, as given by the film article. The article also reports a Soviet gross contributing to a larger worldwide figure, but the amounts are carried in templates that did not resolve in the cached wikitext, so no worldwide figure is entered. Box Office India's archived 1978 annual table gives nett Rs 5.5 crore, India gross Rs 11.0 crore, verdict "Super Hit" and annual rank 2. This supersedes the verdict "Super hit" taken from the film article, which is kept here per the rule that the trade figure goes in the column and the encyclopedia claim into notes.</t>
        </is>
      </c>
    </row>
    <row r="80" ht="169" customHeight="1">
      <c r="A80" s="15" t="inlineStr">
        <is>
          <t>FILM-079</t>
        </is>
      </c>
      <c r="B80" s="5" t="inlineStr">
        <is>
          <t>Atithee</t>
        </is>
      </c>
      <c r="C80" s="16" t="n">
        <v>28698</v>
      </c>
      <c r="D80" s="17" t="n">
        <v>1978</v>
      </c>
      <c r="E80" s="5" t="inlineStr">
        <is>
          <t>1970s</t>
        </is>
      </c>
      <c r="F80" s="5" t="inlineStr">
        <is>
          <t>Hindi</t>
        </is>
      </c>
      <c r="G80" s="5" t="inlineStr">
        <is>
          <t>Romantic drama</t>
        </is>
      </c>
      <c r="H80" s="5" t="n"/>
      <c r="I80" s="18" t="n"/>
      <c r="J80" s="5" t="inlineStr">
        <is>
          <t>Aravind Sen</t>
        </is>
      </c>
      <c r="K80" s="5" t="n"/>
      <c r="L80" s="5" t="n"/>
      <c r="M80" s="5" t="inlineStr">
        <is>
          <t>Prafulla Roy</t>
        </is>
      </c>
      <c r="N80" s="5" t="inlineStr">
        <is>
          <t>Based on the 1971 Bengali film Ekhane Pinjar.</t>
        </is>
      </c>
      <c r="O80" s="5" t="inlineStr">
        <is>
          <t>Kalyanji–Anandji</t>
        </is>
      </c>
      <c r="P80" s="5" t="n"/>
      <c r="Q80" s="5" t="inlineStr">
        <is>
          <t>Verma Malik</t>
        </is>
      </c>
      <c r="R80" s="5" t="inlineStr">
        <is>
          <t>Anand</t>
        </is>
      </c>
      <c r="S80" s="5" t="n"/>
      <c r="T80" s="5" t="inlineStr">
        <is>
          <t>Lead</t>
        </is>
      </c>
      <c r="U80" s="20" t="n">
        <v>1</v>
      </c>
      <c r="V80" s="5" t="inlineStr">
        <is>
          <t>Not documented</t>
        </is>
      </c>
      <c r="W80" s="5" t="n"/>
      <c r="X80" s="19" t="inlineStr">
        <is>
          <t>Kapoor plays Anand opposite Shatrughan Sinha's Navendu Kumar, with Shabana Azmi and Vidya Sinha credited in double-named parts as Leela/Julie and Meena/Martha. The article carries a cast list and a soundtrack section but no plot, so the story and the character's function are undocumented.</t>
        </is>
      </c>
      <c r="Y80" s="19" t="n"/>
      <c r="Z80" s="19" t="n"/>
      <c r="AA80" s="19" t="n"/>
      <c r="AB80" s="19" t="n"/>
      <c r="AC80" s="5" t="n"/>
      <c r="AD80" s="5" t="inlineStr">
        <is>
          <t>Shabana Azmi; Vidya Sinha</t>
        </is>
      </c>
      <c r="AE80" s="5" t="n"/>
      <c r="AF80" s="18" t="n"/>
      <c r="AG80" s="19" t="n"/>
      <c r="AH80" s="5" t="n"/>
      <c r="AI80" s="5" t="n"/>
      <c r="AJ80" s="5" t="n"/>
      <c r="AK80" s="5" t="n"/>
      <c r="AL80" s="5" t="n"/>
      <c r="AM80" s="5" t="n"/>
      <c r="AN80" s="5" t="inlineStr">
        <is>
          <t>Hit (The Hindu)</t>
        </is>
      </c>
      <c r="AO80" s="18" t="n"/>
      <c r="AP80" s="19" t="inlineStr">
        <is>
          <t>A retrospective notice for The Hindu records that there was hardly a gripping moment in the film and that it had an impressive star cast but not the story or music to push its fortunes, yet that it shone at the box office for reasons bordering on intrigue and managed to make an impact to be classified as a hit. The notice is written around Shabana Azmi's career and wonders what led her to an out-and-out commercial project.</t>
        </is>
      </c>
      <c r="AQ80" s="19" t="n"/>
      <c r="AR80" s="5" t="inlineStr">
        <is>
          <t>SOURCE-001; SOURCE-067; SOURCE-362</t>
        </is>
      </c>
      <c r="AS80" s="5" t="inlineStr">
        <is>
          <t>Low</t>
        </is>
      </c>
      <c r="AT80" s="5" t="inlineStr">
        <is>
          <t>The article has no plot section, so romance presence and the narrative fields are left blank rather than inferred and no Romances row is created. Both principal actresses are credited with two names each, which suggests assumed identities, but no source consulted explains them. Critical reception and verdict both taken from The Hindu's retrospective notice of 26 November 2015, which states the box-office status as a hit; phase 2 had found no review and left the verdict undocumented. The film does not appear in the surviving Box Office India top-twenty table for 1978.</t>
        </is>
      </c>
    </row>
    <row r="81" ht="64" customHeight="1">
      <c r="A81" s="15" t="inlineStr">
        <is>
          <t>FILM-080</t>
        </is>
      </c>
      <c r="B81" s="5" t="inlineStr">
        <is>
          <t>Apna Khoon</t>
        </is>
      </c>
      <c r="C81" s="16" t="n">
        <v>28713</v>
      </c>
      <c r="D81" s="17" t="n">
        <v>1978</v>
      </c>
      <c r="E81" s="5" t="inlineStr">
        <is>
          <t>1970s</t>
        </is>
      </c>
      <c r="F81" s="5" t="inlineStr">
        <is>
          <t>Hindi</t>
        </is>
      </c>
      <c r="G81" s="5" t="inlineStr">
        <is>
          <t>Action comedy</t>
        </is>
      </c>
      <c r="H81" s="5" t="n"/>
      <c r="I81" s="18" t="n"/>
      <c r="J81" s="5" t="inlineStr">
        <is>
          <t>B. Subhash</t>
        </is>
      </c>
      <c r="K81" s="5" t="inlineStr">
        <is>
          <t>S. K. Kapur</t>
        </is>
      </c>
      <c r="L81" s="5" t="n"/>
      <c r="M81" s="5" t="n"/>
      <c r="N81" s="5" t="n"/>
      <c r="O81" s="5" t="inlineStr">
        <is>
          <t>Sonik Omi</t>
        </is>
      </c>
      <c r="P81" s="5" t="n"/>
      <c r="Q81" s="5" t="n"/>
      <c r="R81" s="5" t="inlineStr">
        <is>
          <t>Ram Verma</t>
        </is>
      </c>
      <c r="S81" s="5" t="inlineStr">
        <is>
          <t>Raja</t>
        </is>
      </c>
      <c r="T81" s="5" t="inlineStr">
        <is>
          <t>Lead</t>
        </is>
      </c>
      <c r="U81" s="20" t="n">
        <v>2</v>
      </c>
      <c r="V81" s="5" t="inlineStr">
        <is>
          <t>Not documented</t>
        </is>
      </c>
      <c r="W81" s="5" t="n"/>
      <c r="X81" s="19" t="inlineStr">
        <is>
          <t>Kapoor plays Ram Verma, also called Raja, opposite Hema Malini's Geeta, with Ashok Kumar as her father and Pran as Inspector Verma. The article's plot section exists but is empty, so beyond the cast relationships nothing about the story or the part is documented.</t>
        </is>
      </c>
      <c r="Y81" s="19" t="n"/>
      <c r="Z81" s="19" t="n"/>
      <c r="AA81" s="19" t="n"/>
      <c r="AB81" s="19" t="n"/>
      <c r="AC81" s="5" t="n"/>
      <c r="AD81" s="5" t="inlineStr">
        <is>
          <t>Hema Malini</t>
        </is>
      </c>
      <c r="AE81" s="5" t="n"/>
      <c r="AF81" s="18" t="n"/>
      <c r="AG81" s="19" t="n"/>
      <c r="AH81" s="5" t="n"/>
      <c r="AI81" s="5" t="n"/>
      <c r="AJ81" s="5" t="n"/>
      <c r="AK81" s="5" t="n"/>
      <c r="AL81" s="5" t="n"/>
      <c r="AM81" s="5" t="n"/>
      <c r="AN81" s="5" t="inlineStr">
        <is>
          <t>Not documented</t>
        </is>
      </c>
      <c r="AO81" s="18" t="n"/>
      <c r="AP81" s="19" t="inlineStr">
        <is>
          <t>No contemporary review was located in the sources consulted.</t>
        </is>
      </c>
      <c r="AQ81" s="19" t="n"/>
      <c r="AR81" s="5" t="inlineStr">
        <is>
          <t>SOURCE-001; SOURCE-065</t>
        </is>
      </c>
      <c r="AS81" s="5" t="inlineStr">
        <is>
          <t>Low</t>
        </is>
      </c>
      <c r="AT81" s="5" t="inlineStr">
        <is>
          <t>The article has a Plot heading with no text beneath it, so romance presence and the narrative fields are left blank rather than inferred and no Romances row is created.</t>
        </is>
      </c>
    </row>
    <row r="82" ht="154" customHeight="1">
      <c r="A82" s="15" t="inlineStr">
        <is>
          <t>FILM-081</t>
        </is>
      </c>
      <c r="B82" s="5" t="inlineStr">
        <is>
          <t>Heeralaal Pannalaal</t>
        </is>
      </c>
      <c r="C82" s="16" t="n">
        <v>28772</v>
      </c>
      <c r="D82" s="17" t="n">
        <v>1978</v>
      </c>
      <c r="E82" s="5" t="inlineStr">
        <is>
          <t>1970s</t>
        </is>
      </c>
      <c r="F82" s="5" t="inlineStr">
        <is>
          <t>Hindi</t>
        </is>
      </c>
      <c r="G82" s="5" t="inlineStr">
        <is>
          <t>Action comedy</t>
        </is>
      </c>
      <c r="H82" s="5" t="n"/>
      <c r="I82" s="18" t="n"/>
      <c r="J82" s="5" t="inlineStr">
        <is>
          <t>Ashok Roy</t>
        </is>
      </c>
      <c r="K82" s="5" t="inlineStr">
        <is>
          <t>Ashok Roy</t>
        </is>
      </c>
      <c r="L82" s="5" t="n"/>
      <c r="M82" s="5" t="inlineStr">
        <is>
          <t>Rajeev Kaul; S. M. Abbas</t>
        </is>
      </c>
      <c r="N82" s="5" t="n"/>
      <c r="O82" s="5" t="inlineStr">
        <is>
          <t>R. D. Burman</t>
        </is>
      </c>
      <c r="P82" s="5" t="n"/>
      <c r="Q82" s="5" t="n"/>
      <c r="R82" s="5" t="inlineStr">
        <is>
          <t>Heeralaal</t>
        </is>
      </c>
      <c r="S82" s="5" t="n"/>
      <c r="T82" s="5" t="inlineStr">
        <is>
          <t>Co-lead</t>
        </is>
      </c>
      <c r="U82" s="20" t="n">
        <v>1</v>
      </c>
      <c r="V82" s="5" t="inlineStr">
        <is>
          <t>Freelance crime-fighter working alongside the police</t>
        </is>
      </c>
      <c r="W82" s="5" t="inlineStr">
        <is>
          <t>Orphaned by the murder of his parents, whose killer he is still seeking</t>
        </is>
      </c>
      <c r="X82" s="19" t="inlineStr">
        <is>
          <t>Heeralal and Pannalal are two good-natured men known to criminals for repeatedly helping the police catch them. Heeralal is looking for his parents' killer without knowing who he is; Pannalal is looking for his father. Heeralal falls in love with Ruby, and the two searches converge on the discovery that the killer, Kalicharan, is Pannalal's father.</t>
        </is>
      </c>
      <c r="Y82" s="19" t="inlineStr">
        <is>
          <t>To find whoever murdered his parents.</t>
        </is>
      </c>
      <c r="Z82" s="19" t="inlineStr">
        <is>
          <t>The killer he is hunting turns out to be his closest friend's father.</t>
        </is>
      </c>
      <c r="AA82" s="19" t="inlineStr">
        <is>
          <t>From an untroubled crime-fighter to a man whose revenge would cost his friend a father.</t>
        </is>
      </c>
      <c r="AB82" s="19" t="inlineStr">
        <is>
          <t>Good</t>
        </is>
      </c>
      <c r="AC82" s="5" t="inlineStr">
        <is>
          <t>Rescues people from a fire alongside Pannalal and is united with Ruby.</t>
        </is>
      </c>
      <c r="AD82" s="5" t="inlineStr">
        <is>
          <t>Zeenat Aman</t>
        </is>
      </c>
      <c r="AE82" s="5" t="inlineStr">
        <is>
          <t>Major</t>
        </is>
      </c>
      <c r="AF82" s="20" t="n">
        <v>6</v>
      </c>
      <c r="AG82" s="19" t="inlineStr">
        <is>
          <t>Romance subordinate to another genre</t>
        </is>
      </c>
      <c r="AH82" s="5" t="n"/>
      <c r="AI82" s="5" t="n"/>
      <c r="AJ82" s="5" t="n"/>
      <c r="AK82" s="5" t="n"/>
      <c r="AL82" s="5" t="n"/>
      <c r="AM82" s="5" t="n"/>
      <c r="AN82" s="5" t="inlineStr">
        <is>
          <t>Hit (The Hindu)</t>
        </is>
      </c>
      <c r="AO82" s="18" t="n"/>
      <c r="AP82" s="19" t="inlineStr">
        <is>
          <t>A retrospective notice for The Hindu finds Kapoor ebullient and doing justice to his role, as does Zeenat Aman, who adds panache and a dash of glamour, rates Randhir Kapoor's comic timing and screen presence second to none, and finds Neetu Singh her usual vivacious self in a role that does not demand much depth. It credits R. D. Burman's music as the redeeming feature behind the film's box-office success.</t>
        </is>
      </c>
      <c r="AQ82" s="19" t="n"/>
      <c r="AR82" s="5" t="inlineStr">
        <is>
          <t>SOURCE-001; SOURCE-066; SOURCE-363</t>
        </is>
      </c>
      <c r="AS82" s="5" t="inlineStr">
        <is>
          <t>Medium</t>
        </is>
      </c>
      <c r="AT82" s="5" t="inlineStr">
        <is>
          <t>Randhir Kapoor plays Pannalal, making this one of the films pairing Shashi Kapoor with a nephew; Neetu Singh's Neelam is Pannalal's romance rather than his. Critical reception and verdict taken from The Hindu's retrospective notice of 18 September 2014, which gives the box-office status as a hit; phase 2 had found no review and left the verdict undocumented. The notice also records that the director Ashok Roy's only other hit was Chor Machaye Shor (1974), likewise starring Kapoor, who it calls his lucky mascot.</t>
        </is>
      </c>
    </row>
    <row r="83" ht="94" customHeight="1">
      <c r="A83" s="15" t="inlineStr">
        <is>
          <t>FILM-082</t>
        </is>
      </c>
      <c r="B83" s="5" t="inlineStr">
        <is>
          <t>Ahsaas</t>
        </is>
      </c>
      <c r="C83" s="5" t="inlineStr">
        <is>
          <t>1979</t>
        </is>
      </c>
      <c r="D83" s="17" t="n">
        <v>1979</v>
      </c>
      <c r="E83" s="5" t="inlineStr">
        <is>
          <t>1970s</t>
        </is>
      </c>
      <c r="F83" s="5" t="n"/>
      <c r="G83" s="5" t="inlineStr">
        <is>
          <t>Drama</t>
        </is>
      </c>
      <c r="H83" s="5" t="n"/>
      <c r="I83" s="18" t="n"/>
      <c r="J83" s="5" t="n"/>
      <c r="K83" s="5" t="n"/>
      <c r="L83" s="5" t="n"/>
      <c r="M83" s="5" t="n"/>
      <c r="N83" s="5" t="n"/>
      <c r="O83" s="5" t="n"/>
      <c r="P83" s="5" t="n"/>
      <c r="Q83" s="5" t="n"/>
      <c r="R83" s="5" t="inlineStr">
        <is>
          <t>Anil Sahni</t>
        </is>
      </c>
      <c r="S83" s="5" t="n"/>
      <c r="T83" s="5" t="n"/>
      <c r="U83" s="18" t="n"/>
      <c r="V83" s="5" t="n"/>
      <c r="W83" s="5" t="n"/>
      <c r="X83" s="19" t="inlineStr">
        <is>
          <t>No Wikipedia article was located for this film: the filmography's link redirects to the list of Hindi films of 1979 rather than to an article. Only the character name Anil Sahni, taken from the filmography, is documented; the size of the part, the cast opposite him and the film's reception are all unrecorded.</t>
        </is>
      </c>
      <c r="Y83" s="19" t="n"/>
      <c r="Z83" s="19" t="n"/>
      <c r="AA83" s="19" t="n"/>
      <c r="AB83" s="19" t="n"/>
      <c r="AC83" s="5" t="n"/>
      <c r="AD83" s="5" t="n"/>
      <c r="AE83" s="5" t="n"/>
      <c r="AF83" s="18" t="n"/>
      <c r="AG83" s="19" t="n"/>
      <c r="AH83" s="5" t="n"/>
      <c r="AI83" s="5" t="n"/>
      <c r="AJ83" s="5" t="n"/>
      <c r="AK83" s="5" t="n"/>
      <c r="AL83" s="5" t="n"/>
      <c r="AM83" s="5" t="n"/>
      <c r="AN83" s="5" t="n"/>
      <c r="AO83" s="18" t="n"/>
      <c r="AP83" s="19" t="n"/>
      <c r="AQ83" s="19" t="n"/>
      <c r="AR83" s="5" t="inlineStr">
        <is>
          <t>SOURCE-001</t>
        </is>
      </c>
      <c r="AS83" s="5" t="inlineStr">
        <is>
          <t>Unknown</t>
        </is>
      </c>
      <c r="AT83" s="5" t="inlineStr">
        <is>
          <t>No Wikipedia film article; fields come from the filmography table. The filmography links this title to a page that redirects to List of Hindi films of 1979, so no film article exists, and role type, narrative fields and romance fields are left blank rather than inferred.</t>
        </is>
      </c>
    </row>
    <row r="84" ht="94" customHeight="1">
      <c r="A84" s="15" t="inlineStr">
        <is>
          <t>FILM-083</t>
        </is>
      </c>
      <c r="B84" s="5" t="inlineStr">
        <is>
          <t>Gautam Govinda</t>
        </is>
      </c>
      <c r="C84" s="16" t="n">
        <v>28916</v>
      </c>
      <c r="D84" s="17" t="n">
        <v>1979</v>
      </c>
      <c r="E84" s="5" t="inlineStr">
        <is>
          <t>1970s</t>
        </is>
      </c>
      <c r="F84" s="5" t="inlineStr">
        <is>
          <t>Hindi</t>
        </is>
      </c>
      <c r="G84" s="5" t="inlineStr">
        <is>
          <t>Action drama</t>
        </is>
      </c>
      <c r="H84" s="5" t="inlineStr">
        <is>
          <t>Rural drama</t>
        </is>
      </c>
      <c r="I84" s="18" t="n"/>
      <c r="J84" s="5" t="inlineStr">
        <is>
          <t>Subhash Ghai</t>
        </is>
      </c>
      <c r="K84" s="5" t="inlineStr">
        <is>
          <t>Shyam Sunder Shivdasani</t>
        </is>
      </c>
      <c r="L84" s="5" t="n"/>
      <c r="M84" s="5" t="n"/>
      <c r="N84" s="5" t="n"/>
      <c r="O84" s="5" t="inlineStr">
        <is>
          <t>Laxmikant–Pyarelal</t>
        </is>
      </c>
      <c r="P84" s="5" t="n"/>
      <c r="Q84" s="5" t="n"/>
      <c r="R84" s="5" t="inlineStr">
        <is>
          <t>Inspector Gautam</t>
        </is>
      </c>
      <c r="S84" s="5" t="n"/>
      <c r="T84" s="5" t="inlineStr">
        <is>
          <t>Co-lead</t>
        </is>
      </c>
      <c r="U84" s="20" t="n">
        <v>1</v>
      </c>
      <c r="V84" s="5" t="inlineStr">
        <is>
          <t>Police inspector</t>
        </is>
      </c>
      <c r="W84" s="5" t="inlineStr">
        <is>
          <t>Raised an orphan; in fact the elder son of a woman still living in the village he is posted to</t>
        </is>
      </c>
      <c r="X84" s="19" t="inlineStr">
        <is>
          <t>Inspector Gautam, an orphan, is sent as punishment to a village whose previous inspectors were killed or driven out, and takes on the landlord Dharam Dutt, whose enforcer Govinda twice tries to kill him. Gautam saves Govinda's mother Ganga, wins her affection, and learns she is his own mother and Govinda his brother, their father having been killed by Dharam Dutt.</t>
        </is>
      </c>
      <c r="Y84" s="19" t="inlineStr">
        <is>
          <t>To establish order in a village that has broken every officer sent to it.</t>
        </is>
      </c>
      <c r="Z84" s="19" t="inlineStr">
        <is>
          <t>The landlord's hold over the villagers, and an enforcer who turns out to be his own brother.</t>
        </is>
      </c>
      <c r="AA84" s="19" t="inlineStr">
        <is>
          <t>From an orphan with nothing to lose to a man who recovers a mother and a brother and then loses the village's trust to a bribery rumour.</t>
        </is>
      </c>
      <c r="AB84" s="19" t="inlineStr">
        <is>
          <t>Good</t>
        </is>
      </c>
      <c r="AC84" s="5" t="inlineStr">
        <is>
          <t>Delivered to the landlord by Govinda, then rescued when Sandhya reveals his identity and Ganga and the villagers arrive.</t>
        </is>
      </c>
      <c r="AD84" s="5" t="inlineStr">
        <is>
          <t>Moushumi Chatterjee</t>
        </is>
      </c>
      <c r="AE84" s="5" t="inlineStr">
        <is>
          <t>Secondary</t>
        </is>
      </c>
      <c r="AF84" s="20" t="n">
        <v>5</v>
      </c>
      <c r="AG84" s="19" t="inlineStr">
        <is>
          <t>Romance subordinate to another genre</t>
        </is>
      </c>
      <c r="AH84" s="5" t="n"/>
      <c r="AI84" s="21" t="n">
        <v>1.4</v>
      </c>
      <c r="AJ84" s="21" t="n">
        <v>2.8</v>
      </c>
      <c r="AK84" s="5" t="n"/>
      <c r="AL84" s="5" t="n"/>
      <c r="AM84" s="5" t="inlineStr">
        <is>
          <t>INR crore</t>
        </is>
      </c>
      <c r="AN84" s="5" t="inlineStr">
        <is>
          <t>Flop</t>
        </is>
      </c>
      <c r="AO84" s="20" t="n">
        <v>15</v>
      </c>
      <c r="AP84" s="19" t="inlineStr">
        <is>
          <t>No contemporary review was located in the sources consulted.</t>
        </is>
      </c>
      <c r="AQ84" s="19" t="inlineStr">
        <is>
          <t>An early film of the director Subhash Ghai. Reena Roy appears in a special appearance as a dancer.</t>
        </is>
      </c>
      <c r="AR84" s="5" t="inlineStr">
        <is>
          <t>SOURCE-001; SOURCE-070; SOURCE-347</t>
        </is>
      </c>
      <c r="AS84" s="5" t="inlineStr">
        <is>
          <t>Medium</t>
        </is>
      </c>
      <c r="AT84" s="5" t="inlineStr">
        <is>
          <t>Box Office India's archived 1979 annual table gives nett Rs 1.4 crore, India gross Rs 2.8 crore, verdict "Flop" and annual rank 15. This supersedes the verdict "Not documented" taken from the film article, which is kept here per the rule that the trade figure goes in the column and the encyclopedia claim into notes.</t>
        </is>
      </c>
    </row>
    <row r="85" ht="244" customHeight="1">
      <c r="A85" s="15" t="inlineStr">
        <is>
          <t>FILM-084</t>
        </is>
      </c>
      <c r="B85" s="5" t="inlineStr">
        <is>
          <t>Junoon</t>
        </is>
      </c>
      <c r="C85" s="16" t="n">
        <v>28944</v>
      </c>
      <c r="D85" s="17" t="n">
        <v>1979</v>
      </c>
      <c r="E85" s="5" t="inlineStr">
        <is>
          <t>1970s</t>
        </is>
      </c>
      <c r="F85" s="5" t="inlineStr">
        <is>
          <t>Hindi; English</t>
        </is>
      </c>
      <c r="G85" s="5" t="inlineStr">
        <is>
          <t>Historical drama</t>
        </is>
      </c>
      <c r="H85" s="5" t="inlineStr">
        <is>
          <t>Romance</t>
        </is>
      </c>
      <c r="I85" s="17" t="n">
        <v>141</v>
      </c>
      <c r="J85" s="5" t="inlineStr">
        <is>
          <t>Shyam Benegal</t>
        </is>
      </c>
      <c r="K85" s="5" t="inlineStr">
        <is>
          <t>Shashi Kapoor</t>
        </is>
      </c>
      <c r="L85" s="5" t="n"/>
      <c r="M85" s="5" t="inlineStr">
        <is>
          <t>Shyam Benegal; Satyadev Dubey; Ismat Chugtai; Ruskin Bond</t>
        </is>
      </c>
      <c r="N85" s="5" t="inlineStr">
        <is>
          <t>Based on Ruskin Bond's 1978 novella A Flight of Pigeons.</t>
        </is>
      </c>
      <c r="O85" s="5" t="inlineStr">
        <is>
          <t>Vanraj Bhatia</t>
        </is>
      </c>
      <c r="P85" s="5" t="n"/>
      <c r="Q85" s="5" t="inlineStr">
        <is>
          <t>Amir Khusro; Jigar Moradabadi; Sant Kabir</t>
        </is>
      </c>
      <c r="R85" s="5" t="inlineStr">
        <is>
          <t>Javed Khan</t>
        </is>
      </c>
      <c r="S85" s="5" t="n"/>
      <c r="T85" s="5" t="inlineStr">
        <is>
          <t>Lead</t>
        </is>
      </c>
      <c r="U85" s="20" t="n">
        <v>1</v>
      </c>
      <c r="V85" s="5" t="inlineStr">
        <is>
          <t>Feudal chieftain and pigeon breeder</t>
        </is>
      </c>
      <c r="W85" s="5" t="inlineStr">
        <is>
          <t>Muslim Pathan landholding family during the 1857 rebellion</t>
        </is>
      </c>
      <c r="X85" s="19" t="inlineStr">
        <is>
          <t>Javed Khan is a reckless Pathan chieftain whose life revolves around his carrier pigeons until the 1857 rebellion delivers into his house an Anglo-Indian family fleeing a massacre. He seizes Ruth Labadoor and her mother from the Hindu household sheltering them, falls in love with Ruth, and is held to a bargain by her mother: the daughter's hand only if the British are defeated. His wife Firdaus watches it all.</t>
        </is>
      </c>
      <c r="Y85" s="19" t="inlineStr">
        <is>
          <t>To possess Ruth, an obsession the title names.</t>
        </is>
      </c>
      <c r="Z85" s="19" t="inlineStr">
        <is>
          <t>A promise contingent on a rebellion that is being lost, and a household, a wife and a brother-in-law all set against the attachment.</t>
        </is>
      </c>
      <c r="AA85" s="19" t="inlineStr">
        <is>
          <t>From an indolent aristocrat indifferent to politics to a man whose private obsession is destroyed with the rebellion he half-joined for it.</t>
        </is>
      </c>
      <c r="AB85" s="19" t="inlineStr">
        <is>
          <t>Coercive, within a sympathetic and tragic frame</t>
        </is>
      </c>
      <c r="AC85" s="5" t="inlineStr">
        <is>
          <t>His pigeons freed by his brother-in-law as the Indian defeat becomes certain, and the bargain with it.</t>
        </is>
      </c>
      <c r="AD85" s="5" t="inlineStr">
        <is>
          <t>Nafisa Ali; Shabana Azmi</t>
        </is>
      </c>
      <c r="AE85" s="5" t="inlineStr">
        <is>
          <t>Central</t>
        </is>
      </c>
      <c r="AF85" s="20" t="n">
        <v>9</v>
      </c>
      <c r="AG85" s="19" t="inlineStr">
        <is>
          <t>Forbidden love</t>
        </is>
      </c>
      <c r="AH85" s="5" t="n"/>
      <c r="AI85" s="5" t="n"/>
      <c r="AJ85" s="5" t="n"/>
      <c r="AK85" s="5" t="n"/>
      <c r="AL85" s="5" t="n"/>
      <c r="AM85" s="5" t="n"/>
      <c r="AN85" s="5" t="inlineStr">
        <is>
          <t>Average (The Hindu)</t>
        </is>
      </c>
      <c r="AO85" s="18" t="n"/>
      <c r="AP85" s="19" t="inlineStr">
        <is>
          <t>Widely admired. In a retrospective review Raja Sen of Rediff.com called it an overwhelmingly powerful film and a bittersweet, entirely futile love story. The Hindu's Blast from the Past notice calls Nafisa Ali's Ruth Labadoor brilliantly played and perfect in her role as a bewildered and panic-stricken girl, finds Kapoor and Jennifer Kendal giving a stellar display of their acting skills, and records convincing performances from Naseeruddin Shah, Kulbhushan Kharbanda, Ismat Chughtai and Tom Alter.</t>
        </is>
      </c>
      <c r="AQ85" s="19" t="inlineStr">
        <is>
          <t>Won the National Film Award for Best Feature Film in Hindi, presented to Kapoor as producer, along with Best Cinematography for Govind Nihalani and Best Audiography. At the 27th Filmfare Awards it won Best Film for Kapoor, Best Director for Shyam Benegal, Best Dialogue, Best Cinematography, Best Editing and Best Sound Recording, with nominations for Naseeruddin Shah, Jennifer Kendal and Ruskin Bond. It was the inaugural film of the 7th International Film Festival of India in 1979, the official Indian entry at the Moscow International Film Festival, and was shown at Montreal, Cairo, Sydney and Melbourne.</t>
        </is>
      </c>
      <c r="AR85" s="5" t="inlineStr">
        <is>
          <t>SOURCE-001; SOURCE-071; SOURCE-128; SOURCE-364</t>
        </is>
      </c>
      <c r="AS85" s="5" t="inlineStr">
        <is>
          <t>High</t>
        </is>
      </c>
      <c r="AT85" s="5" t="inlineStr">
        <is>
          <t>The first film Kapoor produced under Film-Valas, and the beginning of the parallel-cinema slate that runs through Kalyug, 36 Chowringhee Lane, Vijeta and Utsav. Three of his children, Sanjana, Kunal and Karan Kapoor, appear, and his wife Jennifer Kendal plays Ruth's mother, opposite whom he negotiates the film's central bargain. The Hindu's notice gives the film's box-office status as average, entered here as the verdict; phase 2 had left it undocumented, and the film's standing rests on its National Film Award rather than its collections. The notice's praise of 'Shashi Kapoor and Jennifer' refers to Jennifer Kendal as Mariam Labadoor, Ruth's mother, not to either of his romantic partners, so it is not used to assess the pairings. The article's URL calls the film junoon-1978 although it was released in 1979.</t>
        </is>
      </c>
    </row>
    <row r="86" ht="139" customHeight="1">
      <c r="A86" s="15" t="inlineStr">
        <is>
          <t>FILM-085</t>
        </is>
      </c>
      <c r="B86" s="5" t="inlineStr">
        <is>
          <t>Kaala Patthar</t>
        </is>
      </c>
      <c r="C86" s="16" t="n">
        <v>29076</v>
      </c>
      <c r="D86" s="17" t="n">
        <v>1979</v>
      </c>
      <c r="E86" s="5" t="inlineStr">
        <is>
          <t>1970s</t>
        </is>
      </c>
      <c r="F86" s="5" t="inlineStr">
        <is>
          <t>Hindi</t>
        </is>
      </c>
      <c r="G86" s="5" t="inlineStr">
        <is>
          <t>Disaster drama</t>
        </is>
      </c>
      <c r="H86" s="5" t="inlineStr">
        <is>
          <t>Action</t>
        </is>
      </c>
      <c r="I86" s="17" t="n">
        <v>171</v>
      </c>
      <c r="J86" s="5" t="inlineStr">
        <is>
          <t>Yash Chopra</t>
        </is>
      </c>
      <c r="K86" s="5" t="inlineStr">
        <is>
          <t>Yash Chopra</t>
        </is>
      </c>
      <c r="L86" s="5" t="inlineStr">
        <is>
          <t>Yash Raj Films</t>
        </is>
      </c>
      <c r="M86" s="5" t="inlineStr">
        <is>
          <t>Salim–Javed</t>
        </is>
      </c>
      <c r="N86" s="5" t="inlineStr">
        <is>
          <t>Based on the Chasnala mining disaster, and loosely inspired by Joseph Conrad's 1900 novel Lord Jim.</t>
        </is>
      </c>
      <c r="O86" s="5" t="inlineStr">
        <is>
          <t>Rajesh Roshan</t>
        </is>
      </c>
      <c r="P86" s="5" t="inlineStr">
        <is>
          <t>Salil Chowdhury</t>
        </is>
      </c>
      <c r="Q86" s="5" t="inlineStr">
        <is>
          <t>Sahir Ludhianvi</t>
        </is>
      </c>
      <c r="R86" s="5" t="inlineStr">
        <is>
          <t>Ravi Malhotra</t>
        </is>
      </c>
      <c r="S86" s="5" t="n"/>
      <c r="T86" s="5" t="inlineStr">
        <is>
          <t>Ensemble lead</t>
        </is>
      </c>
      <c r="U86" s="20" t="n">
        <v>2</v>
      </c>
      <c r="V86" s="5" t="inlineStr">
        <is>
          <t>Engineer in charge of a coal mine</t>
        </is>
      </c>
      <c r="W86" s="5" t="inlineStr">
        <is>
          <t>Professional, working among the miners he supervises</t>
        </is>
      </c>
      <c r="X86" s="19" t="inlineStr">
        <is>
          <t>Ravi Malhotra is the engineer running the coal mine where the disgraced sea captain Vijay has buried himself as a labourer. He befriends Vijay, courts the press photographer Anita, and joins Vijay and the convict Mangal in taking on the mine owner Dhanraj over unsafe equipment and absent medical supplies, before the flooding traps hundreds underground.</t>
        </is>
      </c>
      <c r="Y86" s="19" t="inlineStr">
        <is>
          <t>To run the mine decently, and then to get the trapped men out.</t>
        </is>
      </c>
      <c r="Z86" s="19" t="inlineStr">
        <is>
          <t>An owner who will not spend on safety, and a flood that makes the argument for him.</t>
        </is>
      </c>
      <c r="AA86" s="19" t="inlineStr">
        <is>
          <t>From the management side of the pit to the man leading a rescue alongside the workers he supervises.</t>
        </is>
      </c>
      <c r="AB86" s="19" t="inlineStr">
        <is>
          <t>Good</t>
        </is>
      </c>
      <c r="AC86" s="5" t="inlineStr">
        <is>
          <t>Injures his leg saving the trapped miners and survives; Mangal does not.</t>
        </is>
      </c>
      <c r="AD86" s="5" t="inlineStr">
        <is>
          <t>Parveen Babi</t>
        </is>
      </c>
      <c r="AE86" s="5" t="inlineStr">
        <is>
          <t>Secondary</t>
        </is>
      </c>
      <c r="AF86" s="20" t="n">
        <v>4</v>
      </c>
      <c r="AG86" s="19" t="inlineStr">
        <is>
          <t>Romance subordinate to another genre</t>
        </is>
      </c>
      <c r="AH86" s="5" t="n"/>
      <c r="AI86" s="21" t="n">
        <v>3</v>
      </c>
      <c r="AJ86" s="21" t="n">
        <v>6</v>
      </c>
      <c r="AK86" s="5" t="n"/>
      <c r="AL86" s="5" t="n"/>
      <c r="AM86" s="5" t="inlineStr">
        <is>
          <t>INR crore</t>
        </is>
      </c>
      <c r="AN86" s="5" t="inlineStr">
        <is>
          <t>Average</t>
        </is>
      </c>
      <c r="AO86" s="20" t="n">
        <v>5</v>
      </c>
      <c r="AP86" s="19" t="inlineStr">
        <is>
          <t>A commercial success; the Shashi Kapoor article records it as a hit. Nominated for eight awards at the 27th Filmfare Awards, including Best Film and Best Director for Yash Chopra and Best Actor for Bachchan, without winning.</t>
        </is>
      </c>
      <c r="AQ86" s="19" t="inlineStr">
        <is>
          <t>The song 'Ek Raasta Hai Zindagi', picturised on Kapoor, remains among the best known of his career. One of three films Kapoor made with Bachchan in 1979.</t>
        </is>
      </c>
      <c r="AR86" s="5" t="inlineStr">
        <is>
          <t>SOURCE-001; SOURCE-073; SOURCE-128; SOURCE-347</t>
        </is>
      </c>
      <c r="AS86" s="5" t="inlineStr">
        <is>
          <t>Medium</t>
        </is>
      </c>
      <c r="AT86" s="5" t="inlineStr">
        <is>
          <t>The film gives each of its three male leads a romance: Ravi with Anita, Vijay with Dr. Sudha Sen and Mangal with Channo. Only Kapoor's is recorded here. Box Office India's archived 1979 annual table gives nett Rs 3.0 crore, India gross Rs 6.0 crore, verdict "Average" and annual rank 5. This supersedes the verdict "Hit" taken from the film article, which is kept here per the rule that the trade figure goes in the column and the encyclopedia claim into notes.</t>
        </is>
      </c>
    </row>
    <row r="87" ht="169" customHeight="1">
      <c r="A87" s="15" t="inlineStr">
        <is>
          <t>FILM-086</t>
        </is>
      </c>
      <c r="B87" s="5" t="inlineStr">
        <is>
          <t>Duniya Meri Jeb Mein</t>
        </is>
      </c>
      <c r="C87" s="16" t="n">
        <v>29077</v>
      </c>
      <c r="D87" s="17" t="n">
        <v>1979</v>
      </c>
      <c r="E87" s="5" t="inlineStr">
        <is>
          <t>1970s</t>
        </is>
      </c>
      <c r="F87" s="5" t="inlineStr">
        <is>
          <t>Hindi</t>
        </is>
      </c>
      <c r="G87" s="5" t="inlineStr">
        <is>
          <t>Action drama</t>
        </is>
      </c>
      <c r="H87" s="5" t="n"/>
      <c r="I87" s="18" t="n"/>
      <c r="J87" s="5" t="inlineStr">
        <is>
          <t>Tinnu Anand</t>
        </is>
      </c>
      <c r="K87" s="5" t="inlineStr">
        <is>
          <t>Naresh Malhotra; Bittu Anand</t>
        </is>
      </c>
      <c r="L87" s="5" t="n"/>
      <c r="M87" s="5" t="inlineStr">
        <is>
          <t>Inder Raj Anand</t>
        </is>
      </c>
      <c r="N87" s="5" t="n"/>
      <c r="O87" s="5" t="inlineStr">
        <is>
          <t>Rajesh Roshan</t>
        </is>
      </c>
      <c r="P87" s="5" t="n"/>
      <c r="Q87" s="5" t="inlineStr">
        <is>
          <t>Gulshan Bawra</t>
        </is>
      </c>
      <c r="R87" s="5" t="inlineStr">
        <is>
          <t>Karan Khanna</t>
        </is>
      </c>
      <c r="S87" s="5" t="n"/>
      <c r="T87" s="5" t="inlineStr">
        <is>
          <t>Co-lead</t>
        </is>
      </c>
      <c r="U87" s="20" t="n">
        <v>1</v>
      </c>
      <c r="V87" s="5" t="inlineStr">
        <is>
          <t>Claims to be a businessman; in fact a circus trapeze artiste</t>
        </is>
      </c>
      <c r="W87" s="5" t="inlineStr">
        <is>
          <t>Supports his student brother on money whose source he conceals</t>
        </is>
      </c>
      <c r="X87" s="19" t="inlineStr">
        <is>
          <t>Karan Khanna keeps his younger brother Vishal in an expensive college and a wealthy style of life, on a fortune Vishal believes comes from business. After Gulabchand is killed and Karan loses both legs under a lorry, Vishal takes on his care, and a police inspector tells him that his brother was never a businessman but a trapeze artiste with Amar Circus, suspected of a robbery and of Gulabchand's murder.</t>
        </is>
      </c>
      <c r="Y87" s="19" t="inlineStr">
        <is>
          <t>To keep his brother in a life he cannot honestly afford.</t>
        </is>
      </c>
      <c r="Z87" s="19" t="inlineStr">
        <is>
          <t>A fiction about himself that collapses at the same moment as his body.</t>
        </is>
      </c>
      <c r="AA87" s="19" t="inlineStr">
        <is>
          <t>From the confident provider to a crippled man whose whole account of himself is exposed.</t>
        </is>
      </c>
      <c r="AB87" s="19" t="inlineStr">
        <is>
          <t>Ambiguous</t>
        </is>
      </c>
      <c r="AC87" s="5" t="inlineStr">
        <is>
          <t>Left crippled and under suspicion of robbery and murder as the film turns on what Vishal will do.</t>
        </is>
      </c>
      <c r="AD87" s="5" t="inlineStr">
        <is>
          <t>Neetu Singh</t>
        </is>
      </c>
      <c r="AE87" s="5" t="inlineStr">
        <is>
          <t>None</t>
        </is>
      </c>
      <c r="AF87" s="20" t="n">
        <v>6</v>
      </c>
      <c r="AG87" s="19" t="inlineStr">
        <is>
          <t>No meaningful romance</t>
        </is>
      </c>
      <c r="AH87" s="5" t="n"/>
      <c r="AI87" s="21" t="n">
        <v>1.5</v>
      </c>
      <c r="AJ87" s="21" t="n">
        <v>3</v>
      </c>
      <c r="AK87" s="5" t="n"/>
      <c r="AL87" s="5" t="n"/>
      <c r="AM87" s="5" t="inlineStr">
        <is>
          <t>INR crore</t>
        </is>
      </c>
      <c r="AN87" s="5" t="inlineStr">
        <is>
          <t>Below Average</t>
        </is>
      </c>
      <c r="AO87" s="20" t="n">
        <v>13</v>
      </c>
      <c r="AP87" s="19" t="inlineStr">
        <is>
          <t>No contemporary review was located in the sources consulted.</t>
        </is>
      </c>
      <c r="AQ87" s="19" t="inlineStr">
        <is>
          <t>Directed by Tinnu Anand, and one of the films pairing Shashi Kapoor with his nephew Rishi Kapoor.</t>
        </is>
      </c>
      <c r="AR87" s="5" t="inlineStr">
        <is>
          <t>SOURCE-001; SOURCE-072; SOURCE-347</t>
        </is>
      </c>
      <c r="AS87" s="5" t="inlineStr">
        <is>
          <t>Medium</t>
        </is>
      </c>
      <c r="AT87" s="5" t="inlineStr">
        <is>
          <t>The film's romance belongs to Rishi Kapoor's Vishal and Neetu Singh's Neeta; Kapoor's Karan has none, so romance presence is recorded as None and no Romances row is created. The centrality score refers to the film's romance, not to his character. Box Office India's archived 1979 annual table gives nett Rs 1.5 crore, India gross Rs 3.0 crore, verdict "Below Average" and annual rank 13. This supersedes the verdict "Not documented" taken from the film article, which is kept here per the rule that the trade figure goes in the column and the encyclopedia claim into notes.</t>
        </is>
      </c>
    </row>
    <row r="88" ht="274" customHeight="1">
      <c r="A88" s="15" t="inlineStr">
        <is>
          <t>FILM-087</t>
        </is>
      </c>
      <c r="B88" s="5" t="inlineStr">
        <is>
          <t>Suhaag</t>
        </is>
      </c>
      <c r="C88" s="16" t="n">
        <v>29175</v>
      </c>
      <c r="D88" s="17" t="n">
        <v>1979</v>
      </c>
      <c r="E88" s="5" t="inlineStr">
        <is>
          <t>1970s</t>
        </is>
      </c>
      <c r="F88" s="5" t="inlineStr">
        <is>
          <t>Hindi</t>
        </is>
      </c>
      <c r="G88" s="5" t="inlineStr">
        <is>
          <t>Action drama</t>
        </is>
      </c>
      <c r="H88" s="5" t="inlineStr">
        <is>
          <t>Masala</t>
        </is>
      </c>
      <c r="I88" s="17" t="n">
        <v>169</v>
      </c>
      <c r="J88" s="5" t="inlineStr">
        <is>
          <t>Manmohan Desai</t>
        </is>
      </c>
      <c r="K88" s="5" t="inlineStr">
        <is>
          <t>Rajinder Kumar Sharma; Ramesh Sharma; Shakti Subhash Sharma; Prakash Trehan</t>
        </is>
      </c>
      <c r="L88" s="5" t="n"/>
      <c r="M88" s="5" t="inlineStr">
        <is>
          <t>Kader Khan; Prayag Raj; K. K. Shukla</t>
        </is>
      </c>
      <c r="N88" s="5" t="n"/>
      <c r="O88" s="5" t="inlineStr">
        <is>
          <t>Laxmikant–Pyarelal</t>
        </is>
      </c>
      <c r="P88" s="5" t="n"/>
      <c r="Q88" s="5" t="n"/>
      <c r="R88" s="5" t="inlineStr">
        <is>
          <t>Kishan Kapoor</t>
        </is>
      </c>
      <c r="S88" s="5" t="n"/>
      <c r="T88" s="5" t="inlineStr">
        <is>
          <t>Co-lead</t>
        </is>
      </c>
      <c r="U88" s="20" t="n">
        <v>1</v>
      </c>
      <c r="V88" s="5" t="inlineStr">
        <is>
          <t>Police officer</t>
        </is>
      </c>
      <c r="W88" s="5" t="inlineStr">
        <is>
          <t>One of twin sons of the criminal Vikram Kapoor; raised in hardship by his mother after his twin was stolen at birth</t>
        </is>
      </c>
      <c r="X88" s="19" t="inlineStr">
        <is>
          <t>Kishan is the twin Durga kept when a rival gangster stole the other and sold him to a bootlegger. Raised with difficulty by his abandoned mother, he becomes a dedicated police officer, clashes with the petty criminal Amit and then befriends him, and is blinded in the attack their own father commissions on him without knowing who either of them is.</t>
        </is>
      </c>
      <c r="Y88" s="19" t="inlineStr">
        <is>
          <t>To do his duty as a police officer and support the mother who raised him alone.</t>
        </is>
      </c>
      <c r="Z88" s="19" t="inlineStr">
        <is>
          <t>A father who has hired a killer for him, and a criminal friend who turns out to be his twin.</t>
        </is>
      </c>
      <c r="AA88" s="19" t="inlineStr">
        <is>
          <t>From the dutiful son to a blinded officer dependent on the brother he does not know he has.</t>
        </is>
      </c>
      <c r="AB88" s="19" t="inlineStr">
        <is>
          <t>Good</t>
        </is>
      </c>
      <c r="AC88" s="5" t="inlineStr">
        <is>
          <t>Loses his eyesight in the temple attack, leaving Amit to find the man behind it.</t>
        </is>
      </c>
      <c r="AD88" s="5" t="inlineStr">
        <is>
          <t>Rekha; Parveen Babi</t>
        </is>
      </c>
      <c r="AE88" s="5" t="n"/>
      <c r="AF88" s="20" t="n">
        <v>6</v>
      </c>
      <c r="AG88" s="19" t="n"/>
      <c r="AH88" s="21" t="n">
        <v>2</v>
      </c>
      <c r="AI88" s="21" t="n">
        <v>5</v>
      </c>
      <c r="AJ88" s="21" t="n">
        <v>10</v>
      </c>
      <c r="AK88" s="5" t="n"/>
      <c r="AL88" s="5" t="n"/>
      <c r="AM88" s="5" t="inlineStr">
        <is>
          <t>INR crore</t>
        </is>
      </c>
      <c r="AN88" s="5" t="inlineStr">
        <is>
          <t>Hit</t>
        </is>
      </c>
      <c r="AO88" s="20" t="n">
        <v>1</v>
      </c>
      <c r="AP88" s="19" t="inlineStr">
        <is>
          <t>A blockbuster and the highest-grossing Hindi film of 1979.</t>
        </is>
      </c>
      <c r="AQ88" s="19" t="inlineStr">
        <is>
          <t>One of Manmohan Desai's most successful films and the biggest commercial success of Kapoor's career by annual rank. Sequences were shot in London, including 'Teri Rab Ne Bana Di Jodi' in Richmond Park.</t>
        </is>
      </c>
      <c r="AR88" s="5" t="inlineStr">
        <is>
          <t>SOURCE-001; SOURCE-074; SOURCE-128; SOURCE-347</t>
        </is>
      </c>
      <c r="AS88" s="5" t="inlineStr">
        <is>
          <t>Medium</t>
        </is>
      </c>
      <c r="AT88" s="5" t="inlineStr">
        <is>
          <t>Filmography notes: Also playback singer for the song "Main To Beghar Hoon". Infobox gross '₹50 million' has no nett/gross label and is not entered. The filmography table notes that Kapoor also sang the playback for "Main To Beghar Hoon". Rekha and Parveen Babi are billed among the four leads, but the article's plot summary names neither Basanti nor Anu and assigns neither to Kishan or Amit. Romance presence is therefore left blank and no Romances row is created rather than pairing the first-billed actress with the first-billed hero; the centrality score refers to the film's romantic content, not to Kishan's. Box Office India's archived 1979 annual table gives nett Rs 5.0 crore, India gross Rs 10.0 crore, verdict "Hit" and annual rank 1. This supersedes the verdict "Blockbuster" taken from the film article, which is kept here per the rule that the trade figure goes in the column and the encyclopedia claim into notes.</t>
        </is>
      </c>
    </row>
    <row r="89" ht="229" customHeight="1">
      <c r="A89" s="15" t="inlineStr">
        <is>
          <t>FILM-088</t>
        </is>
      </c>
      <c r="B89" s="5" t="inlineStr">
        <is>
          <t>Swayamvar</t>
        </is>
      </c>
      <c r="C89" s="5" t="inlineStr">
        <is>
          <t>1980</t>
        </is>
      </c>
      <c r="D89" s="17" t="n">
        <v>1980</v>
      </c>
      <c r="E89" s="5" t="inlineStr">
        <is>
          <t>1980s</t>
        </is>
      </c>
      <c r="F89" s="5" t="n"/>
      <c r="G89" s="5" t="inlineStr">
        <is>
          <t>Drama</t>
        </is>
      </c>
      <c r="H89" s="5" t="n"/>
      <c r="I89" s="18" t="n"/>
      <c r="J89" s="5" t="n"/>
      <c r="K89" s="5" t="n"/>
      <c r="L89" s="5" t="n"/>
      <c r="M89" s="5" t="n"/>
      <c r="N89" s="5" t="n"/>
      <c r="O89" s="5" t="n"/>
      <c r="P89" s="5" t="n"/>
      <c r="Q89" s="5" t="n"/>
      <c r="R89" s="5" t="inlineStr">
        <is>
          <t>Laxman</t>
        </is>
      </c>
      <c r="S89" s="5" t="n"/>
      <c r="T89" s="5" t="n"/>
      <c r="U89" s="18" t="n"/>
      <c r="V89" s="5" t="n"/>
      <c r="W89" s="5" t="n"/>
      <c r="X89" s="19" t="inlineStr">
        <is>
          <t>No Wikipedia film article exists: the filmography links this title to the biography of Moushumi Chatterjee rather than to a film article. Only the character name Laxman, taken from the filmography, is documented; the size of the part, the cast opposite him and the film's reception are all unrecorded.</t>
        </is>
      </c>
      <c r="Y89" s="19" t="n"/>
      <c r="Z89" s="19" t="n"/>
      <c r="AA89" s="19" t="n"/>
      <c r="AB89" s="19" t="n"/>
      <c r="AC89" s="5" t="n"/>
      <c r="AD89" s="5" t="n"/>
      <c r="AE89" s="5" t="n"/>
      <c r="AF89" s="18" t="n"/>
      <c r="AG89" s="19" t="n"/>
      <c r="AH89" s="5" t="n"/>
      <c r="AI89" s="21" t="n">
        <v>2</v>
      </c>
      <c r="AJ89" s="21" t="n">
        <v>4</v>
      </c>
      <c r="AK89" s="5" t="n"/>
      <c r="AL89" s="5" t="n"/>
      <c r="AM89" s="5" t="inlineStr">
        <is>
          <t>INR crore</t>
        </is>
      </c>
      <c r="AN89" s="5" t="inlineStr">
        <is>
          <t>Semi Hit</t>
        </is>
      </c>
      <c r="AO89" s="20" t="n">
        <v>13</v>
      </c>
      <c r="AP89" s="19" t="n"/>
      <c r="AQ89" s="19" t="n"/>
      <c r="AR89" s="5" t="inlineStr">
        <is>
          <t>SOURCE-001; SOURCE-128; SOURCE-348</t>
        </is>
      </c>
      <c r="AS89" s="5" t="inlineStr">
        <is>
          <t>Low</t>
        </is>
      </c>
      <c r="AT89" s="5" t="inlineStr">
        <is>
          <t>No Wikipedia film article; fields come from the filmography table. The filmography table links this title to the biography of Moushumi Chatterjee rather than to a film article, which is an error on Wikipedia's side. The Shashi Kapoor article records that Kapoor delivered a hit with Swayamvar in 1980, which is the only documented fact about the film beyond its existence; role type, narrative fields and romance fields are left blank rather than inferred. Box Office India's archived 1980 annual table gives nett Rs 2.0 crore, India gross Rs 4.0 crore, verdict "Semi Hit" and annual rank 13. This supersedes the verdict "Hit" taken from the film article, which is kept here per the rule that the trade figure goes in the column and the encyclopedia claim into notes.</t>
        </is>
      </c>
    </row>
    <row r="90" ht="79" customHeight="1">
      <c r="A90" s="15" t="inlineStr">
        <is>
          <t>FILM-089</t>
        </is>
      </c>
      <c r="B90" s="5" t="inlineStr">
        <is>
          <t>Kala Pani</t>
        </is>
      </c>
      <c r="C90" s="5" t="inlineStr">
        <is>
          <t>1980</t>
        </is>
      </c>
      <c r="D90" s="17" t="n">
        <v>1980</v>
      </c>
      <c r="E90" s="5" t="inlineStr">
        <is>
          <t>1980s</t>
        </is>
      </c>
      <c r="F90" s="5" t="n"/>
      <c r="G90" s="5" t="inlineStr">
        <is>
          <t>Drama</t>
        </is>
      </c>
      <c r="H90" s="5" t="n"/>
      <c r="I90" s="18" t="n"/>
      <c r="J90" s="5" t="n"/>
      <c r="K90" s="5" t="n"/>
      <c r="L90" s="5" t="n"/>
      <c r="M90" s="5" t="n"/>
      <c r="N90" s="5" t="n"/>
      <c r="O90" s="5" t="n"/>
      <c r="P90" s="5" t="n"/>
      <c r="Q90" s="5" t="n"/>
      <c r="R90" s="5" t="inlineStr">
        <is>
          <t>Dharamveer</t>
        </is>
      </c>
      <c r="S90" s="5" t="n"/>
      <c r="T90" s="5" t="n"/>
      <c r="U90" s="18" t="n"/>
      <c r="V90" s="5" t="n"/>
      <c r="W90" s="5" t="n"/>
      <c r="X90" s="19" t="inlineStr">
        <is>
          <t>No Wikipedia article or other plot source was located for this film, and the Shashi Kapoor article does not mention it. Only the character name Dharamveer, taken from his filmography, is documented; the size of the part, the cast opposite him and the film's reception are all unrecorded.</t>
        </is>
      </c>
      <c r="Y90" s="19" t="n"/>
      <c r="Z90" s="19" t="n"/>
      <c r="AA90" s="19" t="n"/>
      <c r="AB90" s="19" t="n"/>
      <c r="AC90" s="5" t="n"/>
      <c r="AD90" s="5" t="n"/>
      <c r="AE90" s="5" t="n"/>
      <c r="AF90" s="18" t="n"/>
      <c r="AG90" s="19" t="n"/>
      <c r="AH90" s="5" t="n"/>
      <c r="AI90" s="5" t="n"/>
      <c r="AJ90" s="5" t="n"/>
      <c r="AK90" s="5" t="n"/>
      <c r="AL90" s="5" t="n"/>
      <c r="AM90" s="5" t="n"/>
      <c r="AN90" s="5" t="n"/>
      <c r="AO90" s="18" t="n"/>
      <c r="AP90" s="19" t="n"/>
      <c r="AQ90" s="19" t="n"/>
      <c r="AR90" s="5" t="inlineStr">
        <is>
          <t>SOURCE-001</t>
        </is>
      </c>
      <c r="AS90" s="5" t="inlineStr">
        <is>
          <t>Unknown</t>
        </is>
      </c>
      <c r="AT90" s="5" t="inlineStr">
        <is>
          <t>No Wikipedia film article; fields come from the filmography table. No film article exists and the biographical article is silent on this title, so role type, narrative fields and romance fields are left blank rather than inferred.</t>
        </is>
      </c>
    </row>
    <row r="91" ht="79" customHeight="1">
      <c r="A91" s="15" t="inlineStr">
        <is>
          <t>FILM-090</t>
        </is>
      </c>
      <c r="B91" s="5" t="inlineStr">
        <is>
          <t>Ganga Aur Suraj</t>
        </is>
      </c>
      <c r="C91" s="5" t="inlineStr">
        <is>
          <t>1980</t>
        </is>
      </c>
      <c r="D91" s="17" t="n">
        <v>1980</v>
      </c>
      <c r="E91" s="5" t="inlineStr">
        <is>
          <t>1980s</t>
        </is>
      </c>
      <c r="F91" s="5" t="n"/>
      <c r="G91" s="5" t="inlineStr">
        <is>
          <t>Drama</t>
        </is>
      </c>
      <c r="H91" s="5" t="n"/>
      <c r="I91" s="18" t="n"/>
      <c r="J91" s="5" t="n"/>
      <c r="K91" s="5" t="n"/>
      <c r="L91" s="5" t="n"/>
      <c r="M91" s="5" t="n"/>
      <c r="N91" s="5" t="n"/>
      <c r="O91" s="5" t="n"/>
      <c r="P91" s="5" t="n"/>
      <c r="Q91" s="5" t="n"/>
      <c r="R91" s="5" t="inlineStr">
        <is>
          <t>Suraj</t>
        </is>
      </c>
      <c r="S91" s="5" t="inlineStr">
        <is>
          <t>Vijay</t>
        </is>
      </c>
      <c r="T91" s="5" t="n"/>
      <c r="U91" s="18" t="n"/>
      <c r="V91" s="5" t="n"/>
      <c r="W91" s="5" t="n"/>
      <c r="X91" s="19" t="inlineStr">
        <is>
          <t>A double role, credited as Suraj and Vijay. No Wikipedia article or other plot source was located, and the Shashi Kapoor article does not mention the film, so nothing about either part is documented beyond the two names from the filmography.</t>
        </is>
      </c>
      <c r="Y91" s="19" t="n"/>
      <c r="Z91" s="19" t="n"/>
      <c r="AA91" s="19" t="n"/>
      <c r="AB91" s="19" t="n"/>
      <c r="AC91" s="5" t="n"/>
      <c r="AD91" s="5" t="n"/>
      <c r="AE91" s="5" t="n"/>
      <c r="AF91" s="18" t="n"/>
      <c r="AG91" s="19" t="n"/>
      <c r="AH91" s="5" t="n"/>
      <c r="AI91" s="5" t="n"/>
      <c r="AJ91" s="5" t="n"/>
      <c r="AK91" s="5" t="n"/>
      <c r="AL91" s="5" t="n"/>
      <c r="AM91" s="5" t="n"/>
      <c r="AN91" s="5" t="n"/>
      <c r="AO91" s="18" t="n"/>
      <c r="AP91" s="19" t="n"/>
      <c r="AQ91" s="19" t="n"/>
      <c r="AR91" s="5" t="inlineStr">
        <is>
          <t>SOURCE-001</t>
        </is>
      </c>
      <c r="AS91" s="5" t="inlineStr">
        <is>
          <t>Unknown</t>
        </is>
      </c>
      <c r="AT91" s="5" t="inlineStr">
        <is>
          <t>No Wikipedia film article; fields come from the filmography table. No film article exists and the biographical article is silent on this title, so role type, narrative fields and romance fields are left blank rather than inferred.</t>
        </is>
      </c>
    </row>
    <row r="92" ht="94" customHeight="1">
      <c r="A92" s="15" t="inlineStr">
        <is>
          <t>FILM-091</t>
        </is>
      </c>
      <c r="B92" s="5" t="inlineStr">
        <is>
          <t>Kali Ghata</t>
        </is>
      </c>
      <c r="C92" s="16" t="n">
        <v>29245</v>
      </c>
      <c r="D92" s="17" t="n">
        <v>1980</v>
      </c>
      <c r="E92" s="5" t="inlineStr">
        <is>
          <t>1980s</t>
        </is>
      </c>
      <c r="F92" s="5" t="inlineStr">
        <is>
          <t>Hindi</t>
        </is>
      </c>
      <c r="G92" s="5" t="inlineStr">
        <is>
          <t>Romantic thriller</t>
        </is>
      </c>
      <c r="H92" s="5" t="inlineStr">
        <is>
          <t>Mystery</t>
        </is>
      </c>
      <c r="I92" s="18" t="n"/>
      <c r="J92" s="5" t="inlineStr">
        <is>
          <t>Ved Rahi</t>
        </is>
      </c>
      <c r="K92" s="5" t="inlineStr">
        <is>
          <t>Ved Rahi; Shivalik Pictures</t>
        </is>
      </c>
      <c r="L92" s="5" t="n"/>
      <c r="M92" s="5" t="inlineStr">
        <is>
          <t>Ved Rahi</t>
        </is>
      </c>
      <c r="N92" s="5" t="n"/>
      <c r="O92" s="5" t="inlineStr">
        <is>
          <t>Laxmikant–Pyarelal</t>
        </is>
      </c>
      <c r="P92" s="5" t="n"/>
      <c r="Q92" s="5" t="inlineStr">
        <is>
          <t>Anand Bakshi</t>
        </is>
      </c>
      <c r="R92" s="5" t="inlineStr">
        <is>
          <t>Prem</t>
        </is>
      </c>
      <c r="S92" s="5" t="n"/>
      <c r="T92" s="5" t="inlineStr">
        <is>
          <t>Co-lead</t>
        </is>
      </c>
      <c r="U92" s="20" t="n">
        <v>2</v>
      </c>
      <c r="V92" s="5" t="inlineStr">
        <is>
          <t>Mechanic, described as having a gift for machines</t>
        </is>
      </c>
      <c r="W92" s="5" t="inlineStr">
        <is>
          <t>Of modest means, against the heiress he becomes engaged to</t>
        </is>
      </c>
      <c r="X92" s="19" t="inlineStr">
        <is>
          <t>Prem stops to fix Rekha's broken-down car on her own estate, and the meetings that follow turn into love and an engagement. He is conspicuously missing when her police friend arrives at the party, and missing again from the houseboat on the night someone pushes her into the lake, which places him high on the list of suspects in a murder everyone but the audience believes succeeded.</t>
        </is>
      </c>
      <c r="Y92" s="19" t="inlineStr">
        <is>
          <t>Rekha, and after her apparent death, finding who killed her.</t>
        </is>
      </c>
      <c r="Z92" s="19" t="inlineStr">
        <is>
          <t>An engagement to a wealthy woman whose death he is suspected of arranging.</t>
        </is>
      </c>
      <c r="AA92" s="19" t="inlineStr">
        <is>
          <t>From suitor to prime suspect, maintaining his love for Rekha to a woman he does not know is Rekha in disguise.</t>
        </is>
      </c>
      <c r="AB92" s="19" t="inlineStr">
        <is>
          <t>Ambiguous by design</t>
        </is>
      </c>
      <c r="AC92" s="5" t="inlineStr">
        <is>
          <t>Cleared when the murderer is revealed in the climax.</t>
        </is>
      </c>
      <c r="AD92" s="5" t="inlineStr">
        <is>
          <t>Rekha</t>
        </is>
      </c>
      <c r="AE92" s="5" t="inlineStr">
        <is>
          <t>Central</t>
        </is>
      </c>
      <c r="AF92" s="20" t="n">
        <v>8</v>
      </c>
      <c r="AG92" s="19" t="inlineStr">
        <is>
          <t>Relationship damaged by mistrust</t>
        </is>
      </c>
      <c r="AH92" s="5" t="n"/>
      <c r="AI92" s="5" t="n"/>
      <c r="AJ92" s="5" t="n"/>
      <c r="AK92" s="5" t="n"/>
      <c r="AL92" s="5" t="n"/>
      <c r="AM92" s="5" t="n"/>
      <c r="AN92" s="5" t="inlineStr">
        <is>
          <t>Not documented</t>
        </is>
      </c>
      <c r="AO92" s="18" t="n"/>
      <c r="AP92" s="19" t="inlineStr">
        <is>
          <t>No contemporary review was located in the sources consulted.</t>
        </is>
      </c>
      <c r="AQ92" s="19" t="n"/>
      <c r="AR92" s="5" t="inlineStr">
        <is>
          <t>SOURCE-001; SOURCE-075</t>
        </is>
      </c>
      <c r="AS92" s="5" t="inlineStr">
        <is>
          <t>Medium</t>
        </is>
      </c>
      <c r="AT92" s="5" t="inlineStr">
        <is>
          <t>Rekha plays both twin sisters, Rekha and Rashmi, and spends much of the second half impersonating her own sister, so Kapoor's scenes with 'Rashmi' are in fact with the woman he is mourning.</t>
        </is>
      </c>
    </row>
    <row r="93" ht="94" customHeight="1">
      <c r="A93" s="15" t="inlineStr">
        <is>
          <t>FILM-092</t>
        </is>
      </c>
      <c r="B93" s="5" t="inlineStr">
        <is>
          <t>Do Aur Do Paanch</t>
        </is>
      </c>
      <c r="C93" s="16" t="n">
        <v>29261</v>
      </c>
      <c r="D93" s="17" t="n">
        <v>1980</v>
      </c>
      <c r="E93" s="5" t="inlineStr">
        <is>
          <t>1980s</t>
        </is>
      </c>
      <c r="F93" s="5" t="inlineStr">
        <is>
          <t>Hindi</t>
        </is>
      </c>
      <c r="G93" s="5" t="inlineStr">
        <is>
          <t>Action comedy</t>
        </is>
      </c>
      <c r="H93" s="5" t="n"/>
      <c r="I93" s="18" t="n"/>
      <c r="J93" s="5" t="inlineStr">
        <is>
          <t>Rakesh Kumar</t>
        </is>
      </c>
      <c r="K93" s="5" t="inlineStr">
        <is>
          <t>Sandow M. M. A. Chinnappa Thevar; C. Dhandyadupani</t>
        </is>
      </c>
      <c r="L93" s="5" t="inlineStr">
        <is>
          <t>Devar Films</t>
        </is>
      </c>
      <c r="M93" s="5" t="inlineStr">
        <is>
          <t>Sachin Bhowmick; Kader Khan</t>
        </is>
      </c>
      <c r="N93" s="5" t="n"/>
      <c r="O93" s="5" t="inlineStr">
        <is>
          <t>Rajesh Roshan</t>
        </is>
      </c>
      <c r="P93" s="5" t="n"/>
      <c r="Q93" s="5" t="n"/>
      <c r="R93" s="5" t="inlineStr">
        <is>
          <t>Sunil</t>
        </is>
      </c>
      <c r="S93" s="5" t="inlineStr">
        <is>
          <t>Lakshman</t>
        </is>
      </c>
      <c r="T93" s="5" t="inlineStr">
        <is>
          <t>Co-lead</t>
        </is>
      </c>
      <c r="U93" s="20" t="n">
        <v>1</v>
      </c>
      <c r="V93" s="5" t="inlineStr">
        <is>
          <t>Petty burglar, posing as a school music teacher</t>
        </is>
      </c>
      <c r="W93" s="5" t="inlineStr">
        <is>
          <t>Criminal underworld; working for Uncle Jagdish</t>
        </is>
      </c>
      <c r="X93" s="19" t="inlineStr">
        <is>
          <t>Sunil is a petty burglar and the sworn enemy of Vijay, sent by rival bosses to the same school to abduct a rich man's son. Posing as Lakshman, the music teacher, he courts the dance teacher Shalu, grows genuinely attached to the boy he came to kidnap, and abandons the plan. When his own boss seizes the child instead, the two enemies join forces to get him back.</t>
        </is>
      </c>
      <c r="Y93" s="19" t="inlineStr">
        <is>
          <t>The ransom, until the boy and Shalu give him something else to want.</t>
        </is>
      </c>
      <c r="Z93" s="19" t="inlineStr">
        <is>
          <t>A rival thief on the same job, and a target he comes to care about.</t>
        </is>
      </c>
      <c r="AA93" s="19" t="inlineStr">
        <is>
          <t>From burglar to reluctant protector, reformed by the child and by Shalu's word.</t>
        </is>
      </c>
      <c r="AB93" s="19" t="inlineStr">
        <is>
          <t>Criminal, then reformed</t>
        </is>
      </c>
      <c r="AC93" s="5" t="inlineStr">
        <is>
          <t>Rescues the boy alongside Vijay and sees his former boss arrested.</t>
        </is>
      </c>
      <c r="AD93" s="5" t="inlineStr">
        <is>
          <t>Hema Malini</t>
        </is>
      </c>
      <c r="AE93" s="5" t="inlineStr">
        <is>
          <t>Major</t>
        </is>
      </c>
      <c r="AF93" s="20" t="n">
        <v>6</v>
      </c>
      <c r="AG93" s="19" t="inlineStr">
        <is>
          <t>Romance subordinate to another genre</t>
        </is>
      </c>
      <c r="AH93" s="5" t="n"/>
      <c r="AI93" s="21" t="n">
        <v>1.5</v>
      </c>
      <c r="AJ93" s="21" t="n">
        <v>3</v>
      </c>
      <c r="AK93" s="5" t="n"/>
      <c r="AL93" s="5" t="n"/>
      <c r="AM93" s="5" t="inlineStr">
        <is>
          <t>INR crore</t>
        </is>
      </c>
      <c r="AN93" s="5" t="inlineStr">
        <is>
          <t>Flop</t>
        </is>
      </c>
      <c r="AO93" s="20" t="n">
        <v>19</v>
      </c>
      <c r="AP93" s="19" t="inlineStr">
        <is>
          <t>No contemporary review was located; the Shashi Kapoor article records that the film failed to leave a mark.</t>
        </is>
      </c>
      <c r="AQ93" s="19" t="n"/>
      <c r="AR93" s="5" t="inlineStr">
        <is>
          <t>SOURCE-001; SOURCE-076; SOURCE-128; SOURCE-348</t>
        </is>
      </c>
      <c r="AS93" s="5" t="inlineStr">
        <is>
          <t>Medium</t>
        </is>
      </c>
      <c r="AT93" s="5" t="inlineStr">
        <is>
          <t>Kapoor's Sunil poses as Lakshman and Bachchan's Vijay as Ram, so the two leads carry two names each; the film pairs Kapoor with Hema Malini's Shalu and Bachchan with Parveen Babi's Anju. Box Office India's archived 1980 annual table gives nett Rs 1.5 crore, India gross Rs 3.0 crore, verdict "Flop" and annual rank 19.</t>
        </is>
      </c>
    </row>
    <row r="94" ht="79" customHeight="1">
      <c r="A94" s="15" t="inlineStr">
        <is>
          <t>FILM-093</t>
        </is>
      </c>
      <c r="B94" s="5" t="inlineStr">
        <is>
          <t>Neeyat</t>
        </is>
      </c>
      <c r="C94" s="16" t="n">
        <v>29469</v>
      </c>
      <c r="D94" s="17" t="n">
        <v>1980</v>
      </c>
      <c r="E94" s="5" t="inlineStr">
        <is>
          <t>1980s</t>
        </is>
      </c>
      <c r="F94" s="5" t="inlineStr">
        <is>
          <t>Hindi</t>
        </is>
      </c>
      <c r="G94" s="5" t="inlineStr">
        <is>
          <t>Action drama</t>
        </is>
      </c>
      <c r="H94" s="5" t="inlineStr">
        <is>
          <t>Romance</t>
        </is>
      </c>
      <c r="I94" s="17" t="n">
        <v>146</v>
      </c>
      <c r="J94" s="5" t="inlineStr">
        <is>
          <t>Anil Ganguly</t>
        </is>
      </c>
      <c r="K94" s="5" t="inlineStr">
        <is>
          <t>Pradeep Sharma; Manoj Kaytee</t>
        </is>
      </c>
      <c r="L94" s="5" t="inlineStr">
        <is>
          <t>Screen Idol Productions</t>
        </is>
      </c>
      <c r="M94" s="5" t="inlineStr">
        <is>
          <t>Madan Joshi; Indeevar; K. A. Narayan; Ranjan Bose</t>
        </is>
      </c>
      <c r="N94" s="5" t="n"/>
      <c r="O94" s="5" t="inlineStr">
        <is>
          <t>Kalyanji–Anandji</t>
        </is>
      </c>
      <c r="P94" s="5" t="n"/>
      <c r="Q94" s="5" t="n"/>
      <c r="R94" s="5" t="inlineStr">
        <is>
          <t>Vijay</t>
        </is>
      </c>
      <c r="S94" s="5" t="n"/>
      <c r="T94" s="5" t="inlineStr">
        <is>
          <t>Lead</t>
        </is>
      </c>
      <c r="U94" s="20" t="n">
        <v>1</v>
      </c>
      <c r="V94" s="5" t="inlineStr">
        <is>
          <t>Not stated; brother of a journalist</t>
        </is>
      </c>
      <c r="W94" s="5" t="inlineStr">
        <is>
          <t>Modest household; his brother Arvind is a campaigning journalist</t>
        </is>
      </c>
      <c r="X94" s="19" t="inlineStr">
        <is>
          <t>Vijay is one of three childhood friends, with the tycoon Jeet and the policeman Ajay, all three of whom love Rekha at different points; she chooses Vijay. When Jeet's father, a hoodlum behind a respectable front, has Vijay's brother killed to bury the evidence against him, the friendship between Vijay and Jeet curdles into open rivalry.</t>
        </is>
      </c>
      <c r="Y94" s="19" t="inlineStr">
        <is>
          <t>Rekha, and then justice for his murdered brother.</t>
        </is>
      </c>
      <c r="Z94" s="19" t="inlineStr">
        <is>
          <t>A lifelong friend whose father is the man he must destroy.</t>
        </is>
      </c>
      <c r="AA94" s="19" t="inlineStr">
        <is>
          <t>From one of three friends in a shared attachment to the antagonist of one of them, and back when Jeet sees his father clearly.</t>
        </is>
      </c>
      <c r="AB94" s="19" t="inlineStr">
        <is>
          <t>Good</t>
        </is>
      </c>
      <c r="AC94" s="5" t="inlineStr">
        <is>
          <t>Survives; Jeet dies shielding him as penance for his father's crimes.</t>
        </is>
      </c>
      <c r="AD94" s="5" t="inlineStr">
        <is>
          <t>Rekha</t>
        </is>
      </c>
      <c r="AE94" s="5" t="inlineStr">
        <is>
          <t>Major</t>
        </is>
      </c>
      <c r="AF94" s="20" t="n">
        <v>6</v>
      </c>
      <c r="AG94" s="19" t="inlineStr">
        <is>
          <t>Love triangle</t>
        </is>
      </c>
      <c r="AH94" s="5" t="n"/>
      <c r="AI94" s="5" t="n"/>
      <c r="AJ94" s="5" t="n"/>
      <c r="AK94" s="5" t="n"/>
      <c r="AL94" s="5" t="n"/>
      <c r="AM94" s="5" t="n"/>
      <c r="AN94" s="5" t="inlineStr">
        <is>
          <t>Flop</t>
        </is>
      </c>
      <c r="AO94" s="18" t="n"/>
      <c r="AP94" s="19" t="inlineStr">
        <is>
          <t>No contemporary review was located; the Shashi Kapoor article records that the film failed to leave a mark.</t>
        </is>
      </c>
      <c r="AQ94" s="19" t="n"/>
      <c r="AR94" s="5" t="inlineStr">
        <is>
          <t>SOURCE-001; SOURCE-077; SOURCE-128</t>
        </is>
      </c>
      <c r="AS94" s="5" t="inlineStr">
        <is>
          <t>Low</t>
        </is>
      </c>
      <c r="AT94" s="5" t="inlineStr">
        <is>
          <t>Rekha accepts Jeet's marriage proposal out of gratitude after his father secures her own father's acquittal, which is what turns the three-way attachment into a rivalry.</t>
        </is>
      </c>
    </row>
    <row r="95" ht="229" customHeight="1">
      <c r="A95" s="15" t="inlineStr">
        <is>
          <t>FILM-094</t>
        </is>
      </c>
      <c r="B95" s="5" t="inlineStr">
        <is>
          <t>Shaan</t>
        </is>
      </c>
      <c r="C95" s="16" t="n">
        <v>29567</v>
      </c>
      <c r="D95" s="17" t="n">
        <v>1980</v>
      </c>
      <c r="E95" s="5" t="inlineStr">
        <is>
          <t>1980s</t>
        </is>
      </c>
      <c r="F95" s="5" t="inlineStr">
        <is>
          <t>Hindi</t>
        </is>
      </c>
      <c r="G95" s="5" t="inlineStr">
        <is>
          <t>Action</t>
        </is>
      </c>
      <c r="H95" s="5" t="inlineStr">
        <is>
          <t>Crime caper</t>
        </is>
      </c>
      <c r="I95" s="17" t="n">
        <v>181</v>
      </c>
      <c r="J95" s="5" t="inlineStr">
        <is>
          <t>Ramesh Sippy</t>
        </is>
      </c>
      <c r="K95" s="5" t="inlineStr">
        <is>
          <t>G. P. Sippy</t>
        </is>
      </c>
      <c r="L95" s="5" t="inlineStr">
        <is>
          <t>Sippy Films</t>
        </is>
      </c>
      <c r="M95" s="5" t="inlineStr">
        <is>
          <t>Salim–Javed</t>
        </is>
      </c>
      <c r="N95" s="5" t="n"/>
      <c r="O95" s="5" t="inlineStr">
        <is>
          <t>R. D. Burman</t>
        </is>
      </c>
      <c r="P95" s="5" t="n"/>
      <c r="Q95" s="5" t="inlineStr">
        <is>
          <t>Anand Bakshi</t>
        </is>
      </c>
      <c r="R95" s="5" t="inlineStr">
        <is>
          <t>Ravi Kumar</t>
        </is>
      </c>
      <c r="S95" s="5" t="n"/>
      <c r="T95" s="5" t="inlineStr">
        <is>
          <t>Ensemble lead</t>
        </is>
      </c>
      <c r="U95" s="20" t="n">
        <v>2</v>
      </c>
      <c r="V95" s="5" t="inlineStr">
        <is>
          <t>Confidence trickster</t>
        </is>
      </c>
      <c r="W95" s="5" t="inlineStr">
        <is>
          <t>Estranged younger brother of a senior police officer; lives by scams in Bombay</t>
        </is>
      </c>
      <c r="X95" s="19" t="inlineStr">
        <is>
          <t>Ravi and his brother Vijay live by elaborate cons, one of which has Ravi impersonating a police officer to shake down a corrupt hotel manager. Attracted to a young woman calling herself Pushpa, he and Vijay buy her car to clear her debt and are arrested for it. Their estranged eldest brother is the DCP whose death at Shakaal's hands turns the pair from swindlers into avengers.</t>
        </is>
      </c>
      <c r="Y95" s="19" t="inlineStr">
        <is>
          <t>Easy money, until his brother's killing replaces it with revenge.</t>
        </is>
      </c>
      <c r="Z95" s="19" t="inlineStr">
        <is>
          <t>A gang of confidence men taking on an island fortress and the man who runs it.</t>
        </is>
      </c>
      <c r="AA95" s="19" t="inlineStr">
        <is>
          <t>From petty trickster to one of the three who bring down Shakaal.</t>
        </is>
      </c>
      <c r="AB95" s="19" t="inlineStr">
        <is>
          <t>Roguish, then heroic</t>
        </is>
      </c>
      <c r="AC95" s="5" t="inlineStr">
        <is>
          <t>Survives the assault on Shakaal's island.</t>
        </is>
      </c>
      <c r="AD95" s="5" t="inlineStr">
        <is>
          <t>Bindiya Goswami</t>
        </is>
      </c>
      <c r="AE95" s="5" t="inlineStr">
        <is>
          <t>Secondary</t>
        </is>
      </c>
      <c r="AF95" s="20" t="n">
        <v>4</v>
      </c>
      <c r="AG95" s="19" t="inlineStr">
        <is>
          <t>Romance subordinate to another genre</t>
        </is>
      </c>
      <c r="AH95" s="5" t="inlineStr">
        <is>
          <t>₹42–42.5 million</t>
        </is>
      </c>
      <c r="AI95" s="21" t="n">
        <v>4.25</v>
      </c>
      <c r="AJ95" s="21" t="n">
        <v>8.5</v>
      </c>
      <c r="AK95" s="5" t="n"/>
      <c r="AL95" s="5" t="n"/>
      <c r="AM95" s="5" t="inlineStr">
        <is>
          <t>INR crore</t>
        </is>
      </c>
      <c r="AN95" s="5" t="inlineStr">
        <is>
          <t>Below Average</t>
        </is>
      </c>
      <c r="AO95" s="20" t="n">
        <v>5</v>
      </c>
      <c r="AP95" s="19" t="inlineStr">
        <is>
          <t>The film grossed about Rs 12.5 crore in its theatrical run but, on the Shashi Kapoor article's account, ended as no better than an average grosser because of its very high costs.</t>
        </is>
      </c>
      <c r="AQ95" s="19" t="inlineStr">
        <is>
          <t>A Salim-Javed script for Ramesh Sippy following Sholay, and one of the most expensive Hindi productions of its time. Won Best Cinematography (S. M. Anwar) at the 28th Filmfare Awards, with R. D. Burman nominated for Best Music Director.</t>
        </is>
      </c>
      <c r="AR95" s="5" t="inlineStr">
        <is>
          <t>SOURCE-001; SOURCE-078; SOURCE-128; SOURCE-348</t>
        </is>
      </c>
      <c r="AS95" s="5" t="inlineStr">
        <is>
          <t>Medium</t>
        </is>
      </c>
      <c r="AT95" s="5" t="inlineStr">
        <is>
          <t>Infobox gross '₹85-125 million' has no nett/gross label and is not entered. The gross of Rs 12.5 crore is the film article's lifetime theatrical figure, which it does not label nett or gross beyond the word grossed; the verdict of average follows the biographical article's account of the film's costs rather than the revenue alone. Box Office India's archived 1980 annual table gives nett Rs 4.25 crore, India gross Rs 8.5 crore, verdict "Below Average" and annual rank 5. This supersedes the verdict "Average" taken from the film article, which is kept here per the rule that the trade figure goes in the column and the encyclopedia claim into notes. The film article's lifetime theatrical gross of Rs 12.5 crore is superseded by the trade gross and kept here.</t>
        </is>
      </c>
    </row>
    <row r="96" ht="94" customHeight="1">
      <c r="A96" s="15" t="inlineStr">
        <is>
          <t>FILM-095</t>
        </is>
      </c>
      <c r="B96" s="5" t="inlineStr">
        <is>
          <t>Baseraa</t>
        </is>
      </c>
      <c r="C96" s="5" t="inlineStr">
        <is>
          <t>1981</t>
        </is>
      </c>
      <c r="D96" s="17" t="n">
        <v>1981</v>
      </c>
      <c r="E96" s="5" t="inlineStr">
        <is>
          <t>1980s</t>
        </is>
      </c>
      <c r="F96" s="5" t="inlineStr">
        <is>
          <t>Hindi</t>
        </is>
      </c>
      <c r="G96" s="5" t="inlineStr">
        <is>
          <t>Family drama</t>
        </is>
      </c>
      <c r="H96" s="5" t="inlineStr">
        <is>
          <t>Melodrama</t>
        </is>
      </c>
      <c r="I96" s="17" t="n">
        <v>14</v>
      </c>
      <c r="J96" s="5" t="inlineStr">
        <is>
          <t>Ramesh Talwar</t>
        </is>
      </c>
      <c r="K96" s="5" t="inlineStr">
        <is>
          <t>Ramesh Behl</t>
        </is>
      </c>
      <c r="L96" s="5" t="n"/>
      <c r="M96" s="5" t="inlineStr">
        <is>
          <t>Gulzar; Leela Phansalkar; G. R. Kamat</t>
        </is>
      </c>
      <c r="N96" s="5" t="inlineStr">
        <is>
          <t>Based on a Marathi novel by Leela Phansalkar.</t>
        </is>
      </c>
      <c r="O96" s="5" t="inlineStr">
        <is>
          <t>R. D. Burman</t>
        </is>
      </c>
      <c r="P96" s="5" t="n"/>
      <c r="Q96" s="5" t="inlineStr">
        <is>
          <t>Gulzar</t>
        </is>
      </c>
      <c r="R96" s="5" t="inlineStr">
        <is>
          <t>Balraj Kohli</t>
        </is>
      </c>
      <c r="S96" s="5" t="n"/>
      <c r="T96" s="5" t="inlineStr">
        <is>
          <t>Lead</t>
        </is>
      </c>
      <c r="U96" s="20" t="n">
        <v>1</v>
      </c>
      <c r="V96" s="5" t="inlineStr">
        <is>
          <t>Not stated; a prosperous householder in Pune</t>
        </is>
      </c>
      <c r="W96" s="5" t="inlineStr">
        <is>
          <t>Wealthy neighbourhood; married successively to two sisters</t>
        </is>
      </c>
      <c r="X96" s="19" t="inlineStr">
        <is>
          <t>Balraj is married to Purnima and has two sons, one from each of two marriages to two sisters. His first wife Sharada, Purnima's elder sister, has lain in a mental institution for fourteen years since a fall, and when a blow to the head restores her, the household must be reassembled to look as it did before, with Purnima dressed as a widow and her own child sent away, so that Sharada is not told what has happened in her absence.</t>
        </is>
      </c>
      <c r="Y96" s="19" t="inlineStr">
        <is>
          <t>To protect both women, which requires deceiving one of them.</t>
        </is>
      </c>
      <c r="Z96" s="19" t="inlineStr">
        <is>
          <t>Two living wives who are sisters, and a recovery that makes the second marriage unspeakable.</t>
        </is>
      </c>
      <c r="AA96" s="19" t="inlineStr">
        <is>
          <t>From a settled husband to a man maintaining an elaborate fiction in his own house, and then forced to send his first wife back.</t>
        </is>
      </c>
      <c r="AB96" s="19" t="inlineStr">
        <is>
          <t>Good, in an impossible position</t>
        </is>
      </c>
      <c r="AC96" s="5" t="inlineStr">
        <is>
          <t>Obliged to return Sharada to the institution when the truth comes out.</t>
        </is>
      </c>
      <c r="AD96" s="5" t="inlineStr">
        <is>
          <t>Raakhee; Rekha</t>
        </is>
      </c>
      <c r="AE96" s="5" t="inlineStr">
        <is>
          <t>Central</t>
        </is>
      </c>
      <c r="AF96" s="20" t="n">
        <v>10</v>
      </c>
      <c r="AG96" s="19" t="inlineStr">
        <is>
          <t>Multiple romantic relationships</t>
        </is>
      </c>
      <c r="AH96" s="5" t="n"/>
      <c r="AI96" s="5" t="n"/>
      <c r="AJ96" s="5" t="n"/>
      <c r="AK96" s="5" t="n"/>
      <c r="AL96" s="5" t="n"/>
      <c r="AM96" s="5" t="n"/>
      <c r="AN96" s="5" t="inlineStr">
        <is>
          <t>Not documented</t>
        </is>
      </c>
      <c r="AO96" s="18" t="n"/>
      <c r="AP96" s="19" t="inlineStr">
        <is>
          <t>No contemporary review was located. The film received five nominations at the 29th Filmfare Awards, including Best Film, Best Director and Best Actress for Raakhee.</t>
        </is>
      </c>
      <c r="AQ96" s="19" t="n"/>
      <c r="AR96" s="5" t="inlineStr">
        <is>
          <t>SOURCE-001; SOURCE-083</t>
        </is>
      </c>
      <c r="AS96" s="5" t="inlineStr">
        <is>
          <t>Medium</t>
        </is>
      </c>
      <c r="AT96" s="5" t="inlineStr">
        <is>
          <t>Two Romances rows are created, for Sharada and for Purnima, because the film's entire subject is a man married in turn to two sisters and the impossibility of holding both marriages in the same house. Sarita, who discovers that Sharada is feigning madness in order to leave, is played by Poonam Dhillon.</t>
        </is>
      </c>
    </row>
    <row r="97" ht="139" customHeight="1">
      <c r="A97" s="15" t="inlineStr">
        <is>
          <t>FILM-096</t>
        </is>
      </c>
      <c r="B97" s="5" t="inlineStr">
        <is>
          <t>Ek Aur Ek Gyaarah</t>
        </is>
      </c>
      <c r="C97" s="5" t="inlineStr">
        <is>
          <t>1981</t>
        </is>
      </c>
      <c r="D97" s="17" t="n">
        <v>1981</v>
      </c>
      <c r="E97" s="5" t="inlineStr">
        <is>
          <t>1980s</t>
        </is>
      </c>
      <c r="F97" s="5" t="n"/>
      <c r="G97" s="5" t="inlineStr">
        <is>
          <t>Drama</t>
        </is>
      </c>
      <c r="H97" s="5" t="n"/>
      <c r="I97" s="18" t="n"/>
      <c r="J97" s="5" t="n"/>
      <c r="K97" s="5" t="n"/>
      <c r="L97" s="5" t="n"/>
      <c r="M97" s="5" t="n"/>
      <c r="N97" s="5" t="n"/>
      <c r="O97" s="5" t="n"/>
      <c r="P97" s="5" t="n"/>
      <c r="Q97" s="5" t="n"/>
      <c r="R97" s="5" t="inlineStr">
        <is>
          <t>Anand</t>
        </is>
      </c>
      <c r="S97" s="5" t="n"/>
      <c r="T97" s="5" t="n"/>
      <c r="U97" s="18" t="n"/>
      <c r="V97" s="5" t="n"/>
      <c r="W97" s="5" t="n"/>
      <c r="X97" s="19" t="inlineStr">
        <is>
          <t>No Wikipedia film article exists: the filmography links this title to the biography of Vinod Khanna rather than to a film article. Only the character name Anand, taken from the filmography, is documented; the size of the part, the cast opposite him and the film's reception are all unrecorded.</t>
        </is>
      </c>
      <c r="Y97" s="19" t="n"/>
      <c r="Z97" s="19" t="n"/>
      <c r="AA97" s="19" t="n"/>
      <c r="AB97" s="19" t="n"/>
      <c r="AC97" s="5" t="n"/>
      <c r="AD97" s="5" t="n"/>
      <c r="AE97" s="5" t="n"/>
      <c r="AF97" s="18" t="n"/>
      <c r="AG97" s="19" t="n"/>
      <c r="AH97" s="5" t="n"/>
      <c r="AI97" s="5" t="n"/>
      <c r="AJ97" s="5" t="n"/>
      <c r="AK97" s="5" t="n"/>
      <c r="AL97" s="5" t="n"/>
      <c r="AM97" s="5" t="n"/>
      <c r="AN97" s="5" t="n"/>
      <c r="AO97" s="18" t="n"/>
      <c r="AP97" s="19" t="n"/>
      <c r="AQ97" s="19" t="n"/>
      <c r="AR97" s="5" t="inlineStr">
        <is>
          <t>SOURCE-001</t>
        </is>
      </c>
      <c r="AS97" s="5" t="inlineStr">
        <is>
          <t>Unknown</t>
        </is>
      </c>
      <c r="AT97" s="5" t="inlineStr">
        <is>
          <t>No Wikipedia film article; fields come from the filmography table. The filmography table links this title to the biography of Vinod Khanna rather than to a film article, which is an error on Wikipedia's side. The 2003 David Dhawan film Ek Aur Ek Gyarah is a different film. The biographical article is silent on this title and no film article exists, so role type, narrative fields and romance fields are left blank rather than inferred.</t>
        </is>
      </c>
    </row>
    <row r="98" ht="184" customHeight="1">
      <c r="A98" s="15" t="inlineStr">
        <is>
          <t>FILM-097</t>
        </is>
      </c>
      <c r="B98" s="5" t="inlineStr">
        <is>
          <t>Kranti</t>
        </is>
      </c>
      <c r="C98" s="16" t="n">
        <v>29623</v>
      </c>
      <c r="D98" s="17" t="n">
        <v>1981</v>
      </c>
      <c r="E98" s="5" t="inlineStr">
        <is>
          <t>1980s</t>
        </is>
      </c>
      <c r="F98" s="5" t="inlineStr">
        <is>
          <t>Hindi</t>
        </is>
      </c>
      <c r="G98" s="5" t="inlineStr">
        <is>
          <t>Historical drama</t>
        </is>
      </c>
      <c r="H98" s="5" t="inlineStr">
        <is>
          <t>Action</t>
        </is>
      </c>
      <c r="I98" s="17" t="n">
        <v>179</v>
      </c>
      <c r="J98" s="5" t="inlineStr">
        <is>
          <t>Manoj Kumar</t>
        </is>
      </c>
      <c r="K98" s="5" t="inlineStr">
        <is>
          <t>Manoj Kumar</t>
        </is>
      </c>
      <c r="L98" s="5" t="n"/>
      <c r="M98" s="5" t="inlineStr">
        <is>
          <t>Salim–Javed; Manoj Kumar</t>
        </is>
      </c>
      <c r="N98" s="5" t="n"/>
      <c r="O98" s="5" t="inlineStr">
        <is>
          <t>Laxmikant–Pyarelal</t>
        </is>
      </c>
      <c r="P98" s="5" t="n"/>
      <c r="Q98" s="5" t="inlineStr">
        <is>
          <t>Manoj Kumar; Santosh Anand</t>
        </is>
      </c>
      <c r="R98" s="5" t="inlineStr">
        <is>
          <t>Shakti</t>
        </is>
      </c>
      <c r="S98" s="5" t="n"/>
      <c r="T98" s="5" t="inlineStr">
        <is>
          <t>Ensemble lead</t>
        </is>
      </c>
      <c r="U98" s="20" t="n">
        <v>3</v>
      </c>
      <c r="V98" s="5" t="inlineStr">
        <is>
          <t>Freedom fighter</t>
        </is>
      </c>
      <c r="W98" s="5" t="inlineStr">
        <is>
          <t>Among the revolutionaries fighting the British between 1825 and 1875</t>
        </is>
      </c>
      <c r="X98" s="19" t="inlineStr">
        <is>
          <t>Shakti is one of the leaders of the rebellion in an ensemble epic about the fight against British rule, built around Sanga, wrongly condemned for the killing of his own Raja, and Bharat, known as Kranti. The article's synopsis follows Sanga and Bharat and does not separate out Shakti's part, so the character's own arc is not documented.</t>
        </is>
      </c>
      <c r="Y98" s="19" t="inlineStr">
        <is>
          <t>To drive the British out of India.</t>
        </is>
      </c>
      <c r="Z98" s="19" t="inlineStr">
        <is>
          <t>The colonial administration and the Indian rulers who accommodate it.</t>
        </is>
      </c>
      <c r="AA98" s="19" t="n"/>
      <c r="AB98" s="19" t="inlineStr">
        <is>
          <t>Heroic</t>
        </is>
      </c>
      <c r="AC98" s="5" t="inlineStr">
        <is>
          <t>Not separately documented by the article's synopsis.</t>
        </is>
      </c>
      <c r="AD98" s="5" t="inlineStr">
        <is>
          <t>Hema Malini; Parveen Babi</t>
        </is>
      </c>
      <c r="AE98" s="5" t="n"/>
      <c r="AF98" s="18" t="n"/>
      <c r="AG98" s="19" t="n"/>
      <c r="AH98" s="5" t="n"/>
      <c r="AI98" s="21" t="n">
        <v>10</v>
      </c>
      <c r="AJ98" s="21" t="n">
        <v>20</v>
      </c>
      <c r="AK98" s="5" t="n"/>
      <c r="AL98" s="5" t="n"/>
      <c r="AM98" s="5" t="inlineStr">
        <is>
          <t>INR crore</t>
        </is>
      </c>
      <c r="AN98" s="5" t="inlineStr">
        <is>
          <t>Blockbuster</t>
        </is>
      </c>
      <c r="AO98" s="20" t="n">
        <v>1</v>
      </c>
      <c r="AP98" s="19" t="inlineStr">
        <is>
          <t>A very large commercial success. The Shashi Kapoor article calls it the biggest patriotic hit of its time, topping the 1981 box office and emerging an all-time blockbuster.</t>
        </is>
      </c>
      <c r="AQ98" s="19" t="inlineStr">
        <is>
          <t>A Salim-Javed script, produced, edited and directed by Manoj Kumar, with Dilip Kumar returning to the screen in the central role. Its songs, among them 'Zindagi Ki Na Toote Ladi' and 'Chana Jor Garam', were widely popular.</t>
        </is>
      </c>
      <c r="AR98" s="5" t="inlineStr">
        <is>
          <t>SOURCE-001; SOURCE-079; SOURCE-128; SOURCE-349</t>
        </is>
      </c>
      <c r="AS98" s="5" t="inlineStr">
        <is>
          <t>Medium</t>
        </is>
      </c>
      <c r="AT98" s="5" t="inlineStr">
        <is>
          <t>The article's synopsis follows Sanga and Bharat only and never names Shakti, and it assigns neither Hema Malini's Rajkumari Meenakshi nor Parveen Babi's Sureeli to him, so romance presence is left blank and no Romances row is created rather than inferring a pairing from billing. Box Office India's archived 1981 annual table gives nett Rs 10.0 crore, India gross Rs 20.0 crore, verdict "Blockbuster" and annual rank 1. This supersedes the verdict "All-time blockbuster" taken from the film article, which is kept here per the rule that the trade figure goes in the column and the encyclopedia claim into notes.</t>
        </is>
      </c>
    </row>
    <row r="99" ht="154" customHeight="1">
      <c r="A99" s="15" t="inlineStr">
        <is>
          <t>FILM-098</t>
        </is>
      </c>
      <c r="B99" s="5" t="inlineStr">
        <is>
          <t>Krodhi</t>
        </is>
      </c>
      <c r="C99" s="16" t="n">
        <v>29637</v>
      </c>
      <c r="D99" s="17" t="n">
        <v>1981</v>
      </c>
      <c r="E99" s="5" t="inlineStr">
        <is>
          <t>1980s</t>
        </is>
      </c>
      <c r="F99" s="5" t="inlineStr">
        <is>
          <t>Hindi</t>
        </is>
      </c>
      <c r="G99" s="5" t="inlineStr">
        <is>
          <t>Action drama</t>
        </is>
      </c>
      <c r="H99" s="5" t="inlineStr">
        <is>
          <t>Crime</t>
        </is>
      </c>
      <c r="I99" s="17" t="n">
        <v>157</v>
      </c>
      <c r="J99" s="5" t="inlineStr">
        <is>
          <t>Subhash Ghai</t>
        </is>
      </c>
      <c r="K99" s="5" t="inlineStr">
        <is>
          <t>Ranjit Virk</t>
        </is>
      </c>
      <c r="L99" s="5" t="inlineStr">
        <is>
          <t>Ranjit Films</t>
        </is>
      </c>
      <c r="M99" s="5" t="inlineStr">
        <is>
          <t>Subhash Ghai; Nabendu Ghosh</t>
        </is>
      </c>
      <c r="N99" s="5" t="n"/>
      <c r="O99" s="5" t="inlineStr">
        <is>
          <t>Laxmikant–Pyarelal</t>
        </is>
      </c>
      <c r="P99" s="5" t="inlineStr">
        <is>
          <t>Kalyanji–Anandji</t>
        </is>
      </c>
      <c r="Q99" s="5" t="inlineStr">
        <is>
          <t>Anand Bakshi</t>
        </is>
      </c>
      <c r="R99" s="5" t="inlineStr">
        <is>
          <t>CBI Officer Kumar Sahni</t>
        </is>
      </c>
      <c r="S99" s="5" t="n"/>
      <c r="T99" s="5" t="inlineStr">
        <is>
          <t>Supporting</t>
        </is>
      </c>
      <c r="U99" s="20" t="n">
        <v>2</v>
      </c>
      <c r="V99" s="5" t="inlineStr">
        <is>
          <t>CBI officer</t>
        </is>
      </c>
      <c r="W99" s="5" t="inlineStr">
        <is>
          <t>Settled professional family; married to a woman with a past among criminals</t>
        </is>
      </c>
      <c r="X99" s="19" t="inlineStr">
        <is>
          <t>Kumar Sahni is the CBI officer whose marriage to Neera, one of the underworld don Vicky's associates, changes the direction of the hunt for him. Years after Vicky is presumed dead in a helicopter crash, Neera visits her in-laws' town and finds that the saintly healer she is introduced to is Vicky himself, which puts her at the centre of whether he runs again or kills the only witness.</t>
        </is>
      </c>
      <c r="Y99" s="19" t="inlineStr">
        <is>
          <t>To bring Vicky in, and to protect the wife who knew him.</t>
        </is>
      </c>
      <c r="Z99" s="19" t="inlineStr">
        <is>
          <t>A wife whose former life is the case he is working.</t>
        </is>
      </c>
      <c r="AA99" s="19" t="inlineStr">
        <is>
          <t>Not separately traced by the article's summary, which follows Vicky throughout.</t>
        </is>
      </c>
      <c r="AB99" s="19" t="inlineStr">
        <is>
          <t>Good</t>
        </is>
      </c>
      <c r="AC99" s="5" t="inlineStr">
        <is>
          <t>Not documented; the summary ends on Vicky's decision.</t>
        </is>
      </c>
      <c r="AD99" s="5" t="inlineStr">
        <is>
          <t>Zeenat Aman</t>
        </is>
      </c>
      <c r="AE99" s="5" t="inlineStr">
        <is>
          <t>Secondary</t>
        </is>
      </c>
      <c r="AF99" s="20" t="n">
        <v>6</v>
      </c>
      <c r="AG99" s="19" t="inlineStr">
        <is>
          <t>Romance subordinate to another genre</t>
        </is>
      </c>
      <c r="AH99" s="5" t="n"/>
      <c r="AI99" s="21" t="n">
        <v>2.5</v>
      </c>
      <c r="AJ99" s="21" t="n">
        <v>5</v>
      </c>
      <c r="AK99" s="5" t="n"/>
      <c r="AL99" s="5" t="n"/>
      <c r="AM99" s="5" t="inlineStr">
        <is>
          <t>INR crore</t>
        </is>
      </c>
      <c r="AN99" s="5" t="inlineStr">
        <is>
          <t>Flop</t>
        </is>
      </c>
      <c r="AO99" s="20" t="n">
        <v>11</v>
      </c>
      <c r="AP99" s="19" t="inlineStr">
        <is>
          <t>No contemporary review was located in the sources consulted.</t>
        </is>
      </c>
      <c r="AQ99" s="19" t="n"/>
      <c r="AR99" s="5" t="inlineStr">
        <is>
          <t>SOURCE-001; SOURCE-080; SOURCE-349</t>
        </is>
      </c>
      <c r="AS99" s="5" t="inlineStr">
        <is>
          <t>Low</t>
        </is>
      </c>
      <c r="AT99" s="5" t="inlineStr">
        <is>
          <t>The film belongs to Dharmendra's Vicky, whose backstory drives it; Kapoor's officer is the husband whose marriage connects the police to the don. An early Subhash Ghai film, made two years after Gautam Govinda. Box Office India's archived 1981 annual table gives nett Rs 2.5 crore, India gross Rs 5.0 crore, verdict "Flop" and annual rank 11. This supersedes the verdict "Not documented" taken from the film article, which is kept here per the rule that the trade figure goes in the column and the encyclopedia claim into notes.</t>
        </is>
      </c>
    </row>
    <row r="100" ht="169" customHeight="1">
      <c r="A100" s="15" t="inlineStr">
        <is>
          <t>FILM-099</t>
        </is>
      </c>
      <c r="B100" s="5" t="inlineStr">
        <is>
          <t>Maan Gaye Ustaad</t>
        </is>
      </c>
      <c r="C100" s="16" t="n">
        <v>29755</v>
      </c>
      <c r="D100" s="17" t="n">
        <v>1981</v>
      </c>
      <c r="E100" s="5" t="inlineStr">
        <is>
          <t>1980s</t>
        </is>
      </c>
      <c r="F100" s="5" t="inlineStr">
        <is>
          <t>Hindi</t>
        </is>
      </c>
      <c r="G100" s="5" t="inlineStr">
        <is>
          <t>Action comedy</t>
        </is>
      </c>
      <c r="H100" s="5" t="n"/>
      <c r="I100" s="18" t="n"/>
      <c r="J100" s="5" t="inlineStr">
        <is>
          <t>Shibu Mitra</t>
        </is>
      </c>
      <c r="K100" s="5" t="inlineStr">
        <is>
          <t>S. K. Kapur</t>
        </is>
      </c>
      <c r="L100" s="5" t="inlineStr">
        <is>
          <t>Kapoor Films International</t>
        </is>
      </c>
      <c r="M100" s="5" t="n"/>
      <c r="N100" s="5" t="n"/>
      <c r="O100" s="5" t="inlineStr">
        <is>
          <t>Sonik Omi</t>
        </is>
      </c>
      <c r="P100" s="5" t="n"/>
      <c r="Q100" s="5" t="n"/>
      <c r="R100" s="5" t="inlineStr">
        <is>
          <t>Kishan</t>
        </is>
      </c>
      <c r="S100" s="5" t="inlineStr">
        <is>
          <t>Prince Daulat Singh</t>
        </is>
      </c>
      <c r="T100" s="5" t="inlineStr">
        <is>
          <t>Lead</t>
        </is>
      </c>
      <c r="U100" s="20" t="n">
        <v>1</v>
      </c>
      <c r="V100" s="5" t="inlineStr">
        <is>
          <t>A commoner, and a prince</t>
        </is>
      </c>
      <c r="W100" s="5" t="n"/>
      <c r="X100" s="19" t="inlineStr">
        <is>
          <t>A double role as Kishan and Prince Daulat Singh, opposite Hema Malini in a matching double role as Geeta Singh and Princess Shabnam. The article carries a cast list and a soundtrack section but no plot, so the swap or resemblance the paired double roles imply is not documented.</t>
        </is>
      </c>
      <c r="Y100" s="19" t="n"/>
      <c r="Z100" s="19" t="n"/>
      <c r="AA100" s="19" t="n"/>
      <c r="AB100" s="19" t="n"/>
      <c r="AC100" s="5" t="n"/>
      <c r="AD100" s="5" t="inlineStr">
        <is>
          <t>Hema Malini</t>
        </is>
      </c>
      <c r="AE100" s="5" t="n"/>
      <c r="AF100" s="18" t="n"/>
      <c r="AG100" s="19" t="n"/>
      <c r="AH100" s="5" t="n"/>
      <c r="AI100" s="21" t="n">
        <v>1.65</v>
      </c>
      <c r="AJ100" s="21" t="n">
        <v>3.3</v>
      </c>
      <c r="AK100" s="5" t="n"/>
      <c r="AL100" s="5" t="n"/>
      <c r="AM100" s="5" t="inlineStr">
        <is>
          <t>INR crore</t>
        </is>
      </c>
      <c r="AN100" s="5" t="inlineStr">
        <is>
          <t>Average</t>
        </is>
      </c>
      <c r="AO100" s="20" t="n">
        <v>20</v>
      </c>
      <c r="AP100" s="19" t="inlineStr">
        <is>
          <t>No contemporary review was located; the Shashi Kapoor article records a moderate success in 1981.</t>
        </is>
      </c>
      <c r="AQ100" s="19" t="n"/>
      <c r="AR100" s="5" t="inlineStr">
        <is>
          <t>SOURCE-001; SOURCE-084; SOURCE-128; SOURCE-349</t>
        </is>
      </c>
      <c r="AS100" s="5" t="inlineStr">
        <is>
          <t>Low</t>
        </is>
      </c>
      <c r="AT100" s="5" t="inlineStr">
        <is>
          <t>Both leads carry two names each, a commoner and a royal, which points to a swapped-identity plot, but the article has no plot section and no source consulted confirms it, so romance presence and the narrative fields are left blank and no Romances row is created. Box Office India's archived 1981 annual table gives nett Rs 1.65 crore, India gross Rs 3.3 crore, verdict "Average" and annual rank 20. This supersedes the verdict "Moderate success" taken from the film article, which is kept here per the rule that the trade figure goes in the column and the encyclopedia claim into notes.</t>
        </is>
      </c>
    </row>
    <row r="101" ht="109" customHeight="1">
      <c r="A101" s="15" t="inlineStr">
        <is>
          <t>FILM-100</t>
        </is>
      </c>
      <c r="B101" s="5" t="inlineStr">
        <is>
          <t>Kalyug</t>
        </is>
      </c>
      <c r="C101" s="16" t="n">
        <v>29791</v>
      </c>
      <c r="D101" s="17" t="n">
        <v>1981</v>
      </c>
      <c r="E101" s="5" t="inlineStr">
        <is>
          <t>1980s</t>
        </is>
      </c>
      <c r="F101" s="5" t="inlineStr">
        <is>
          <t>Hindi</t>
        </is>
      </c>
      <c r="G101" s="5" t="inlineStr">
        <is>
          <t>Crime drama</t>
        </is>
      </c>
      <c r="H101" s="5" t="inlineStr">
        <is>
          <t>Family saga</t>
        </is>
      </c>
      <c r="I101" s="17" t="n">
        <v>152</v>
      </c>
      <c r="J101" s="5" t="inlineStr">
        <is>
          <t>Shyam Benegal</t>
        </is>
      </c>
      <c r="K101" s="5" t="inlineStr">
        <is>
          <t>Shashi Kapoor</t>
        </is>
      </c>
      <c r="L101" s="5" t="n"/>
      <c r="M101" s="5" t="inlineStr">
        <is>
          <t>Shyam Benegal; Satyadev Dubey; Girish Karnad</t>
        </is>
      </c>
      <c r="N101" s="5" t="inlineStr">
        <is>
          <t>A modern-day adaptation of the Mahabharata, with the characters mapped onto two rival industrial families.</t>
        </is>
      </c>
      <c r="O101" s="5" t="inlineStr">
        <is>
          <t>Vanraj Bhatia</t>
        </is>
      </c>
      <c r="P101" s="5" t="n"/>
      <c r="Q101" s="5" t="n"/>
      <c r="R101" s="5" t="inlineStr">
        <is>
          <t>Karan Singh</t>
        </is>
      </c>
      <c r="S101" s="5" t="n"/>
      <c r="T101" s="5" t="inlineStr">
        <is>
          <t>Lead</t>
        </is>
      </c>
      <c r="U101" s="20" t="n">
        <v>1</v>
      </c>
      <c r="V101" s="5" t="inlineStr">
        <is>
          <t>Executive in a family industrial group</t>
        </is>
      </c>
      <c r="W101" s="5" t="inlineStr">
        <is>
          <t>An orphan raised by the patriarch Bhishamchand, outside the bloodline of either warring branch</t>
        </is>
      </c>
      <c r="X101" s="19" t="inlineStr">
        <is>
          <t>Karan is the orphan brought up by Bhishamchand and placed, as the Karna of the film's Mahabharata scheme, on one side of a feud between two branches of an industrial family. As the rivalry escalates from business sabotage to the accidental killing of a child, he is murdered by Bharatraj in reprisal, one of the deaths that finishes both houses.</t>
        </is>
      </c>
      <c r="Y101" s="19" t="inlineStr">
        <is>
          <t>Loyalty to the branch that took him in, against a family that never counted him as kin.</t>
        </is>
      </c>
      <c r="Z101" s="19" t="inlineStr">
        <is>
          <t>A feud he inherits without belonging to either side of it.</t>
        </is>
      </c>
      <c r="AA101" s="19" t="inlineStr">
        <is>
          <t>From the outsider raised on charity to the reprisal killing that brings the war to its end.</t>
        </is>
      </c>
      <c r="AB101" s="19" t="inlineStr">
        <is>
          <t>Loyal, inside a corrupt structure</t>
        </is>
      </c>
      <c r="AC101" s="5" t="inlineStr">
        <is>
          <t>Murdered by Bharatraj in revenge for a child's death.</t>
        </is>
      </c>
      <c r="AD101" s="5" t="inlineStr">
        <is>
          <t>Rekha</t>
        </is>
      </c>
      <c r="AE101" s="5" t="inlineStr">
        <is>
          <t>Minor</t>
        </is>
      </c>
      <c r="AF101" s="20" t="n">
        <v>3</v>
      </c>
      <c r="AG101" s="19" t="inlineStr">
        <is>
          <t>Romance subordinate to another genre</t>
        </is>
      </c>
      <c r="AH101" s="5" t="n"/>
      <c r="AI101" s="5" t="n"/>
      <c r="AJ101" s="5" t="n"/>
      <c r="AK101" s="5" t="n"/>
      <c r="AL101" s="5" t="n"/>
      <c r="AM101" s="5" t="n"/>
      <c r="AN101" s="5" t="inlineStr">
        <is>
          <t>Not documented</t>
        </is>
      </c>
      <c r="AO101" s="18" t="n"/>
      <c r="AP101" s="19" t="inlineStr">
        <is>
          <t>Strongly reviewed. Madhu Trehan in India Today called it different from ordinary film-going expectations and worth seeing twice; Anil Dharker in the International Film Guide called it ambitious and the most complex of Benegal's films to that point, praising Govind Nihalani's lighting and singling out virtuoso performances from Victor Banerjee and Kapoor.</t>
        </is>
      </c>
      <c r="AQ101" s="19" t="inlineStr">
        <is>
          <t>Won Best Film at the 29th Filmfare Awards, the award going to Kapoor as producer, along with Best Supporting Actress for Supriya Pathak and Best Sound Design, with nominations for Benegal as director and for the story.</t>
        </is>
      </c>
      <c r="AR101" s="5" t="inlineStr">
        <is>
          <t>SOURCE-001; SOURCE-081</t>
        </is>
      </c>
      <c r="AS101" s="5" t="inlineStr">
        <is>
          <t>Medium</t>
        </is>
      </c>
      <c r="AT101" s="5" t="inlineStr">
        <is>
          <t>The second film Kapoor produced under Film-Valas after Junoon, and his second Filmfare Best Film as producer. Rekha plays Supriya, the Draupadi figure and wife of Dharamraj; the article's plot does not describe any relationship between her and Karan, so no Romances row is created despite the Mahabharata parallel.</t>
        </is>
      </c>
    </row>
    <row r="102" ht="124" customHeight="1">
      <c r="A102" s="15" t="inlineStr">
        <is>
          <t>FILM-101</t>
        </is>
      </c>
      <c r="B102" s="5" t="inlineStr">
        <is>
          <t>Silsila</t>
        </is>
      </c>
      <c r="C102" s="16" t="n">
        <v>29812</v>
      </c>
      <c r="D102" s="17" t="n">
        <v>1981</v>
      </c>
      <c r="E102" s="5" t="inlineStr">
        <is>
          <t>1980s</t>
        </is>
      </c>
      <c r="F102" s="5" t="inlineStr">
        <is>
          <t>Hindi</t>
        </is>
      </c>
      <c r="G102" s="5" t="inlineStr">
        <is>
          <t>Musical romantic drama</t>
        </is>
      </c>
      <c r="H102" s="5" t="n"/>
      <c r="I102" s="17" t="n">
        <v>180</v>
      </c>
      <c r="J102" s="5" t="inlineStr">
        <is>
          <t>Yash Chopra</t>
        </is>
      </c>
      <c r="K102" s="5" t="inlineStr">
        <is>
          <t>Yash Chopra</t>
        </is>
      </c>
      <c r="L102" s="5" t="inlineStr">
        <is>
          <t>Yash Raj Films</t>
        </is>
      </c>
      <c r="M102" s="5" t="inlineStr">
        <is>
          <t>Preeti Bedi; Yash Chopra; Sagar Sarhadi</t>
        </is>
      </c>
      <c r="N102" s="5" t="n"/>
      <c r="O102" s="5" t="inlineStr">
        <is>
          <t>Shiv–Hari</t>
        </is>
      </c>
      <c r="P102" s="5" t="n"/>
      <c r="Q102" s="5" t="inlineStr">
        <is>
          <t>Javed Akhtar; Rajendra Krishan; Harivansh Rai Bachchan; Hasan Kamal; Mirabai; Nida Fazli</t>
        </is>
      </c>
      <c r="R102" s="5" t="inlineStr">
        <is>
          <t>Sqn. Ldr. Shekhar Malhotra</t>
        </is>
      </c>
      <c r="S102" s="5" t="n"/>
      <c r="T102" s="5" t="inlineStr">
        <is>
          <t>Supporting</t>
        </is>
      </c>
      <c r="U102" s="20" t="n">
        <v>1</v>
      </c>
      <c r="V102" s="5" t="inlineStr">
        <is>
          <t>Squadron Leader in the Indian Air Force</t>
        </is>
      </c>
      <c r="W102" s="5" t="inlineStr">
        <is>
          <t>Orphaned young; raised alongside his younger brother Amit</t>
        </is>
      </c>
      <c r="X102" s="19" t="inlineStr">
        <is>
          <t>Shekhar is the elder of two orphaned brothers, a squadron leader engaged to Shobha and close to his playwright brother Amit. He is killed in the Indo-Pakistani War of 1971 before he can marry, leaving Shobha pregnant, and it is to shield her from disgrace that Amit gives up Chandni and marries her. Everything the film then examines proceeds from that death.</t>
        </is>
      </c>
      <c r="Y102" s="19" t="inlineStr">
        <is>
          <t>His service, his brother and his engagement to Shobha.</t>
        </is>
      </c>
      <c r="Z102" s="19" t="inlineStr">
        <is>
          <t>None of his own; the part is the premise rather than the drama.</t>
        </is>
      </c>
      <c r="AA102" s="19" t="inlineStr">
        <is>
          <t>None; he dies in the first movement.</t>
        </is>
      </c>
      <c r="AB102" s="19" t="inlineStr">
        <is>
          <t>Good</t>
        </is>
      </c>
      <c r="AC102" s="5" t="inlineStr">
        <is>
          <t>Killed in the 1971 war.</t>
        </is>
      </c>
      <c r="AD102" s="5" t="inlineStr">
        <is>
          <t>Jaya Bachchan</t>
        </is>
      </c>
      <c r="AE102" s="5" t="inlineStr">
        <is>
          <t>Secondary</t>
        </is>
      </c>
      <c r="AF102" s="20" t="n">
        <v>9</v>
      </c>
      <c r="AG102" s="19" t="inlineStr">
        <is>
          <t>Tragic lovers</t>
        </is>
      </c>
      <c r="AH102" s="5" t="n"/>
      <c r="AI102" s="5" t="n"/>
      <c r="AJ102" s="5" t="n"/>
      <c r="AK102" s="5" t="n"/>
      <c r="AL102" s="5" t="n"/>
      <c r="AM102" s="5" t="n"/>
      <c r="AN102" s="5" t="inlineStr">
        <is>
          <t>Flop</t>
        </is>
      </c>
      <c r="AO102" s="18" t="n"/>
      <c r="AP102" s="19" t="inlineStr">
        <is>
          <t>The film failed commercially. Yash Chopra believed the audience's attention had gone to the controversy over its casting rather than to the film itself.</t>
        </is>
      </c>
      <c r="AQ102" s="19" t="inlineStr">
        <is>
          <t>Notorious for casting Amitabh Bachchan, Jaya Bachchan and Rekha in a story of adultery that the public read against their own reported circumstances; it has since become one of Yash Chopra's most discussed films.</t>
        </is>
      </c>
      <c r="AR102" s="5" t="inlineStr">
        <is>
          <t>SOURCE-001; SOURCE-082; SOURCE-128</t>
        </is>
      </c>
      <c r="AS102" s="5" t="inlineStr">
        <is>
          <t>Medium</t>
        </is>
      </c>
      <c r="AT102" s="5" t="inlineStr">
        <is>
          <t>Infobox gross '₹35 million' has no nett/gross label and is not entered. Kapoor is billed first in the article's cast list but the character dies early and the film belongs to Amit, Shobha and Chandni; the role is classified Supporting on narrative weight rather than billing. The centrality score refers to the film's romantic content, of which Shekhar's engagement is the precondition rather than the subject.</t>
        </is>
      </c>
    </row>
    <row r="103" ht="79" customHeight="1">
      <c r="A103" s="15" t="inlineStr">
        <is>
          <t>FILM-102</t>
        </is>
      </c>
      <c r="B103" s="5" t="inlineStr">
        <is>
          <t>Bezubaan</t>
        </is>
      </c>
      <c r="C103" s="5" t="inlineStr">
        <is>
          <t>1982</t>
        </is>
      </c>
      <c r="D103" s="17" t="n">
        <v>1982</v>
      </c>
      <c r="E103" s="5" t="inlineStr">
        <is>
          <t>1980s</t>
        </is>
      </c>
      <c r="F103" s="5" t="inlineStr">
        <is>
          <t>Hindi</t>
        </is>
      </c>
      <c r="G103" s="5" t="inlineStr">
        <is>
          <t>Drama</t>
        </is>
      </c>
      <c r="H103" s="5" t="inlineStr">
        <is>
          <t>Melodrama</t>
        </is>
      </c>
      <c r="I103" s="18" t="n"/>
      <c r="J103" s="5" t="inlineStr">
        <is>
          <t>Bapu</t>
        </is>
      </c>
      <c r="K103" s="5" t="inlineStr">
        <is>
          <t>Pranlal Mehta</t>
        </is>
      </c>
      <c r="L103" s="5" t="n"/>
      <c r="M103" s="5" t="inlineStr">
        <is>
          <t>Ved Rahi; Bhushan Banmali</t>
        </is>
      </c>
      <c r="N103" s="5" t="inlineStr">
        <is>
          <t>Remake of the Tamil film Mayangukiral Oru Maadhu.</t>
        </is>
      </c>
      <c r="O103" s="5" t="inlineStr">
        <is>
          <t>Raamlaxman</t>
        </is>
      </c>
      <c r="P103" s="5" t="n"/>
      <c r="Q103" s="5" t="n"/>
      <c r="R103" s="5" t="inlineStr">
        <is>
          <t>Kumar</t>
        </is>
      </c>
      <c r="S103" s="5" t="n"/>
      <c r="T103" s="5" t="inlineStr">
        <is>
          <t>Lead</t>
        </is>
      </c>
      <c r="U103" s="20" t="n">
        <v>1</v>
      </c>
      <c r="V103" s="5" t="inlineStr">
        <is>
          <t>Industrialist</t>
        </is>
      </c>
      <c r="W103" s="5" t="inlineStr">
        <is>
          <t>Wealthy</t>
        </is>
      </c>
      <c r="X103" s="19" t="inlineStr">
        <is>
          <t>Kumar is the rich industrialist who marries Kalpana without knowing that she has a past with Raman, a pregnancy, an attempted suicide and a set of photographs in the hands of a struggling photographer who is now blackmailing her. The marriage holds because she finally tells him everything herself.</t>
        </is>
      </c>
      <c r="Y103" s="19" t="inlineStr">
        <is>
          <t>His marriage.</t>
        </is>
      </c>
      <c r="Z103" s="19" t="inlineStr">
        <is>
          <t>A blackmailer working on his wife over a history she has not told him.</t>
        </is>
      </c>
      <c r="AA103" s="19" t="inlineStr">
        <is>
          <t>From an unknowing husband to one told the truth and choosing to stay.</t>
        </is>
      </c>
      <c r="AB103" s="19" t="inlineStr">
        <is>
          <t>Good</t>
        </is>
      </c>
      <c r="AC103" s="5" t="inlineStr">
        <is>
          <t>Kalpana reveals everything to him and Shivnath is left guilty.</t>
        </is>
      </c>
      <c r="AD103" s="5" t="inlineStr">
        <is>
          <t>Reena Roy</t>
        </is>
      </c>
      <c r="AE103" s="5" t="inlineStr">
        <is>
          <t>Central</t>
        </is>
      </c>
      <c r="AF103" s="20" t="n">
        <v>9</v>
      </c>
      <c r="AG103" s="19" t="inlineStr">
        <is>
          <t>Marriage under strain</t>
        </is>
      </c>
      <c r="AH103" s="5" t="n"/>
      <c r="AI103" s="5" t="n"/>
      <c r="AJ103" s="5" t="n"/>
      <c r="AK103" s="5" t="n"/>
      <c r="AL103" s="5" t="n"/>
      <c r="AM103" s="5" t="n"/>
      <c r="AN103" s="5" t="inlineStr">
        <is>
          <t>Hit</t>
        </is>
      </c>
      <c r="AO103" s="18" t="n"/>
      <c r="AP103" s="19" t="inlineStr">
        <is>
          <t>No contemporary review was located; the Shashi Kapoor article records Bezubaan as a hit and one of only two successes among his five 1982 releases.</t>
        </is>
      </c>
      <c r="AQ103" s="19" t="n"/>
      <c r="AR103" s="5" t="inlineStr">
        <is>
          <t>SOURCE-001; SOURCE-089; SOURCE-128</t>
        </is>
      </c>
      <c r="AS103" s="5" t="inlineStr">
        <is>
          <t>Medium</t>
        </is>
      </c>
      <c r="AT103" s="5" t="n"/>
    </row>
    <row r="104" ht="94" customHeight="1">
      <c r="A104" s="15" t="inlineStr">
        <is>
          <t>FILM-103</t>
        </is>
      </c>
      <c r="B104" s="5" t="inlineStr">
        <is>
          <t>Vijeta</t>
        </is>
      </c>
      <c r="C104" s="16" t="n">
        <v>30014</v>
      </c>
      <c r="D104" s="17" t="n">
        <v>1982</v>
      </c>
      <c r="E104" s="5" t="inlineStr">
        <is>
          <t>1980s</t>
        </is>
      </c>
      <c r="F104" s="5" t="inlineStr">
        <is>
          <t>Hindi</t>
        </is>
      </c>
      <c r="G104" s="5" t="inlineStr">
        <is>
          <t>Coming-of-age drama</t>
        </is>
      </c>
      <c r="H104" s="5" t="inlineStr">
        <is>
          <t>War drama</t>
        </is>
      </c>
      <c r="I104" s="17" t="n">
        <v>151</v>
      </c>
      <c r="J104" s="5" t="inlineStr">
        <is>
          <t>Govind Nihlani</t>
        </is>
      </c>
      <c r="K104" s="5" t="inlineStr">
        <is>
          <t>Shashi Kapoor</t>
        </is>
      </c>
      <c r="L104" s="5" t="n"/>
      <c r="M104" s="5" t="inlineStr">
        <is>
          <t>Dilip Chitre; Satyadev Dubey</t>
        </is>
      </c>
      <c r="N104" s="5" t="n"/>
      <c r="O104" s="5" t="inlineStr">
        <is>
          <t>Ajit Varman</t>
        </is>
      </c>
      <c r="P104" s="5" t="inlineStr">
        <is>
          <t>Ajit Varman</t>
        </is>
      </c>
      <c r="Q104" s="5" t="n"/>
      <c r="R104" s="5" t="inlineStr">
        <is>
          <t>Nihal Singh</t>
        </is>
      </c>
      <c r="S104" s="5" t="n"/>
      <c r="T104" s="5" t="inlineStr">
        <is>
          <t>Lead</t>
        </is>
      </c>
      <c r="U104" s="20" t="n">
        <v>1</v>
      </c>
      <c r="V104" s="5" t="inlineStr">
        <is>
          <t>Businessman; a clean-shaven Sikh married to a Maharashtrian Hindu</t>
        </is>
      </c>
      <c r="W104" s="5" t="inlineStr">
        <is>
          <t>Punjabi Sikh family in a mixed marriage under strain</t>
        </is>
      </c>
      <c r="X104" s="19" t="inlineStr">
        <is>
          <t>Nihal Singh is the father whose failing marriage to Neelima forms the domestic pressure his son Angad is trying to escape when he joins the Air Force. Kapoor produced the film and plays the strict parent rather than its protagonist; the arc belongs to the boy, and Nihal's function is the home Angad must separate from before he can become anything.</t>
        </is>
      </c>
      <c r="Y104" s="19" t="inlineStr">
        <is>
          <t>To hold his marriage and his son in place.</t>
        </is>
      </c>
      <c r="Z104" s="19" t="inlineStr">
        <is>
          <t>A marriage disintegrating in front of an adolescent son.</t>
        </is>
      </c>
      <c r="AA104" s="19" t="inlineStr">
        <is>
          <t>Secondary to Angad's; the father is the fixed difficulty the son grows out of.</t>
        </is>
      </c>
      <c r="AB104" s="19" t="inlineStr">
        <is>
          <t>Flawed but decent</t>
        </is>
      </c>
      <c r="AC104" s="5" t="inlineStr">
        <is>
          <t>Reconciled to his son's choice of the Air Force.</t>
        </is>
      </c>
      <c r="AD104" s="5" t="inlineStr">
        <is>
          <t>Rekha</t>
        </is>
      </c>
      <c r="AE104" s="5" t="inlineStr">
        <is>
          <t>Secondary</t>
        </is>
      </c>
      <c r="AF104" s="20" t="n">
        <v>6</v>
      </c>
      <c r="AG104" s="19" t="inlineStr">
        <is>
          <t>Marriage under strain</t>
        </is>
      </c>
      <c r="AH104" s="5" t="n"/>
      <c r="AI104" s="5" t="n"/>
      <c r="AJ104" s="5" t="n"/>
      <c r="AK104" s="5" t="n"/>
      <c r="AL104" s="5" t="n"/>
      <c r="AM104" s="5" t="n"/>
      <c r="AN104" s="5" t="inlineStr">
        <is>
          <t>Flop</t>
        </is>
      </c>
      <c r="AO104" s="18" t="n"/>
      <c r="AP104" s="19" t="inlineStr">
        <is>
          <t>A commercial failure that drew strong critical praise. Film World rated it good and called it perhaps the first film to show the Indian Air Force and its men in true colours; Asiaweek called it a tribute to the IAF in its golden jubilee year.</t>
        </is>
      </c>
      <c r="AQ104" s="19" t="inlineStr">
        <is>
          <t>Produced by Kapoor and directed by Govind Nihalani, with his son Kunal Kapoor in the lead. Won three awards at the 31st Filmfare Awards, for cinematography, sound design and editing. Notable for rare aerial footage of IAF aircraft, flown by No. 4 Squadron.</t>
        </is>
      </c>
      <c r="AR104" s="5" t="inlineStr">
        <is>
          <t>SOURCE-001; SOURCE-086; SOURCE-128</t>
        </is>
      </c>
      <c r="AS104" s="5" t="inlineStr">
        <is>
          <t>Medium</t>
        </is>
      </c>
      <c r="AT104" s="5" t="inlineStr">
        <is>
          <t>The third film Kapoor produced under Film-Valas, after Junoon and Kalyug, and the second to cast a member of his own family in a principal part.</t>
        </is>
      </c>
    </row>
    <row r="105" ht="79" customHeight="1">
      <c r="A105" s="15" t="inlineStr">
        <is>
          <t>FILM-104</t>
        </is>
      </c>
      <c r="B105" s="5" t="inlineStr">
        <is>
          <t>Vakil Babu</t>
        </is>
      </c>
      <c r="C105" s="16" t="n">
        <v>30050</v>
      </c>
      <c r="D105" s="17" t="n">
        <v>1982</v>
      </c>
      <c r="E105" s="5" t="inlineStr">
        <is>
          <t>1980s</t>
        </is>
      </c>
      <c r="F105" s="5" t="inlineStr">
        <is>
          <t>Hindi</t>
        </is>
      </c>
      <c r="G105" s="5" t="inlineStr">
        <is>
          <t>Courtroom drama</t>
        </is>
      </c>
      <c r="H105" s="5" t="inlineStr">
        <is>
          <t>Mystery</t>
        </is>
      </c>
      <c r="I105" s="18" t="n"/>
      <c r="J105" s="5" t="inlineStr">
        <is>
          <t>Asit Sen</t>
        </is>
      </c>
      <c r="K105" s="5" t="inlineStr">
        <is>
          <t>Jawahar Kapoor; P. K. Luthra</t>
        </is>
      </c>
      <c r="L105" s="5" t="n"/>
      <c r="M105" s="5" t="inlineStr">
        <is>
          <t>Inder Raj Anand</t>
        </is>
      </c>
      <c r="N105" s="5" t="n"/>
      <c r="O105" s="5" t="inlineStr">
        <is>
          <t>Laxmikant–Pyarelal</t>
        </is>
      </c>
      <c r="P105" s="5" t="n"/>
      <c r="Q105" s="5" t="n"/>
      <c r="R105" s="5" t="inlineStr">
        <is>
          <t>Shekhar</t>
        </is>
      </c>
      <c r="S105" s="5" t="n"/>
      <c r="T105" s="5" t="inlineStr">
        <is>
          <t>Co-lead</t>
        </is>
      </c>
      <c r="U105" s="20" t="n">
        <v>2</v>
      </c>
      <c r="V105" s="5" t="inlineStr">
        <is>
          <t>Sculptor</t>
        </is>
      </c>
      <c r="W105" s="5" t="inlineStr">
        <is>
          <t>Established artist; married</t>
        </is>
      </c>
      <c r="X105" s="19" t="inlineStr">
        <is>
          <t>Shekhar Kumar, a celebrated sculptor, is wrongly charged with the murder of Prem Oberoi, a man who had been pursuing his wife Kalpana. A judge appoints the unremarkable advocate Satyaprakash Mathur to defend him, and it is Mathur's investigation, not Shekhar's, that uncovers the steward who killed Prem over a fiancee and then killed her as a witness.</t>
        </is>
      </c>
      <c r="Y105" s="19" t="inlineStr">
        <is>
          <t>To be cleared of a killing he did not commit.</t>
        </is>
      </c>
      <c r="Z105" s="19" t="inlineStr">
        <is>
          <t>A charge that fits, given a dead man who wanted his wife.</t>
        </is>
      </c>
      <c r="AA105" s="19" t="inlineStr">
        <is>
          <t>Largely passive; the film is the lawyer's.</t>
        </is>
      </c>
      <c r="AB105" s="19" t="inlineStr">
        <is>
          <t>Good</t>
        </is>
      </c>
      <c r="AC105" s="5" t="inlineStr">
        <is>
          <t>Acquitted of all charges.</t>
        </is>
      </c>
      <c r="AD105" s="5" t="inlineStr">
        <is>
          <t>Zeenat Aman</t>
        </is>
      </c>
      <c r="AE105" s="5" t="inlineStr">
        <is>
          <t>Secondary</t>
        </is>
      </c>
      <c r="AF105" s="20" t="n">
        <v>5</v>
      </c>
      <c r="AG105" s="19" t="inlineStr">
        <is>
          <t>Romance subordinate to another genre</t>
        </is>
      </c>
      <c r="AH105" s="5" t="n"/>
      <c r="AI105" s="5" t="n"/>
      <c r="AJ105" s="5" t="n"/>
      <c r="AK105" s="5" t="n"/>
      <c r="AL105" s="5" t="n"/>
      <c r="AM105" s="5" t="n"/>
      <c r="AN105" s="5" t="inlineStr">
        <is>
          <t>Flop</t>
        </is>
      </c>
      <c r="AO105" s="18" t="n"/>
      <c r="AP105" s="19" t="inlineStr">
        <is>
          <t>No contemporary review was located; the Shashi Kapoor article records that he found no success with Vakil Babu.</t>
        </is>
      </c>
      <c r="AQ105" s="19" t="inlineStr">
        <is>
          <t>One of very few films pairing Shashi Kapoor with his eldest brother Raj Kapoor as actors, with Raj Kapoor in the title role of the advocate.</t>
        </is>
      </c>
      <c r="AR105" s="5" t="inlineStr">
        <is>
          <t>SOURCE-001; SOURCE-085; SOURCE-128</t>
        </is>
      </c>
      <c r="AS105" s="5" t="inlineStr">
        <is>
          <t>Medium</t>
        </is>
      </c>
      <c r="AT105" s="5" t="n"/>
    </row>
    <row r="106" ht="169" customHeight="1">
      <c r="A106" s="15" t="inlineStr">
        <is>
          <t>FILM-105</t>
        </is>
      </c>
      <c r="B106" s="5" t="inlineStr">
        <is>
          <t>Namak Halaal</t>
        </is>
      </c>
      <c r="C106" s="16" t="n">
        <v>30071</v>
      </c>
      <c r="D106" s="17" t="n">
        <v>1982</v>
      </c>
      <c r="E106" s="5" t="inlineStr">
        <is>
          <t>1980s</t>
        </is>
      </c>
      <c r="F106" s="5" t="inlineStr">
        <is>
          <t>Hindi</t>
        </is>
      </c>
      <c r="G106" s="5" t="inlineStr">
        <is>
          <t>Masala</t>
        </is>
      </c>
      <c r="H106" s="5" t="inlineStr">
        <is>
          <t>Comedy</t>
        </is>
      </c>
      <c r="I106" s="17" t="n">
        <v>172</v>
      </c>
      <c r="J106" s="5" t="inlineStr">
        <is>
          <t>Prakash Mehra</t>
        </is>
      </c>
      <c r="K106" s="5" t="inlineStr">
        <is>
          <t>Satyendra Pal</t>
        </is>
      </c>
      <c r="L106" s="5" t="n"/>
      <c r="M106" s="5" t="inlineStr">
        <is>
          <t>Surendra Kaul; Laxmikant Sharma; Kader Khan</t>
        </is>
      </c>
      <c r="N106" s="5" t="n"/>
      <c r="O106" s="5" t="inlineStr">
        <is>
          <t>Bappi Lahiri</t>
        </is>
      </c>
      <c r="P106" s="5" t="n"/>
      <c r="Q106" s="5" t="inlineStr">
        <is>
          <t>Anjaan; Prakash Mehra</t>
        </is>
      </c>
      <c r="R106" s="5" t="inlineStr">
        <is>
          <t>Raja Singh</t>
        </is>
      </c>
      <c r="S106" s="5" t="n"/>
      <c r="T106" s="5" t="inlineStr">
        <is>
          <t>Co-lead</t>
        </is>
      </c>
      <c r="U106" s="20" t="n">
        <v>1</v>
      </c>
      <c r="V106" s="5" t="inlineStr">
        <is>
          <t>Hotel owner</t>
        </is>
      </c>
      <c r="W106" s="5" t="inlineStr">
        <is>
          <t>Heir to a fortune, orphaned as a toddler and raised by his father's manager's widow as her own son</t>
        </is>
      </c>
      <c r="X106" s="19" t="inlineStr">
        <is>
          <t>Raja Singh is the child whose father was murdered on the day he made his manager's wife Savitri trustee of the estate, and who grew up believing Savitri to be his mother. As the adult owner of a hotel he is the target of a murder plot by his father's killer's son, falls for the dancer Nisha who was hired to kill him, and is defended throughout by Arjun, who is Savitri's real son.</t>
        </is>
      </c>
      <c r="Y106" s="19" t="inlineStr">
        <is>
          <t>To run his inheritance, and then to survive the people trying to take it.</t>
        </is>
      </c>
      <c r="Z106" s="19" t="inlineStr">
        <is>
          <t>A conspiracy inside his own household, and a mother who is not his mother.</t>
        </is>
      </c>
      <c r="AA106" s="19" t="inlineStr">
        <is>
          <t>From a protected heir suspicious of the woman who raised him to a man who learns what she gave up for him.</t>
        </is>
      </c>
      <c r="AB106" s="19" t="inlineStr">
        <is>
          <t>Good</t>
        </is>
      </c>
      <c r="AC106" s="5" t="inlineStr">
        <is>
          <t>Marries Nisha and is reconciled with Savitri.</t>
        </is>
      </c>
      <c r="AD106" s="5" t="inlineStr">
        <is>
          <t>Parveen Babi</t>
        </is>
      </c>
      <c r="AE106" s="5" t="inlineStr">
        <is>
          <t>Major</t>
        </is>
      </c>
      <c r="AF106" s="20" t="n">
        <v>6</v>
      </c>
      <c r="AG106" s="19" t="inlineStr">
        <is>
          <t>Romance subordinate to another genre</t>
        </is>
      </c>
      <c r="AH106" s="5" t="n"/>
      <c r="AI106" s="21" t="n">
        <v>6</v>
      </c>
      <c r="AJ106" s="21" t="n">
        <v>12</v>
      </c>
      <c r="AK106" s="5" t="n"/>
      <c r="AL106" s="5" t="n"/>
      <c r="AM106" s="5" t="inlineStr">
        <is>
          <t>INR crore</t>
        </is>
      </c>
      <c r="AN106" s="5" t="inlineStr">
        <is>
          <t>Super Hit</t>
        </is>
      </c>
      <c r="AO106" s="20" t="n">
        <v>3</v>
      </c>
      <c r="AP106" s="19" t="inlineStr">
        <is>
          <t>One of the largest successes of Kapoor's later commercial career. Kishore Kumar won his fifth Filmfare Award for Best Male Playback Singer for 'Pag Ghungroo'.</t>
        </is>
      </c>
      <c r="AQ106" s="19" t="inlineStr">
        <is>
          <t>Kapoor was nominated for the Filmfare Award for Best Supporting Actor; Bachchan was nominated for Best Actor. The last of the major Bachchan and Kapoor multi-starrers.</t>
        </is>
      </c>
      <c r="AR106" s="5" t="inlineStr">
        <is>
          <t>SOURCE-001; SOURCE-087; SOURCE-128; SOURCE-350</t>
        </is>
      </c>
      <c r="AS106" s="5" t="inlineStr">
        <is>
          <t>Medium</t>
        </is>
      </c>
      <c r="AT106" s="5" t="inlineStr">
        <is>
          <t>Infobox gross '₹120 million' has no nett/gross label and is not entered. The film's other romance, between Bachchan's Arjun and Smita Patil's Poonam, is not Kapoor's; his is with Parveen Babi's Nisha, the dancer hired to kill him. Box Office India's archived 1982 annual table gives nett Rs 6.0 crore, India gross Rs 12.0 crore, verdict "Super Hit" and annual rank 3. This supersedes the verdict "Blockbuster" taken from the film article, which is kept here per the rule that the trade figure goes in the column and the encyclopedia claim into notes.</t>
        </is>
      </c>
    </row>
    <row r="107" ht="79" customHeight="1">
      <c r="A107" s="15" t="inlineStr">
        <is>
          <t>FILM-106</t>
        </is>
      </c>
      <c r="B107" s="5" t="inlineStr">
        <is>
          <t>Sawaal</t>
        </is>
      </c>
      <c r="C107" s="16" t="n">
        <v>30092</v>
      </c>
      <c r="D107" s="17" t="n">
        <v>1982</v>
      </c>
      <c r="E107" s="5" t="inlineStr">
        <is>
          <t>1980s</t>
        </is>
      </c>
      <c r="F107" s="5" t="inlineStr">
        <is>
          <t>Hindi</t>
        </is>
      </c>
      <c r="G107" s="5" t="inlineStr">
        <is>
          <t>Crime drama</t>
        </is>
      </c>
      <c r="H107" s="5" t="n"/>
      <c r="I107" s="17" t="n">
        <v>123</v>
      </c>
      <c r="J107" s="5" t="inlineStr">
        <is>
          <t>Ramesh Talwar</t>
        </is>
      </c>
      <c r="K107" s="5" t="inlineStr">
        <is>
          <t>Yash Chopra</t>
        </is>
      </c>
      <c r="L107" s="5" t="inlineStr">
        <is>
          <t>Yash Raj Films</t>
        </is>
      </c>
      <c r="M107" s="5" t="inlineStr">
        <is>
          <t>Surinder Prakash; Sagar Sarhadi</t>
        </is>
      </c>
      <c r="N107" s="5" t="n"/>
      <c r="O107" s="5" t="inlineStr">
        <is>
          <t>Khayyam</t>
        </is>
      </c>
      <c r="P107" s="5" t="n"/>
      <c r="Q107" s="5" t="inlineStr">
        <is>
          <t>Majrooh Sultanpuri</t>
        </is>
      </c>
      <c r="R107" s="5" t="inlineStr">
        <is>
          <t>Inspector Ravi Malhotra</t>
        </is>
      </c>
      <c r="S107" s="5" t="n"/>
      <c r="T107" s="5" t="inlineStr">
        <is>
          <t>Supporting</t>
        </is>
      </c>
      <c r="U107" s="20" t="n">
        <v>3</v>
      </c>
      <c r="V107" s="5" t="inlineStr">
        <is>
          <t>Police officer</t>
        </is>
      </c>
      <c r="W107" s="5" t="inlineStr">
        <is>
          <t>Son of Lala Dinanath Malhotra; on the opposite side of the law from the family he wants to marry into</t>
        </is>
      </c>
      <c r="X107" s="19" t="inlineStr">
        <is>
          <t>Ravi Malhotra is the police officer Sonia Mehta falls in love with, which is one of the two ways the country's most powerful smuggler discovers that his children have chosen lives against his own. Kapoor is third-billed behind Sanjeev Kumar's smuggler and the film's question is the father's, not his.</t>
        </is>
      </c>
      <c r="Y107" s="19" t="inlineStr">
        <is>
          <t>To marry Sonia.</t>
        </is>
      </c>
      <c r="Z107" s="19" t="inlineStr">
        <is>
          <t>Her father, whose trade he exists to prosecute.</t>
        </is>
      </c>
      <c r="AA107" s="19" t="inlineStr">
        <is>
          <t>Not developed; the arc is Dhanpat Rai's.</t>
        </is>
      </c>
      <c r="AB107" s="19" t="inlineStr">
        <is>
          <t>Good</t>
        </is>
      </c>
      <c r="AC107" s="5" t="inlineStr">
        <is>
          <t>Not separately documented.</t>
        </is>
      </c>
      <c r="AD107" s="5" t="inlineStr">
        <is>
          <t>Poonam Dhillon</t>
        </is>
      </c>
      <c r="AE107" s="5" t="inlineStr">
        <is>
          <t>Secondary</t>
        </is>
      </c>
      <c r="AF107" s="20" t="n">
        <v>6</v>
      </c>
      <c r="AG107" s="19" t="inlineStr">
        <is>
          <t>United couple versus external world</t>
        </is>
      </c>
      <c r="AH107" s="5" t="n"/>
      <c r="AI107" s="5" t="n"/>
      <c r="AJ107" s="5" t="n"/>
      <c r="AK107" s="5" t="n"/>
      <c r="AL107" s="5" t="n"/>
      <c r="AM107" s="5" t="n"/>
      <c r="AN107" s="5" t="inlineStr">
        <is>
          <t>Flop</t>
        </is>
      </c>
      <c r="AO107" s="18" t="n"/>
      <c r="AP107" s="19" t="inlineStr">
        <is>
          <t>No contemporary review was located; the Shashi Kapoor article records that he found no success with Sawaal.</t>
        </is>
      </c>
      <c r="AQ107" s="19" t="n"/>
      <c r="AR107" s="5" t="inlineStr">
        <is>
          <t>SOURCE-001; SOURCE-088; SOURCE-128</t>
        </is>
      </c>
      <c r="AS107" s="5" t="inlineStr">
        <is>
          <t>Medium</t>
        </is>
      </c>
      <c r="AT107" s="5" t="n"/>
    </row>
    <row r="108" ht="94" customHeight="1">
      <c r="A108" s="15" t="inlineStr">
        <is>
          <t>FILM-107</t>
        </is>
      </c>
      <c r="B108" s="5" t="inlineStr">
        <is>
          <t>Ghungroo</t>
        </is>
      </c>
      <c r="C108" s="5" t="inlineStr">
        <is>
          <t>1983</t>
        </is>
      </c>
      <c r="D108" s="17" t="n">
        <v>1983</v>
      </c>
      <c r="E108" s="5" t="inlineStr">
        <is>
          <t>1980s</t>
        </is>
      </c>
      <c r="F108" s="5" t="n"/>
      <c r="G108" s="5" t="inlineStr">
        <is>
          <t>Drama</t>
        </is>
      </c>
      <c r="H108" s="5" t="n"/>
      <c r="I108" s="18" t="n"/>
      <c r="J108" s="5" t="n"/>
      <c r="K108" s="5" t="n"/>
      <c r="L108" s="5" t="n"/>
      <c r="M108" s="5" t="n"/>
      <c r="N108" s="5" t="n"/>
      <c r="O108" s="5" t="n"/>
      <c r="P108" s="5" t="n"/>
      <c r="Q108" s="5" t="n"/>
      <c r="R108" s="5" t="inlineStr">
        <is>
          <t>Senapati Vikram Singh</t>
        </is>
      </c>
      <c r="S108" s="5" t="n"/>
      <c r="T108" s="5" t="n"/>
      <c r="U108" s="18" t="n"/>
      <c r="V108" s="5" t="n"/>
      <c r="W108" s="5" t="n"/>
      <c r="X108" s="19" t="inlineStr">
        <is>
          <t>No Wikipedia article or other plot source was located for this film, and the Shashi Kapoor article does not mention it. Only the character name Senapati Vikram Singh, taken from his filmography, is documented; the size of the part, the cast opposite him and the film's reception are all unrecorded.</t>
        </is>
      </c>
      <c r="Y108" s="19" t="n"/>
      <c r="Z108" s="19" t="n"/>
      <c r="AA108" s="19" t="n"/>
      <c r="AB108" s="19" t="n"/>
      <c r="AC108" s="5" t="n"/>
      <c r="AD108" s="5" t="n"/>
      <c r="AE108" s="5" t="n"/>
      <c r="AF108" s="18" t="n"/>
      <c r="AG108" s="19" t="n"/>
      <c r="AH108" s="5" t="n"/>
      <c r="AI108" s="5" t="n"/>
      <c r="AJ108" s="5" t="n"/>
      <c r="AK108" s="5" t="n"/>
      <c r="AL108" s="5" t="n"/>
      <c r="AM108" s="5" t="n"/>
      <c r="AN108" s="5" t="n"/>
      <c r="AO108" s="18" t="n"/>
      <c r="AP108" s="19" t="n"/>
      <c r="AQ108" s="19" t="n"/>
      <c r="AR108" s="5" t="inlineStr">
        <is>
          <t>SOURCE-001</t>
        </is>
      </c>
      <c r="AS108" s="5" t="inlineStr">
        <is>
          <t>Unknown</t>
        </is>
      </c>
      <c r="AT108" s="5" t="inlineStr">
        <is>
          <t>No Wikipedia film article; fields come from the filmography table. No film article exists and the biographical article is silent on this title, so role type, narrative fields and romance fields are left blank rather than inferred. The character name suggests a period or costume role.</t>
        </is>
      </c>
    </row>
    <row r="109" ht="94" customHeight="1">
      <c r="A109" s="15" t="inlineStr">
        <is>
          <t>FILM-108</t>
        </is>
      </c>
      <c r="B109" s="5" t="inlineStr">
        <is>
          <t>Bandhan Kuchchey Dhaagon Ka</t>
        </is>
      </c>
      <c r="C109" s="5" t="inlineStr">
        <is>
          <t>1983</t>
        </is>
      </c>
      <c r="D109" s="17" t="n">
        <v>1983</v>
      </c>
      <c r="E109" s="5" t="inlineStr">
        <is>
          <t>1980s</t>
        </is>
      </c>
      <c r="F109" s="5" t="inlineStr">
        <is>
          <t>Hindi</t>
        </is>
      </c>
      <c r="G109" s="5" t="inlineStr">
        <is>
          <t>Family drama</t>
        </is>
      </c>
      <c r="H109" s="5" t="inlineStr">
        <is>
          <t>Melodrama</t>
        </is>
      </c>
      <c r="I109" s="17" t="n">
        <v>116</v>
      </c>
      <c r="J109" s="5" t="inlineStr">
        <is>
          <t>Anil Sharma</t>
        </is>
      </c>
      <c r="K109" s="5" t="inlineStr">
        <is>
          <t>K. C. Sharma</t>
        </is>
      </c>
      <c r="L109" s="5" t="n"/>
      <c r="M109" s="5" t="inlineStr">
        <is>
          <t>Anil Sharma</t>
        </is>
      </c>
      <c r="N109" s="5" t="n"/>
      <c r="O109" s="5" t="inlineStr">
        <is>
          <t>Hemant Bhonsle</t>
        </is>
      </c>
      <c r="P109" s="5" t="n"/>
      <c r="Q109" s="5" t="n"/>
      <c r="R109" s="5" t="inlineStr">
        <is>
          <t>Prem Kapoor</t>
        </is>
      </c>
      <c r="S109" s="5" t="n"/>
      <c r="T109" s="5" t="inlineStr">
        <is>
          <t>Lead</t>
        </is>
      </c>
      <c r="U109" s="20" t="n">
        <v>1</v>
      </c>
      <c r="V109" s="5" t="inlineStr">
        <is>
          <t>Businessman in a small town</t>
        </is>
      </c>
      <c r="W109" s="5" t="inlineStr">
        <is>
          <t>Comfortable professional household; his wife is a judge</t>
        </is>
      </c>
      <c r="X109" s="19" t="inlineStr">
        <is>
          <t>Prem Kapoor lives quietly with his wife Bhavna, a judge, and their two children until a stranger brings a letter from Sneh in Bombay, a woman he has known for seven years. She is dying of cancer and tells him that her seven-year-old son is his. He takes the boy home, and is then caught between his wife, his children and a blackmailer who wants a large sum to keep the affair from them.</t>
        </is>
      </c>
      <c r="Y109" s="19" t="inlineStr">
        <is>
          <t>To do right by a dying woman and the son he did not know he had.</t>
        </is>
      </c>
      <c r="Z109" s="19" t="inlineStr">
        <is>
          <t>A child who is evidence of an affair, brought into a household headed by a judge.</t>
        </is>
      </c>
      <c r="AA109" s="19" t="inlineStr">
        <is>
          <t>From a settled man to one whose past is in his own house, negotiating with a blackmailer to keep it there.</t>
        </is>
      </c>
      <c r="AB109" s="19" t="inlineStr">
        <is>
          <t>Compromised but sympathetic</t>
        </is>
      </c>
      <c r="AC109" s="5" t="inlineStr">
        <is>
          <t>Left inside the confrontation with Bhavna, the children and the blackmailer.</t>
        </is>
      </c>
      <c r="AD109" s="5" t="inlineStr">
        <is>
          <t>Raakhee; Zeenat Aman</t>
        </is>
      </c>
      <c r="AE109" s="5" t="inlineStr">
        <is>
          <t>Central</t>
        </is>
      </c>
      <c r="AF109" s="20" t="n">
        <v>9</v>
      </c>
      <c r="AG109" s="19" t="inlineStr">
        <is>
          <t>Multiple romantic relationships</t>
        </is>
      </c>
      <c r="AH109" s="5" t="n"/>
      <c r="AI109" s="5" t="n"/>
      <c r="AJ109" s="5" t="n"/>
      <c r="AK109" s="5" t="n"/>
      <c r="AL109" s="5" t="n"/>
      <c r="AM109" s="5" t="n"/>
      <c r="AN109" s="5" t="inlineStr">
        <is>
          <t>Flop</t>
        </is>
      </c>
      <c r="AO109" s="18" t="n"/>
      <c r="AP109" s="19" t="inlineStr">
        <is>
          <t>No contemporary review was located; the Shashi Kapoor article records that he saw no success in 1983.</t>
        </is>
      </c>
      <c r="AQ109" s="19" t="n"/>
      <c r="AR109" s="5" t="inlineStr">
        <is>
          <t>SOURCE-001; SOURCE-092; SOURCE-128</t>
        </is>
      </c>
      <c r="AS109" s="5" t="inlineStr">
        <is>
          <t>Medium</t>
        </is>
      </c>
      <c r="AT109" s="5" t="inlineStr">
        <is>
          <t>Two Romances rows are created, for the marriage to Bhavna and for the seven-year relationship with Sneh, because the film is built on the collision between them.</t>
        </is>
      </c>
    </row>
    <row r="110" ht="229" customHeight="1">
      <c r="A110" s="15" t="inlineStr">
        <is>
          <t>FILM-109</t>
        </is>
      </c>
      <c r="B110" s="5" t="inlineStr">
        <is>
          <t>Heat and Dust</t>
        </is>
      </c>
      <c r="C110" s="16" t="n">
        <v>30317</v>
      </c>
      <c r="D110" s="17" t="n">
        <v>1983</v>
      </c>
      <c r="E110" s="5" t="inlineStr">
        <is>
          <t>1980s</t>
        </is>
      </c>
      <c r="F110" s="5" t="inlineStr">
        <is>
          <t>English; Urdu; Hindi</t>
        </is>
      </c>
      <c r="G110" s="5" t="inlineStr">
        <is>
          <t>Historical romantic drama</t>
        </is>
      </c>
      <c r="H110" s="5" t="inlineStr">
        <is>
          <t>Period drama</t>
        </is>
      </c>
      <c r="I110" s="17" t="n">
        <v>130</v>
      </c>
      <c r="J110" s="5" t="inlineStr">
        <is>
          <t>James Ivory</t>
        </is>
      </c>
      <c r="K110" s="5" t="inlineStr">
        <is>
          <t>Ismail Merchant</t>
        </is>
      </c>
      <c r="L110" s="5" t="inlineStr">
        <is>
          <t>Merchant Ivory Productions</t>
        </is>
      </c>
      <c r="M110" s="5" t="inlineStr">
        <is>
          <t>Ruth Prawer Jhabvala</t>
        </is>
      </c>
      <c r="N110" s="5" t="inlineStr">
        <is>
          <t>Based on Ruth Prawer Jhabvala's 1975 novel Heat and Dust.</t>
        </is>
      </c>
      <c r="O110" s="5" t="inlineStr">
        <is>
          <t>Richard Robbins; Zakir Hussain</t>
        </is>
      </c>
      <c r="P110" s="5" t="n"/>
      <c r="Q110" s="5" t="n"/>
      <c r="R110" s="5" t="inlineStr">
        <is>
          <t>The Nawab</t>
        </is>
      </c>
      <c r="S110" s="5" t="n"/>
      <c r="T110" s="5" t="inlineStr">
        <is>
          <t>Co-lead</t>
        </is>
      </c>
      <c r="U110" s="20" t="n">
        <v>2</v>
      </c>
      <c r="V110" s="5" t="inlineStr">
        <is>
          <t>Ruler of the princely state of Khatm</t>
        </is>
      </c>
      <c r="W110" s="5" t="inlineStr">
        <is>
          <t>A minor Indian prince under the Raj, combining British manners with Indian court display</t>
        </is>
      </c>
      <c r="X110" s="19" t="inlineStr">
        <is>
          <t>The Nawab of Khatm is a romantic and decadent minor prince whom the British suspect of sheltering the bandits ransacking the region in exchange for a share of their takings. He invites the colonial officials and their wives to dinner at his palace, where he notices Olivia Rivers, the bored young wife of an assistant collector, and begins the illicit affair the film is built on.</t>
        </is>
      </c>
      <c r="Y110" s="19" t="inlineStr">
        <is>
          <t>Olivia, and the maintenance of his own position against British pressure.</t>
        </is>
      </c>
      <c r="Z110" s="19" t="inlineStr">
        <is>
          <t>An affair with a colonial officer's wife, conducted under suspicion of collusion with bandits.</t>
        </is>
      </c>
      <c r="AA110" s="19" t="inlineStr">
        <is>
          <t>Not traced beyond the affair by the sources consulted.</t>
        </is>
      </c>
      <c r="AB110" s="19" t="inlineStr">
        <is>
          <t>Charming and morally ambiguous</t>
        </is>
      </c>
      <c r="AC110" s="5" t="inlineStr">
        <is>
          <t>Not documented; the article gives no plot section and its lead stops at the fact of the affair.</t>
        </is>
      </c>
      <c r="AD110" s="5" t="inlineStr">
        <is>
          <t>Greta Scacchi</t>
        </is>
      </c>
      <c r="AE110" s="5" t="inlineStr">
        <is>
          <t>Central</t>
        </is>
      </c>
      <c r="AF110" s="20" t="n">
        <v>9</v>
      </c>
      <c r="AG110" s="19" t="inlineStr">
        <is>
          <t>Forbidden love</t>
        </is>
      </c>
      <c r="AH110" s="21" t="n">
        <v>2.2</v>
      </c>
      <c r="AI110" s="5" t="n"/>
      <c r="AJ110" s="5" t="n"/>
      <c r="AK110" s="5" t="inlineStr">
        <is>
          <t>$2.6 million (overseas )</t>
        </is>
      </c>
      <c r="AL110" s="5" t="n"/>
      <c r="AM110" s="5" t="inlineStr">
        <is>
          <t>GBP million</t>
        </is>
      </c>
      <c r="AN110" s="5" t="inlineStr">
        <is>
          <t>Hit</t>
        </is>
      </c>
      <c r="AO110" s="18" t="n"/>
      <c r="AP110" s="19" t="inlineStr">
        <is>
          <t>Favourably received and an art-house hit in Europe, particularly in England, where it reached fourth on the London box-office chart in March 1983 behind Gandhi, The Verdict and An Officer and a Gentleman. It fared poorly in the United States, where it had distribution problems, grossing $1,761,291. Vincent Canby in the New York Times found the modern strand less involving than the story of Olivia and the Nawab.</t>
        </is>
      </c>
      <c r="AQ110" s="19" t="inlineStr">
        <is>
          <t>Merchant Ivory's biggest commercial success to that date and a turning point for the company, preceding A Room with a View, Howards End and The Remains of the Day. Ruth Prawer Jhabvala won the BAFTA Award for Best Adapted Screenplay and the London Film Critics' Circle award for her screenplay; the film was nominated for the Palme d'Or at Cannes and for seven further BAFTAs. The Nawab and his English friend Harry were modelled in part on E. M. Forster and J. R. Ackerley.</t>
        </is>
      </c>
      <c r="AR110" s="5" t="inlineStr">
        <is>
          <t>SOURCE-001; SOURCE-090</t>
        </is>
      </c>
      <c r="AS110" s="5" t="inlineStr">
        <is>
          <t>Medium</t>
        </is>
      </c>
      <c r="AT110" s="5" t="inlineStr">
        <is>
          <t>Filmography notes: English film. The article carries no plot section: its narrative content is in the lead, which establishes the affair between Olivia and the Nawab but not its outcome, so the pairing's resolution is left unstated rather than assumed. The budget is held in the currency the source reports, pounds sterling, not converted to rupees, so the batch merge's INR-crore check flags it as expected; the infobox gives the figure as either GBP 2.2 million or GBP 1.1 million, a dispute recorded here rather than resolved. The infobox also reports an overseas gross of about $2.6 million covering the United States and France but not the United Kingdom. Jennifer Kendal appears as Mrs. Saunders, opposite her husband for the last time in a Merchant Ivory film.</t>
        </is>
      </c>
    </row>
    <row r="111" ht="79" customHeight="1">
      <c r="A111" s="15" t="inlineStr">
        <is>
          <t>FILM-110</t>
        </is>
      </c>
      <c r="B111" s="5" t="inlineStr">
        <is>
          <t>Gehri Chot - Urf: Durdesh</t>
        </is>
      </c>
      <c r="C111" s="16" t="n">
        <v>30406</v>
      </c>
      <c r="D111" s="17" t="n">
        <v>1983</v>
      </c>
      <c r="E111" s="5" t="inlineStr">
        <is>
          <t>1980s</t>
        </is>
      </c>
      <c r="F111" s="5" t="inlineStr">
        <is>
          <t>Hindi</t>
        </is>
      </c>
      <c r="G111" s="5" t="inlineStr">
        <is>
          <t>Crime drama</t>
        </is>
      </c>
      <c r="H111" s="5" t="inlineStr">
        <is>
          <t>Family drama</t>
        </is>
      </c>
      <c r="I111" s="17" t="n">
        <v>140</v>
      </c>
      <c r="J111" s="5" t="inlineStr">
        <is>
          <t>Ambrish Sangal</t>
        </is>
      </c>
      <c r="K111" s="5" t="inlineStr">
        <is>
          <t>Jagdish Bahroos; Ashok "Charlie" Mehra; Shamim Ahmed</t>
        </is>
      </c>
      <c r="L111" s="5" t="inlineStr">
        <is>
          <t>Friends Films International</t>
        </is>
      </c>
      <c r="M111" s="5" t="inlineStr">
        <is>
          <t>Suraj Sanim</t>
        </is>
      </c>
      <c r="N111" s="5" t="n"/>
      <c r="O111" s="5" t="inlineStr">
        <is>
          <t>Usha Khanna</t>
        </is>
      </c>
      <c r="P111" s="5" t="n"/>
      <c r="Q111" s="5" t="inlineStr">
        <is>
          <t>Indeevar</t>
        </is>
      </c>
      <c r="R111" s="5" t="inlineStr">
        <is>
          <t>Arun Khanna</t>
        </is>
      </c>
      <c r="S111" s="5" t="inlineStr">
        <is>
          <t>Harun Khan</t>
        </is>
      </c>
      <c r="T111" s="5" t="inlineStr">
        <is>
          <t>Lead</t>
        </is>
      </c>
      <c r="U111" s="20" t="n">
        <v>1</v>
      </c>
      <c r="V111" s="5" t="inlineStr">
        <is>
          <t>Businessman, resident in Toronto</t>
        </is>
      </c>
      <c r="W111" s="5" t="inlineStr">
        <is>
          <t>Indian emigrant to Canada; a marriage split across two countries</t>
        </is>
      </c>
      <c r="X111" s="19" t="inlineStr">
        <is>
          <t>Arun Khanna is an Indian in Toronto whose traditional wife Shobha cannot settle in Canada and leaves him, suspecting an affair with his secretary, taking their son and leaving him their daughter. Twenty years later the kidnapping of that daughter by a gang reunites the family, with his son working to recover a sister he does not at first know is his.</t>
        </is>
      </c>
      <c r="Y111" s="19" t="inlineStr">
        <is>
          <t>To recover his kidnapped daughter, and with her the family that split twenty years earlier.</t>
        </is>
      </c>
      <c r="Z111" s="19" t="inlineStr">
        <is>
          <t>A marriage broken by emigration and suspicion, and a kidnapping that forces the pieces back together.</t>
        </is>
      </c>
      <c r="AA111" s="19" t="inlineStr">
        <is>
          <t>From a man living alone with one child to one restored to his wife, son and daughter.</t>
        </is>
      </c>
      <c r="AB111" s="19" t="inlineStr">
        <is>
          <t>Good</t>
        </is>
      </c>
      <c r="AC111" s="5" t="inlineStr">
        <is>
          <t>Reunited with Shobha, Raju and Pinky after Tony's death.</t>
        </is>
      </c>
      <c r="AD111" s="5" t="inlineStr">
        <is>
          <t>Sharmila Tagore</t>
        </is>
      </c>
      <c r="AE111" s="5" t="inlineStr">
        <is>
          <t>Secondary</t>
        </is>
      </c>
      <c r="AF111" s="20" t="n">
        <v>6</v>
      </c>
      <c r="AG111" s="19" t="inlineStr">
        <is>
          <t>Marriage under strain</t>
        </is>
      </c>
      <c r="AH111" s="5" t="n"/>
      <c r="AI111" s="5" t="n"/>
      <c r="AJ111" s="5" t="n"/>
      <c r="AK111" s="5" t="n"/>
      <c r="AL111" s="5" t="n"/>
      <c r="AM111" s="5" t="n"/>
      <c r="AN111" s="5" t="inlineStr">
        <is>
          <t>Flop</t>
        </is>
      </c>
      <c r="AO111" s="18" t="n"/>
      <c r="AP111" s="19" t="inlineStr">
        <is>
          <t>Gautam Chintamani, writing for Firstpost, held that the film failed to sow the seeds of the poignancy later achieved in diaspora films by Mira Nair and, to some extent, Deepa Mehta. The Shashi Kapoor article records that he saw no success in 1983.</t>
        </is>
      </c>
      <c r="AQ111" s="19" t="inlineStr">
        <is>
          <t>An Indian-Canadian co-production, and an early Hindi treatment of emigrant life in North America. Also released as Door-Desh.</t>
        </is>
      </c>
      <c r="AR111" s="5" t="inlineStr">
        <is>
          <t>SOURCE-001; SOURCE-091; SOURCE-128</t>
        </is>
      </c>
      <c r="AS111" s="5" t="inlineStr">
        <is>
          <t>Medium</t>
        </is>
      </c>
      <c r="AT111" s="5" t="inlineStr">
        <is>
          <t>Kapoor's seventh and last film opposite Sharmila Tagore. The film's other romance, between the kidnapper Tony and the daughter Pinky, is an abduction that turns into an attachment and ends in his death; it is not Kapoor's and is not given a row.</t>
        </is>
      </c>
    </row>
    <row r="112" ht="79" customHeight="1">
      <c r="A112" s="15" t="inlineStr">
        <is>
          <t>FILM-111</t>
        </is>
      </c>
      <c r="B112" s="5" t="inlineStr">
        <is>
          <t>Pakhandi</t>
        </is>
      </c>
      <c r="C112" s="5" t="inlineStr">
        <is>
          <t>1984</t>
        </is>
      </c>
      <c r="D112" s="17" t="n">
        <v>1984</v>
      </c>
      <c r="E112" s="5" t="inlineStr">
        <is>
          <t>1980s</t>
        </is>
      </c>
      <c r="F112" s="5" t="n"/>
      <c r="G112" s="5" t="inlineStr">
        <is>
          <t>Drama</t>
        </is>
      </c>
      <c r="H112" s="5" t="n"/>
      <c r="I112" s="18" t="n"/>
      <c r="J112" s="5" t="n"/>
      <c r="K112" s="5" t="n"/>
      <c r="L112" s="5" t="n"/>
      <c r="M112" s="5" t="n"/>
      <c r="N112" s="5" t="n"/>
      <c r="O112" s="5" t="n"/>
      <c r="P112" s="5" t="n"/>
      <c r="Q112" s="5" t="n"/>
      <c r="R112" s="5" t="inlineStr">
        <is>
          <t>Kishore</t>
        </is>
      </c>
      <c r="S112" s="5" t="n"/>
      <c r="T112" s="5" t="n"/>
      <c r="U112" s="18" t="n"/>
      <c r="V112" s="5" t="n"/>
      <c r="W112" s="5" t="n"/>
      <c r="X112" s="19" t="inlineStr">
        <is>
          <t>No Wikipedia article or other plot source was located for this film, and the Shashi Kapoor article does not mention it. Only the character name Kishore, taken from his filmography, is documented; the size of the part, the cast opposite him and the film's reception are all unrecorded.</t>
        </is>
      </c>
      <c r="Y112" s="19" t="n"/>
      <c r="Z112" s="19" t="n"/>
      <c r="AA112" s="19" t="n"/>
      <c r="AB112" s="19" t="n"/>
      <c r="AC112" s="5" t="n"/>
      <c r="AD112" s="5" t="n"/>
      <c r="AE112" s="5" t="n"/>
      <c r="AF112" s="18" t="n"/>
      <c r="AG112" s="19" t="n"/>
      <c r="AH112" s="5" t="n"/>
      <c r="AI112" s="5" t="n"/>
      <c r="AJ112" s="5" t="n"/>
      <c r="AK112" s="5" t="n"/>
      <c r="AL112" s="5" t="n"/>
      <c r="AM112" s="5" t="n"/>
      <c r="AN112" s="5" t="n"/>
      <c r="AO112" s="18" t="n"/>
      <c r="AP112" s="19" t="n"/>
      <c r="AQ112" s="19" t="n"/>
      <c r="AR112" s="5" t="inlineStr">
        <is>
          <t>SOURCE-001</t>
        </is>
      </c>
      <c r="AS112" s="5" t="inlineStr">
        <is>
          <t>Unknown</t>
        </is>
      </c>
      <c r="AT112" s="5" t="inlineStr">
        <is>
          <t>No Wikipedia film article; fields come from the filmography table. No film article exists and the biographical article is silent on this title, so role type, narrative fields and romance fields are left blank rather than inferred.</t>
        </is>
      </c>
    </row>
    <row r="113" ht="79" customHeight="1">
      <c r="A113" s="15" t="inlineStr">
        <is>
          <t>FILM-112</t>
        </is>
      </c>
      <c r="B113" s="5" t="inlineStr">
        <is>
          <t>Ghar Ek Mandir</t>
        </is>
      </c>
      <c r="C113" s="16" t="n">
        <v>30750</v>
      </c>
      <c r="D113" s="17" t="n">
        <v>1984</v>
      </c>
      <c r="E113" s="5" t="inlineStr">
        <is>
          <t>1980s</t>
        </is>
      </c>
      <c r="F113" s="5" t="inlineStr">
        <is>
          <t>Hindi</t>
        </is>
      </c>
      <c r="G113" s="5" t="inlineStr">
        <is>
          <t>Family drama</t>
        </is>
      </c>
      <c r="H113" s="5" t="n"/>
      <c r="I113" s="17" t="n">
        <v>125</v>
      </c>
      <c r="J113" s="5" t="inlineStr">
        <is>
          <t>K. Bapaiah</t>
        </is>
      </c>
      <c r="K113" s="5" t="inlineStr">
        <is>
          <t>A. Krishnamurthy</t>
        </is>
      </c>
      <c r="L113" s="5" t="inlineStr">
        <is>
          <t>Tina Films International</t>
        </is>
      </c>
      <c r="M113" s="5" t="inlineStr">
        <is>
          <t>Gyandev Agnihotri; Kader Khan</t>
        </is>
      </c>
      <c r="N113" s="5" t="n"/>
      <c r="O113" s="5" t="inlineStr">
        <is>
          <t>Laxmikant–Pyarelal</t>
        </is>
      </c>
      <c r="P113" s="5" t="n"/>
      <c r="Q113" s="5" t="inlineStr">
        <is>
          <t>Anand Bakshi</t>
        </is>
      </c>
      <c r="R113" s="5" t="inlineStr">
        <is>
          <t>Prem</t>
        </is>
      </c>
      <c r="S113" s="5" t="n"/>
      <c r="T113" s="5" t="inlineStr">
        <is>
          <t>Supporting</t>
        </is>
      </c>
      <c r="U113" s="20" t="n">
        <v>1</v>
      </c>
      <c r="V113" s="5" t="inlineStr">
        <is>
          <t>Not stated; the eldest of three brothers heading a joint household</t>
        </is>
      </c>
      <c r="W113" s="5" t="inlineStr">
        <is>
          <t>A joint family that treats its home as a temple</t>
        </is>
      </c>
      <c r="X113" s="19" t="inlineStr">
        <is>
          <t>Prem is the eldest of three brothers in a joint family that calls its home a temple of love, and he is killed partway through, leaving his wife Laxmi and his brother Ravi to defend the household against Seth Dharampal's attempt to cheat them out of it. The part is a supporting one in a film that belongs to the widow and the surviving brothers.</t>
        </is>
      </c>
      <c r="Y113" s="19" t="inlineStr">
        <is>
          <t>To keep the joint family intact.</t>
        </is>
      </c>
      <c r="Z113" s="19" t="inlineStr">
        <is>
          <t>A creditor working to take the family's home.</t>
        </is>
      </c>
      <c r="AA113" s="19" t="inlineStr">
        <is>
          <t>Cut short; the arc passes to Laxmi and Ravi after his death.</t>
        </is>
      </c>
      <c r="AB113" s="19" t="inlineStr">
        <is>
          <t>Good</t>
        </is>
      </c>
      <c r="AC113" s="5" t="inlineStr">
        <is>
          <t>Killed, leaving Laxmi a widow.</t>
        </is>
      </c>
      <c r="AD113" s="5" t="inlineStr">
        <is>
          <t>Moushumi Chatterjee</t>
        </is>
      </c>
      <c r="AE113" s="5" t="inlineStr">
        <is>
          <t>Secondary</t>
        </is>
      </c>
      <c r="AF113" s="20" t="n">
        <v>5</v>
      </c>
      <c r="AG113" s="19" t="inlineStr">
        <is>
          <t>Established relationship</t>
        </is>
      </c>
      <c r="AH113" s="5" t="n"/>
      <c r="AI113" s="5" t="n"/>
      <c r="AJ113" s="5" t="n"/>
      <c r="AK113" s="5" t="n"/>
      <c r="AL113" s="5" t="n"/>
      <c r="AM113" s="5" t="n"/>
      <c r="AN113" s="5" t="inlineStr">
        <is>
          <t>Superhit</t>
        </is>
      </c>
      <c r="AO113" s="18" t="n"/>
      <c r="AP113" s="19" t="inlineStr">
        <is>
          <t>No contemporary review was located; the Shashi Kapoor article records Ghar Ek Mandir as a superhit and notes that Kapoor took a supporting role in it.</t>
        </is>
      </c>
      <c r="AQ113" s="19" t="n"/>
      <c r="AR113" s="5" t="inlineStr">
        <is>
          <t>SOURCE-001; SOURCE-093; SOURCE-128</t>
        </is>
      </c>
      <c r="AS113" s="5" t="inlineStr">
        <is>
          <t>Medium</t>
        </is>
      </c>
      <c r="AT113" s="5" t="n"/>
    </row>
    <row r="114" ht="64" customHeight="1">
      <c r="A114" s="15" t="inlineStr">
        <is>
          <t>FILM-113</t>
        </is>
      </c>
      <c r="B114" s="5" t="inlineStr">
        <is>
          <t>Zameen Aasmaan</t>
        </is>
      </c>
      <c r="C114" s="16" t="n">
        <v>30834</v>
      </c>
      <c r="D114" s="17" t="n">
        <v>1984</v>
      </c>
      <c r="E114" s="5" t="inlineStr">
        <is>
          <t>1980s</t>
        </is>
      </c>
      <c r="F114" s="5" t="inlineStr">
        <is>
          <t>Hindi</t>
        </is>
      </c>
      <c r="G114" s="5" t="inlineStr">
        <is>
          <t>Drama</t>
        </is>
      </c>
      <c r="H114" s="5" t="n"/>
      <c r="I114" s="18" t="n"/>
      <c r="J114" s="5" t="inlineStr">
        <is>
          <t>Bharat Rangachary</t>
        </is>
      </c>
      <c r="K114" s="5" t="inlineStr">
        <is>
          <t>Uday Narayan Singh; Subhash Gupta</t>
        </is>
      </c>
      <c r="L114" s="5" t="inlineStr">
        <is>
          <t>Film Group</t>
        </is>
      </c>
      <c r="M114" s="5" t="inlineStr">
        <is>
          <t>Preeti Sapru; Rahi Masoom Reza; Sachin Bhowmick</t>
        </is>
      </c>
      <c r="N114" s="5" t="n"/>
      <c r="O114" s="5" t="inlineStr">
        <is>
          <t>R. D. Burman</t>
        </is>
      </c>
      <c r="P114" s="5" t="n"/>
      <c r="Q114" s="5" t="inlineStr">
        <is>
          <t>Anjaan</t>
        </is>
      </c>
      <c r="R114" s="5" t="inlineStr">
        <is>
          <t>Dr. Kailash</t>
        </is>
      </c>
      <c r="S114" s="5" t="n"/>
      <c r="T114" s="5" t="inlineStr">
        <is>
          <t>Cameo</t>
        </is>
      </c>
      <c r="U114" s="20" t="n">
        <v>1</v>
      </c>
      <c r="V114" s="5" t="inlineStr">
        <is>
          <t>Doctor</t>
        </is>
      </c>
      <c r="W114" s="5" t="n"/>
      <c r="X114" s="19" t="inlineStr">
        <is>
          <t>A cameo as Dr. Kailash in a film about a widower whose sudden good fortune arrives with a new wife who resembles his late one and may not mean him well. The article's plot is two sentences and does not place Kapoor's doctor within it, so the part's function is undocumented.</t>
        </is>
      </c>
      <c r="Y114" s="19" t="n"/>
      <c r="Z114" s="19" t="n"/>
      <c r="AA114" s="19" t="n"/>
      <c r="AB114" s="19" t="n"/>
      <c r="AC114" s="5" t="n"/>
      <c r="AD114" s="5" t="inlineStr">
        <is>
          <t>Rekha; Raakhee</t>
        </is>
      </c>
      <c r="AE114" s="5" t="inlineStr">
        <is>
          <t>None</t>
        </is>
      </c>
      <c r="AF114" s="18" t="n"/>
      <c r="AG114" s="19" t="inlineStr">
        <is>
          <t>No meaningful romance</t>
        </is>
      </c>
      <c r="AH114" s="5" t="n"/>
      <c r="AI114" s="5" t="n"/>
      <c r="AJ114" s="5" t="n"/>
      <c r="AK114" s="5" t="n"/>
      <c r="AL114" s="5" t="n"/>
      <c r="AM114" s="5" t="n"/>
      <c r="AN114" s="5" t="inlineStr">
        <is>
          <t>Not documented</t>
        </is>
      </c>
      <c r="AO114" s="18" t="n"/>
      <c r="AP114" s="19" t="inlineStr">
        <is>
          <t>No contemporary review was located in the sources consulted.</t>
        </is>
      </c>
      <c r="AQ114" s="19" t="n"/>
      <c r="AR114" s="5" t="inlineStr">
        <is>
          <t>SOURCE-001; SOURCE-094</t>
        </is>
      </c>
      <c r="AS114" s="5" t="inlineStr">
        <is>
          <t>Low</t>
        </is>
      </c>
      <c r="AT114" s="5" t="inlineStr">
        <is>
          <t>Filmography notes: Cameo. The filmography marks this a cameo. The article's two-sentence plot does not mention Dr. Kailash, so no romance is recorded for the character and no Romances row is created.</t>
        </is>
      </c>
    </row>
    <row r="115" ht="154" customHeight="1">
      <c r="A115" s="15" t="inlineStr">
        <is>
          <t>FILM-114</t>
        </is>
      </c>
      <c r="B115" s="5" t="inlineStr">
        <is>
          <t>Utsav</t>
        </is>
      </c>
      <c r="C115" s="16" t="n">
        <v>31037</v>
      </c>
      <c r="D115" s="17" t="n">
        <v>1984</v>
      </c>
      <c r="E115" s="5" t="inlineStr">
        <is>
          <t>1980s</t>
        </is>
      </c>
      <c r="F115" s="5" t="inlineStr">
        <is>
          <t>Hindi; English</t>
        </is>
      </c>
      <c r="G115" s="5" t="inlineStr">
        <is>
          <t>Erotic drama</t>
        </is>
      </c>
      <c r="H115" s="5" t="inlineStr">
        <is>
          <t>Period drama</t>
        </is>
      </c>
      <c r="I115" s="17" t="n">
        <v>145</v>
      </c>
      <c r="J115" s="5" t="inlineStr">
        <is>
          <t>Girish Karnad</t>
        </is>
      </c>
      <c r="K115" s="5" t="inlineStr">
        <is>
          <t>Shashi Kapoor</t>
        </is>
      </c>
      <c r="L115" s="5" t="inlineStr">
        <is>
          <t>Film-Valas</t>
        </is>
      </c>
      <c r="M115" s="5" t="inlineStr">
        <is>
          <t>Sharad Joshi; Krishna Basrur; Girish Karnad</t>
        </is>
      </c>
      <c r="N115" s="5" t="inlineStr">
        <is>
          <t>Based on Mrichchhakatika (The Little Clay Cart), a Sanskrit drama attributed to Śūdraka, set in ancient Ujjayini.</t>
        </is>
      </c>
      <c r="O115" s="5" t="inlineStr">
        <is>
          <t>Laxmikant–Pyarelal</t>
        </is>
      </c>
      <c r="P115" s="5" t="n"/>
      <c r="Q115" s="5" t="inlineStr">
        <is>
          <t>Vasant Dev</t>
        </is>
      </c>
      <c r="R115" s="5" t="inlineStr">
        <is>
          <t>Samsthanak</t>
        </is>
      </c>
      <c r="S115" s="5" t="n"/>
      <c r="T115" s="5" t="inlineStr">
        <is>
          <t>Lead</t>
        </is>
      </c>
      <c r="U115" s="20" t="n">
        <v>1</v>
      </c>
      <c r="V115" s="5" t="inlineStr">
        <is>
          <t>Not documented</t>
        </is>
      </c>
      <c r="W115" s="5" t="n"/>
      <c r="X115" s="19" t="inlineStr">
        <is>
          <t>Kapoor plays Samsthanak in his own production of the Sanskrit classic, whose plot the article reduces to a single sentence about the courtesan Vasantasena and her meeting with the poor Brahmin Charudatta. Samsthanak is named only in the cast list and nowhere in the article's narrative text, so the character's function is not documented by any source located.</t>
        </is>
      </c>
      <c r="Y115" s="19" t="n"/>
      <c r="Z115" s="19" t="n"/>
      <c r="AA115" s="19" t="n"/>
      <c r="AB115" s="19" t="n"/>
      <c r="AC115" s="5" t="n"/>
      <c r="AD115" s="5" t="inlineStr">
        <is>
          <t>Rekha</t>
        </is>
      </c>
      <c r="AE115" s="5" t="n"/>
      <c r="AF115" s="18" t="n"/>
      <c r="AG115" s="19" t="n"/>
      <c r="AH115" s="5" t="n"/>
      <c r="AI115" s="5" t="n"/>
      <c r="AJ115" s="5" t="n"/>
      <c r="AK115" s="5" t="n"/>
      <c r="AL115" s="5" t="n"/>
      <c r="AM115" s="5" t="n"/>
      <c r="AN115" s="5" t="inlineStr">
        <is>
          <t>Flop</t>
        </is>
      </c>
      <c r="AO115" s="18" t="n"/>
      <c r="AP115" s="19" t="inlineStr">
        <is>
          <t>No contemporary review was located. The Shashi Kapoor article calls it critically acclaimed; the film article records that Kapoor as producer lost about Rs 1.5 crore on its release.</t>
        </is>
      </c>
      <c r="AQ115" s="19" t="inlineStr">
        <is>
          <t>Won Best Art Direction at the 32nd National Film Awards, and Best Lyricist and Best Female Playback Singer at the 33rd Filmfare Awards, with two nominations for best actor in a comic role. Shot in Kolkebail, Karnataka in 1982-83, and filmed simultaneously in Hindi and English.</t>
        </is>
      </c>
      <c r="AR115" s="5" t="inlineStr">
        <is>
          <t>SOURCE-001; SOURCE-095; SOURCE-128</t>
        </is>
      </c>
      <c r="AS115" s="5" t="inlineStr">
        <is>
          <t>Low</t>
        </is>
      </c>
      <c r="AT115" s="5" t="inlineStr">
        <is>
          <t>Produced by Kapoor and shot simultaneously in Hindi and English, with the English version's post-production done in London. The fourth and last film Kapoor produced under Film-Valas, and the one that ended the parallel-cinema slate: the article records a producer's loss of about Rs 1.5 crore. The article's plot section is one sentence and never names Samsthanak, so romance presence, the narrative fields and any pairing are left blank rather than reconstructed from the source play. Kunal and Sanjana Kapoor both appear.</t>
        </is>
      </c>
    </row>
    <row r="116" ht="94" customHeight="1">
      <c r="A116" s="15" t="inlineStr">
        <is>
          <t>FILM-115</t>
        </is>
      </c>
      <c r="B116" s="5" t="inlineStr">
        <is>
          <t>Pighalta Aasman</t>
        </is>
      </c>
      <c r="C116" s="16" t="n">
        <v>31107</v>
      </c>
      <c r="D116" s="17" t="n">
        <v>1985</v>
      </c>
      <c r="E116" s="5" t="inlineStr">
        <is>
          <t>1980s</t>
        </is>
      </c>
      <c r="F116" s="5" t="inlineStr">
        <is>
          <t>Hindi</t>
        </is>
      </c>
      <c r="G116" s="5" t="inlineStr">
        <is>
          <t>Romantic drama</t>
        </is>
      </c>
      <c r="H116" s="5" t="n"/>
      <c r="I116" s="17" t="n">
        <v>35</v>
      </c>
      <c r="J116" s="5" t="inlineStr">
        <is>
          <t>Shammi</t>
        </is>
      </c>
      <c r="K116" s="5" t="inlineStr">
        <is>
          <t>Shammi</t>
        </is>
      </c>
      <c r="L116" s="5" t="inlineStr">
        <is>
          <t>UA Films</t>
        </is>
      </c>
      <c r="M116" s="5" t="inlineStr">
        <is>
          <t>Moin-ud-din</t>
        </is>
      </c>
      <c r="N116" s="5" t="n"/>
      <c r="O116" s="5" t="inlineStr">
        <is>
          <t>Kalyanji–Anandji</t>
        </is>
      </c>
      <c r="P116" s="5" t="n"/>
      <c r="Q116" s="5" t="inlineStr">
        <is>
          <t>Indeevar</t>
        </is>
      </c>
      <c r="R116" s="5" t="inlineStr">
        <is>
          <t>Suraj Arora</t>
        </is>
      </c>
      <c r="S116" s="5" t="inlineStr">
        <is>
          <t>Prakash Arora</t>
        </is>
      </c>
      <c r="T116" s="5" t="inlineStr">
        <is>
          <t>Lead</t>
        </is>
      </c>
      <c r="U116" s="20" t="n">
        <v>1</v>
      </c>
      <c r="V116" s="5" t="inlineStr">
        <is>
          <t>Occupier of a disputed piece of land in Kashmir</t>
        </is>
      </c>
      <c r="W116" s="5" t="inlineStr">
        <is>
          <t>The Arora family, who raised Aarti before her father became wealthy and cut them off</t>
        </is>
      </c>
      <c r="X116" s="19" t="inlineStr">
        <is>
          <t>Suraj Arora occupies land in Kashmir that the Delhi businesswoman Aarti Singh Rathod travels north to repossess, not knowing until her nanny tells her that the Aroras raised her before her father's money separated the families. The dispute dissolves into love, and then complicates when Aarti's friend and employee Anuradha proves to have fallen for him too.</t>
        </is>
      </c>
      <c r="Y116" s="19" t="inlineStr">
        <is>
          <t>The land, and then Aarti.</t>
        </is>
      </c>
      <c r="Z116" s="19" t="inlineStr">
        <is>
          <t>An old family debt turned into a property dispute, and a second woman in love with him.</t>
        </is>
      </c>
      <c r="AA116" s="19" t="inlineStr">
        <is>
          <t>From adversary in a land claim to the man both women want.</t>
        </is>
      </c>
      <c r="AB116" s="19" t="inlineStr">
        <is>
          <t>Good</t>
        </is>
      </c>
      <c r="AC116" s="5" t="inlineStr">
        <is>
          <t>Left inside the rivalry between Aarti and Anuradha.</t>
        </is>
      </c>
      <c r="AD116" s="5" t="inlineStr">
        <is>
          <t>Raakhee; Rati Agnihotri</t>
        </is>
      </c>
      <c r="AE116" s="5" t="inlineStr">
        <is>
          <t>Central</t>
        </is>
      </c>
      <c r="AF116" s="20" t="n">
        <v>9</v>
      </c>
      <c r="AG116" s="19" t="inlineStr">
        <is>
          <t>Love triangle</t>
        </is>
      </c>
      <c r="AH116" s="5" t="n"/>
      <c r="AI116" s="5" t="n"/>
      <c r="AJ116" s="5" t="n"/>
      <c r="AK116" s="5" t="n"/>
      <c r="AL116" s="5" t="n"/>
      <c r="AM116" s="5" t="n"/>
      <c r="AN116" s="5" t="inlineStr">
        <is>
          <t>Not documented</t>
        </is>
      </c>
      <c r="AO116" s="18" t="n"/>
      <c r="AP116" s="19" t="inlineStr">
        <is>
          <t>No contemporary review was located in the sources consulted.</t>
        </is>
      </c>
      <c r="AQ116" s="19" t="n"/>
      <c r="AR116" s="5" t="inlineStr">
        <is>
          <t>SOURCE-001; SOURCE-096</t>
        </is>
      </c>
      <c r="AS116" s="5" t="inlineStr">
        <is>
          <t>Medium</t>
        </is>
      </c>
      <c r="AT116" s="5" t="inlineStr">
        <is>
          <t>The filmography credits Kapoor with two names, Suraj Arora and Prakash Arora, but the article's story section names only Suraj, so the relation between the two is undocumented. Anuradha's love for Suraj is stated but not described as reciprocated, so it is recorded here rather than given a Romances row.</t>
        </is>
      </c>
    </row>
    <row r="117" ht="94" customHeight="1">
      <c r="A117" s="15" t="inlineStr">
        <is>
          <t>FILM-116</t>
        </is>
      </c>
      <c r="B117" s="5" t="inlineStr">
        <is>
          <t>Aandhi-Toofan</t>
        </is>
      </c>
      <c r="C117" s="16" t="n">
        <v>31128</v>
      </c>
      <c r="D117" s="17" t="n">
        <v>1985</v>
      </c>
      <c r="E117" s="5" t="inlineStr">
        <is>
          <t>1980s</t>
        </is>
      </c>
      <c r="F117" s="5" t="inlineStr">
        <is>
          <t>Hindi</t>
        </is>
      </c>
      <c r="G117" s="5" t="inlineStr">
        <is>
          <t>Action</t>
        </is>
      </c>
      <c r="H117" s="5" t="inlineStr">
        <is>
          <t>Revenge drama</t>
        </is>
      </c>
      <c r="I117" s="17" t="n">
        <v>135</v>
      </c>
      <c r="J117" s="5" t="inlineStr">
        <is>
          <t>B. Subhash</t>
        </is>
      </c>
      <c r="K117" s="5" t="inlineStr">
        <is>
          <t>Pahlaj Nihalani</t>
        </is>
      </c>
      <c r="L117" s="5" t="n"/>
      <c r="M117" s="5" t="n"/>
      <c r="N117" s="5" t="n"/>
      <c r="O117" s="5" t="inlineStr">
        <is>
          <t>Bappi Lahiri</t>
        </is>
      </c>
      <c r="P117" s="5" t="n"/>
      <c r="Q117" s="5" t="inlineStr">
        <is>
          <t>Anjaan</t>
        </is>
      </c>
      <c r="R117" s="5" t="inlineStr">
        <is>
          <t>Inspector Ranjit Singh</t>
        </is>
      </c>
      <c r="S117" s="5" t="n"/>
      <c r="T117" s="5" t="inlineStr">
        <is>
          <t>Supporting</t>
        </is>
      </c>
      <c r="U117" s="20" t="n">
        <v>3</v>
      </c>
      <c r="V117" s="5" t="inlineStr">
        <is>
          <t>Police inspector</t>
        </is>
      </c>
      <c r="W117" s="5" t="inlineStr">
        <is>
          <t>Married to Sheela</t>
        </is>
      </c>
      <c r="X117" s="19" t="inlineStr">
        <is>
          <t>Inspector Ranjit Singh arrests the biker-gangster Balvir and is killed by him for it in the film's opening movement. Balvir then rapes his wife Sheela, and the rest of the film is her revenge, pursued through two men she hires to bring Balvir to her alive. Kapoor's part is the precondition for the plot rather than a role within it.</t>
        </is>
      </c>
      <c r="Y117" s="19" t="inlineStr">
        <is>
          <t>To keep Balvir in custody.</t>
        </is>
      </c>
      <c r="Z117" s="19" t="inlineStr">
        <is>
          <t>A gangster who kills the officer who arrested him.</t>
        </is>
      </c>
      <c r="AA117" s="19" t="inlineStr">
        <is>
          <t>None; the character is killed early.</t>
        </is>
      </c>
      <c r="AB117" s="19" t="inlineStr">
        <is>
          <t>Good</t>
        </is>
      </c>
      <c r="AC117" s="5" t="inlineStr">
        <is>
          <t>Murdered by Balvir.</t>
        </is>
      </c>
      <c r="AD117" s="5" t="inlineStr">
        <is>
          <t>Hema Malini</t>
        </is>
      </c>
      <c r="AE117" s="5" t="inlineStr">
        <is>
          <t>Minor</t>
        </is>
      </c>
      <c r="AF117" s="20" t="n">
        <v>4</v>
      </c>
      <c r="AG117" s="19" t="inlineStr">
        <is>
          <t>Tragic lovers</t>
        </is>
      </c>
      <c r="AH117" s="5" t="n"/>
      <c r="AI117" s="5" t="n"/>
      <c r="AJ117" s="5" t="n"/>
      <c r="AK117" s="5" t="n"/>
      <c r="AL117" s="5" t="n"/>
      <c r="AM117" s="5" t="n"/>
      <c r="AN117" s="5" t="inlineStr">
        <is>
          <t>Hit</t>
        </is>
      </c>
      <c r="AO117" s="18" t="n"/>
      <c r="AP117" s="19" t="inlineStr">
        <is>
          <t>No contemporary review was located; the Shashi Kapoor article records that Aandhi-Toofan emerged a success.</t>
        </is>
      </c>
      <c r="AQ117" s="19" t="n"/>
      <c r="AR117" s="5" t="inlineStr">
        <is>
          <t>SOURCE-001; SOURCE-097; SOURCE-128</t>
        </is>
      </c>
      <c r="AS117" s="5" t="inlineStr">
        <is>
          <t>Low</t>
        </is>
      </c>
      <c r="AT117" s="5" t="inlineStr">
        <is>
          <t>Kapoor is third-billed and the character is killed in the opening movement; the film belongs to Hema Malini's Sheela and the two men she hires. The marriage is recorded as a Romances row because the killing and the rape that follow it are the engine of the entire plot, but the relationship itself is barely dramatised.</t>
        </is>
      </c>
    </row>
    <row r="118" ht="94" customHeight="1">
      <c r="A118" s="15" t="inlineStr">
        <is>
          <t>FILM-117</t>
        </is>
      </c>
      <c r="B118" s="5" t="inlineStr">
        <is>
          <t>Bepanaah</t>
        </is>
      </c>
      <c r="C118" s="16" t="n">
        <v>31296</v>
      </c>
      <c r="D118" s="17" t="n">
        <v>1985</v>
      </c>
      <c r="E118" s="5" t="inlineStr">
        <is>
          <t>1980s</t>
        </is>
      </c>
      <c r="F118" s="5" t="inlineStr">
        <is>
          <t>Hindi</t>
        </is>
      </c>
      <c r="G118" s="5" t="inlineStr">
        <is>
          <t>Crime drama</t>
        </is>
      </c>
      <c r="H118" s="5" t="inlineStr">
        <is>
          <t>Melodrama</t>
        </is>
      </c>
      <c r="I118" s="17" t="n">
        <v>130</v>
      </c>
      <c r="J118" s="5" t="inlineStr">
        <is>
          <t>Jagdish Sidana</t>
        </is>
      </c>
      <c r="K118" s="5" t="inlineStr">
        <is>
          <t>V. Sagar Bhagat; Bhagat J. Kumar</t>
        </is>
      </c>
      <c r="L118" s="5" t="n"/>
      <c r="M118" s="5" t="n"/>
      <c r="N118" s="5" t="n"/>
      <c r="O118" s="5" t="inlineStr">
        <is>
          <t>Khayyam</t>
        </is>
      </c>
      <c r="P118" s="5" t="n"/>
      <c r="Q118" s="5" t="inlineStr">
        <is>
          <t>Nida Fazli</t>
        </is>
      </c>
      <c r="R118" s="5" t="inlineStr">
        <is>
          <t>Ravi Malhotra</t>
        </is>
      </c>
      <c r="S118" s="5" t="n"/>
      <c r="T118" s="5" t="inlineStr">
        <is>
          <t>Lead</t>
        </is>
      </c>
      <c r="U118" s="20" t="n">
        <v>1</v>
      </c>
      <c r="V118" s="5" t="inlineStr">
        <is>
          <t>CBI officer</t>
        </is>
      </c>
      <c r="W118" s="5" t="inlineStr">
        <is>
          <t>Married to Kalpana at the time of the film's present action</t>
        </is>
      </c>
      <c r="X118" s="19" t="inlineStr">
        <is>
          <t>Ravi Malhotra is the CBI officer whom the advocate Bhavna loves and by whom she becomes pregnant before circumstances separate them. She bears his son Rohit and, unable to name the father, accepts the family name of Bajrang, the village innocent who loves her and who becomes a gangster. Ravi, by then married to Kalpana, is the officer whose job is to catch him.</t>
        </is>
      </c>
      <c r="Y118" s="19" t="inlineStr">
        <is>
          <t>His work, and the question of what he owes Bhavna and the son he may not know of.</t>
        </is>
      </c>
      <c r="Z118" s="19" t="inlineStr">
        <is>
          <t>The man he must arrest is the one who gave his child a name.</t>
        </is>
      </c>
      <c r="AA118" s="19" t="inlineStr">
        <is>
          <t>Not traced by the article's summary, which poses the outcome as a series of questions.</t>
        </is>
      </c>
      <c r="AB118" s="19" t="inlineStr">
        <is>
          <t>Good</t>
        </is>
      </c>
      <c r="AC118" s="5" t="inlineStr">
        <is>
          <t>Not stated by the article's summary.</t>
        </is>
      </c>
      <c r="AD118" s="5" t="inlineStr">
        <is>
          <t>Rati Agnihotri; Poonam Dhillon</t>
        </is>
      </c>
      <c r="AE118" s="5" t="inlineStr">
        <is>
          <t>Central</t>
        </is>
      </c>
      <c r="AF118" s="20" t="n">
        <v>9</v>
      </c>
      <c r="AG118" s="19" t="inlineStr">
        <is>
          <t>Relationship manipulated by outsiders</t>
        </is>
      </c>
      <c r="AH118" s="5" t="n"/>
      <c r="AI118" s="5" t="n"/>
      <c r="AJ118" s="5" t="n"/>
      <c r="AK118" s="5" t="n"/>
      <c r="AL118" s="5" t="n"/>
      <c r="AM118" s="5" t="n"/>
      <c r="AN118" s="5" t="inlineStr">
        <is>
          <t>Not documented</t>
        </is>
      </c>
      <c r="AO118" s="18" t="n"/>
      <c r="AP118" s="19" t="inlineStr">
        <is>
          <t>No contemporary review was located in the sources consulted.</t>
        </is>
      </c>
      <c r="AQ118" s="19" t="n"/>
      <c r="AR118" s="5" t="inlineStr">
        <is>
          <t>SOURCE-001; SOURCE-098</t>
        </is>
      </c>
      <c r="AS118" s="5" t="inlineStr">
        <is>
          <t>Low</t>
        </is>
      </c>
      <c r="AT118" s="5" t="inlineStr">
        <is>
          <t>Kapoor's character is married to Poonam Dhillon's Kalpana during the film's present action, but the article's summary gives that marriage no development beyond the fact of it, so it is recorded here and only the relationship with Bhavna is given a Romances row.</t>
        </is>
      </c>
    </row>
    <row r="119" ht="109" customHeight="1">
      <c r="A119" s="15" t="inlineStr">
        <is>
          <t>FILM-118</t>
        </is>
      </c>
      <c r="B119" s="5" t="inlineStr">
        <is>
          <t>Alag Alag</t>
        </is>
      </c>
      <c r="C119" s="16" t="n">
        <v>31317</v>
      </c>
      <c r="D119" s="17" t="n">
        <v>1985</v>
      </c>
      <c r="E119" s="5" t="inlineStr">
        <is>
          <t>1980s</t>
        </is>
      </c>
      <c r="F119" s="5" t="inlineStr">
        <is>
          <t>Hindi</t>
        </is>
      </c>
      <c r="G119" s="5" t="inlineStr">
        <is>
          <t>Romantic drama</t>
        </is>
      </c>
      <c r="H119" s="5" t="n"/>
      <c r="I119" s="17" t="n">
        <v>100</v>
      </c>
      <c r="J119" s="5" t="inlineStr">
        <is>
          <t>Shakti Samanta</t>
        </is>
      </c>
      <c r="K119" s="5" t="inlineStr">
        <is>
          <t>Rajesh Khanna; Kusum Nirula</t>
        </is>
      </c>
      <c r="L119" s="5" t="inlineStr">
        <is>
          <t>Aashirwad Films</t>
        </is>
      </c>
      <c r="M119" s="5" t="inlineStr">
        <is>
          <t>Sachin Bhowmick; Ehsan Rizvi</t>
        </is>
      </c>
      <c r="N119" s="5" t="inlineStr">
        <is>
          <t>Remake of 1982 Pakistani film Meharbani by Parvez Malik</t>
        </is>
      </c>
      <c r="O119" s="5" t="inlineStr">
        <is>
          <t>R. D. Burman</t>
        </is>
      </c>
      <c r="P119" s="5" t="n"/>
      <c r="Q119" s="5" t="inlineStr">
        <is>
          <t>Anand Bakshi</t>
        </is>
      </c>
      <c r="R119" s="5" t="inlineStr">
        <is>
          <t>Dr. Rana</t>
        </is>
      </c>
      <c r="S119" s="5" t="n"/>
      <c r="T119" s="5" t="inlineStr">
        <is>
          <t>Co-lead</t>
        </is>
      </c>
      <c r="U119" s="20" t="n">
        <v>1</v>
      </c>
      <c r="V119" s="5" t="inlineStr">
        <is>
          <t>Doctor</t>
        </is>
      </c>
      <c r="W119" s="5" t="inlineStr">
        <is>
          <t>Widowed, living alone in a bungalow with servants</t>
        </is>
      </c>
      <c r="X119" s="19" t="inlineStr">
        <is>
          <t>Doctor Rana takes in Chandni, a village girl fleeing a goon, and lets her stay; she takes over the household and sets about making him propose marriage, since her plan for escaping poverty is to marry a rich man. What she eventually discovers is that Rana's affection for her has been paternal throughout, and she is ashamed of how she has behaved. He dies of illness before the film ends.</t>
        </is>
      </c>
      <c r="Y119" s="19" t="inlineStr">
        <is>
          <t>Companionship after his wife's death, and Chandni's welfare.</t>
        </is>
      </c>
      <c r="Z119" s="19" t="inlineStr">
        <is>
          <t>A young woman in his house who mistakes his kindness for an opportunity.</t>
        </is>
      </c>
      <c r="AA119" s="19" t="inlineStr">
        <is>
          <t>From a solitary widower to a surrogate father, dying before the resolution of the romance he was never part of.</t>
        </is>
      </c>
      <c r="AB119" s="19" t="inlineStr">
        <is>
          <t>Good</t>
        </is>
      </c>
      <c r="AC119" s="5" t="inlineStr">
        <is>
          <t>Dies of illness, leaving Chandni to her old life.</t>
        </is>
      </c>
      <c r="AD119" s="5" t="inlineStr">
        <is>
          <t>Tina Munim</t>
        </is>
      </c>
      <c r="AE119" s="5" t="inlineStr">
        <is>
          <t>None</t>
        </is>
      </c>
      <c r="AF119" s="20" t="n">
        <v>8</v>
      </c>
      <c r="AG119" s="19" t="inlineStr">
        <is>
          <t>No meaningful romance</t>
        </is>
      </c>
      <c r="AH119" s="5" t="n"/>
      <c r="AI119" s="5" t="n"/>
      <c r="AJ119" s="5" t="n"/>
      <c r="AK119" s="5" t="n"/>
      <c r="AL119" s="5" t="n"/>
      <c r="AM119" s="5" t="n"/>
      <c r="AN119" s="5" t="inlineStr">
        <is>
          <t>Flop</t>
        </is>
      </c>
      <c r="AO119" s="18" t="n"/>
      <c r="AP119" s="19" t="inlineStr">
        <is>
          <t>No contemporary review was located; the Shashi Kapoor article records that Alag Alag flopped at the box office.</t>
        </is>
      </c>
      <c r="AQ119" s="19" t="inlineStr">
        <is>
          <t>Produced by Rajesh Khanna, who also plays the male romantic lead.</t>
        </is>
      </c>
      <c r="AR119" s="5" t="inlineStr">
        <is>
          <t>SOURCE-001; SOURCE-099; SOURCE-128</t>
        </is>
      </c>
      <c r="AS119" s="5" t="inlineStr">
        <is>
          <t>Medium</t>
        </is>
      </c>
      <c r="AT119" s="5" t="inlineStr">
        <is>
          <t>Kapoor's Dr. Rana is the object of Chandni's marriage scheme but not of a romance: the article states explicitly that he had loved her as a daughter, and the film's romance is between Chandni and Rajesh Khanna's Neeraj. Romance presence is recorded as None for his character and no Romances row is created; the centrality score refers to the film's romantic content.</t>
        </is>
      </c>
    </row>
    <row r="120" ht="79" customHeight="1">
      <c r="A120" s="15" t="inlineStr">
        <is>
          <t>FILM-119</t>
        </is>
      </c>
      <c r="B120" s="5" t="inlineStr">
        <is>
          <t>Bhavani Junction</t>
        </is>
      </c>
      <c r="C120" s="16" t="n">
        <v>31373</v>
      </c>
      <c r="D120" s="17" t="n">
        <v>1985</v>
      </c>
      <c r="E120" s="5" t="inlineStr">
        <is>
          <t>1980s</t>
        </is>
      </c>
      <c r="F120" s="5" t="inlineStr">
        <is>
          <t>Hindi</t>
        </is>
      </c>
      <c r="G120" s="5" t="inlineStr">
        <is>
          <t>Crime drama</t>
        </is>
      </c>
      <c r="H120" s="5" t="n"/>
      <c r="I120" s="17" t="n">
        <v>128</v>
      </c>
      <c r="J120" s="5" t="inlineStr">
        <is>
          <t>H. Dinesh</t>
        </is>
      </c>
      <c r="K120" s="5" t="inlineStr">
        <is>
          <t>Deepak Shivdasani</t>
        </is>
      </c>
      <c r="L120" s="5" t="n"/>
      <c r="M120" s="5" t="inlineStr">
        <is>
          <t>Jainendra Jain</t>
        </is>
      </c>
      <c r="N120" s="5" t="n"/>
      <c r="O120" s="5" t="inlineStr">
        <is>
          <t>Bappi Lahiri</t>
        </is>
      </c>
      <c r="P120" s="5" t="n"/>
      <c r="Q120" s="5" t="n"/>
      <c r="R120" s="5" t="inlineStr">
        <is>
          <t>Raja Bhavani Pratap</t>
        </is>
      </c>
      <c r="S120" s="5" t="n"/>
      <c r="T120" s="5" t="inlineStr">
        <is>
          <t>Lead</t>
        </is>
      </c>
      <c r="U120" s="20" t="n">
        <v>1</v>
      </c>
      <c r="V120" s="5" t="inlineStr">
        <is>
          <t>A raja</t>
        </is>
      </c>
      <c r="W120" s="5" t="inlineStr">
        <is>
          <t>Titled family; father of Rakesh</t>
        </is>
      </c>
      <c r="X120" s="19" t="inlineStr">
        <is>
          <t>Raja Bhavani Pratap helps his friend, the police officer Ram, hunt the man who raped and killed Ram's wife, and the search closes on Bhavani's own son Rakesh. The article's plot is three sentences and does not follow what Bhavani does with that discovery.</t>
        </is>
      </c>
      <c r="Y120" s="19" t="inlineStr">
        <is>
          <t>To help his friend find the killer.</t>
        </is>
      </c>
      <c r="Z120" s="19" t="inlineStr">
        <is>
          <t>The culprit is his own son.</t>
        </is>
      </c>
      <c r="AA120" s="19" t="inlineStr">
        <is>
          <t>Not traced by the article's brief plot.</t>
        </is>
      </c>
      <c r="AB120" s="19" t="inlineStr">
        <is>
          <t>Good, facing an impossible obligation</t>
        </is>
      </c>
      <c r="AC120" s="5" t="inlineStr">
        <is>
          <t>Not stated.</t>
        </is>
      </c>
      <c r="AD120" s="5" t="inlineStr">
        <is>
          <t>Zeenat Aman; Rati Agnihotri</t>
        </is>
      </c>
      <c r="AE120" s="5" t="n"/>
      <c r="AF120" s="18" t="n"/>
      <c r="AG120" s="19" t="n"/>
      <c r="AH120" s="5" t="n"/>
      <c r="AI120" s="5" t="n"/>
      <c r="AJ120" s="5" t="n"/>
      <c r="AK120" s="5" t="n"/>
      <c r="AL120" s="5" t="n"/>
      <c r="AM120" s="5" t="n"/>
      <c r="AN120" s="5" t="inlineStr">
        <is>
          <t>Not documented</t>
        </is>
      </c>
      <c r="AO120" s="18" t="n"/>
      <c r="AP120" s="19" t="inlineStr">
        <is>
          <t>No contemporary review was located in the sources consulted.</t>
        </is>
      </c>
      <c r="AQ120" s="19" t="n"/>
      <c r="AR120" s="5" t="inlineStr">
        <is>
          <t>SOURCE-001; SOURCE-100</t>
        </is>
      </c>
      <c r="AS120" s="5" t="inlineStr">
        <is>
          <t>Low</t>
        </is>
      </c>
      <c r="AT120" s="5" t="inlineStr">
        <is>
          <t>Zeenat Aman and Rati Agnihotri are billed among the leads but the article's three-sentence plot names neither and assigns no romance to Bhavani, so romance presence is left blank and no Romances row is created rather than inferring a pairing from billing.</t>
        </is>
      </c>
    </row>
    <row r="121" ht="109" customHeight="1">
      <c r="A121" s="15" t="inlineStr">
        <is>
          <t>FILM-120</t>
        </is>
      </c>
      <c r="B121" s="5" t="inlineStr">
        <is>
          <t>New Delhi Times</t>
        </is>
      </c>
      <c r="C121" s="5" t="inlineStr">
        <is>
          <t>1986</t>
        </is>
      </c>
      <c r="D121" s="17" t="n">
        <v>1986</v>
      </c>
      <c r="E121" s="5" t="inlineStr">
        <is>
          <t>1980s</t>
        </is>
      </c>
      <c r="F121" s="5" t="inlineStr">
        <is>
          <t>Hindi</t>
        </is>
      </c>
      <c r="G121" s="5" t="inlineStr">
        <is>
          <t>Political thriller</t>
        </is>
      </c>
      <c r="H121" s="5" t="inlineStr">
        <is>
          <t>Drama</t>
        </is>
      </c>
      <c r="I121" s="17" t="n">
        <v>123</v>
      </c>
      <c r="J121" s="5" t="inlineStr">
        <is>
          <t>Ramesh Sharma</t>
        </is>
      </c>
      <c r="K121" s="5" t="inlineStr">
        <is>
          <t>P. K. Tiwari</t>
        </is>
      </c>
      <c r="L121" s="5" t="n"/>
      <c r="M121" s="5" t="inlineStr">
        <is>
          <t>Gulzar</t>
        </is>
      </c>
      <c r="N121" s="5" t="n"/>
      <c r="O121" s="5" t="inlineStr">
        <is>
          <t>Louis Banks</t>
        </is>
      </c>
      <c r="P121" s="5" t="n"/>
      <c r="Q121" s="5" t="n"/>
      <c r="R121" s="5" t="inlineStr">
        <is>
          <t>Vikas Pande</t>
        </is>
      </c>
      <c r="S121" s="5" t="n"/>
      <c r="T121" s="5" t="inlineStr">
        <is>
          <t>Lead</t>
        </is>
      </c>
      <c r="U121" s="20" t="n">
        <v>1</v>
      </c>
      <c r="V121" s="5" t="inlineStr">
        <is>
          <t>Executive editor of a national newspaper</t>
        </is>
      </c>
      <c r="W121" s="5" t="inlineStr">
        <is>
          <t>From Ghazipur in eastern Uttar Pradesh; moved to Delhi; married to a lawyer</t>
        </is>
      </c>
      <c r="X121" s="19" t="inlineStr">
        <is>
          <t>Vikas Pande is the upright executive editor of the New Delhi Times, already exposing a hooch scandal that killed hundreds when the assassination of an MLA draws him back to Ghazipur. He finds evidence pointing at the ambitious Ajay Singh, is threatened by goons, and is drawn into the machinery connecting politicians to the newspapers that report on them. The role won Kapoor the National Film Award for Best Actor.</t>
        </is>
      </c>
      <c r="Y121" s="19" t="inlineStr">
        <is>
          <t>To publish what he can prove.</t>
        </is>
      </c>
      <c r="Z121" s="19" t="inlineStr">
        <is>
          <t>A political murder he can trace but not evidence, inside a press that is part of the same system.</t>
        </is>
      </c>
      <c r="AA121" s="19" t="inlineStr">
        <is>
          <t>From a fearless editor confident in his paper to a man who discovers what his own proprietors are prepared to do.</t>
        </is>
      </c>
      <c r="AB121" s="19" t="inlineStr">
        <is>
          <t>Principled</t>
        </is>
      </c>
      <c r="AC121" s="5" t="inlineStr">
        <is>
          <t>Falls prey to the corrupt nexus between politicians and media owners.</t>
        </is>
      </c>
      <c r="AD121" s="5" t="inlineStr">
        <is>
          <t>Sharmila Tagore</t>
        </is>
      </c>
      <c r="AE121" s="5" t="inlineStr">
        <is>
          <t>Minor</t>
        </is>
      </c>
      <c r="AF121" s="20" t="n">
        <v>3</v>
      </c>
      <c r="AG121" s="19" t="inlineStr">
        <is>
          <t>Established relationship</t>
        </is>
      </c>
      <c r="AH121" s="5" t="n"/>
      <c r="AI121" s="5" t="n"/>
      <c r="AJ121" s="5" t="n"/>
      <c r="AK121" s="5" t="n"/>
      <c r="AL121" s="5" t="n"/>
      <c r="AM121" s="5" t="n"/>
      <c r="AN121" s="5" t="inlineStr">
        <is>
          <t>Not documented</t>
        </is>
      </c>
      <c r="AO121" s="18" t="n"/>
      <c r="AP121" s="19" t="inlineStr">
        <is>
          <t>Highly regarded; written by Gulzar and the debut feature of Ramesh Sharma. No box-office figure was located.</t>
        </is>
      </c>
      <c r="AQ121" s="19" t="inlineStr">
        <is>
          <t>Won three National Film Awards for 1985: Best Actor for Shashi Kapoor, Best Debut Film of a Director for Ramesh Sharma, and Best Cinematography for Subrata Mitra. Kapoor also won his second BFJA Award for Best Actor (Hindi) for the role, twenty-one years after the first for Jab Jab Phool Khile.</t>
        </is>
      </c>
      <c r="AR121" s="5" t="inlineStr">
        <is>
          <t>SOURCE-001; SOURCE-104; SOURCE-128</t>
        </is>
      </c>
      <c r="AS121" s="5" t="inlineStr">
        <is>
          <t>High</t>
        </is>
      </c>
      <c r="AT121" s="5" t="inlineStr">
        <is>
          <t>The performance for which Kapoor won his only competitive National Film Award as an actor; his earlier National Award for Junoon was as producer.</t>
        </is>
      </c>
    </row>
    <row r="122" ht="64" customHeight="1">
      <c r="A122" s="15" t="inlineStr">
        <is>
          <t>FILM-121</t>
        </is>
      </c>
      <c r="B122" s="5" t="inlineStr">
        <is>
          <t>Ek Main Aur Ek Tu</t>
        </is>
      </c>
      <c r="C122" s="5" t="inlineStr">
        <is>
          <t>1986</t>
        </is>
      </c>
      <c r="D122" s="17" t="n">
        <v>1986</v>
      </c>
      <c r="E122" s="5" t="inlineStr">
        <is>
          <t>1980s</t>
        </is>
      </c>
      <c r="F122" s="5" t="inlineStr">
        <is>
          <t>Hindi</t>
        </is>
      </c>
      <c r="G122" s="5" t="inlineStr">
        <is>
          <t>Drama</t>
        </is>
      </c>
      <c r="H122" s="5" t="n"/>
      <c r="I122" s="18" t="n"/>
      <c r="J122" s="5" t="inlineStr">
        <is>
          <t>Ravi Tandon</t>
        </is>
      </c>
      <c r="K122" s="5" t="n"/>
      <c r="L122" s="5" t="n"/>
      <c r="M122" s="5" t="n"/>
      <c r="N122" s="5" t="n"/>
      <c r="O122" s="5" t="inlineStr">
        <is>
          <t>R. D. Burman</t>
        </is>
      </c>
      <c r="P122" s="5" t="n"/>
      <c r="Q122" s="5" t="n"/>
      <c r="R122" s="5" t="inlineStr">
        <is>
          <t>Satyendranath Malhotra</t>
        </is>
      </c>
      <c r="S122" s="5" t="n"/>
      <c r="T122" s="5" t="inlineStr">
        <is>
          <t>Lead</t>
        </is>
      </c>
      <c r="U122" s="20" t="n">
        <v>1</v>
      </c>
      <c r="V122" s="5" t="inlineStr">
        <is>
          <t>Not documented</t>
        </is>
      </c>
      <c r="W122" s="5" t="n"/>
      <c r="X122" s="19" t="inlineStr">
        <is>
          <t>Kapoor plays Satyendranath Malhotra opposite Tanuja. The article consists of a cast list with no character mappings, a soundtrack listing and nothing else, so the story and everything about the part beyond the character name, which comes from the filmography, are undocumented.</t>
        </is>
      </c>
      <c r="Y122" s="19" t="n"/>
      <c r="Z122" s="19" t="n"/>
      <c r="AA122" s="19" t="n"/>
      <c r="AB122" s="19" t="n"/>
      <c r="AC122" s="5" t="n"/>
      <c r="AD122" s="5" t="inlineStr">
        <is>
          <t>Tanuja</t>
        </is>
      </c>
      <c r="AE122" s="5" t="n"/>
      <c r="AF122" s="18" t="n"/>
      <c r="AG122" s="19" t="n"/>
      <c r="AH122" s="5" t="n"/>
      <c r="AI122" s="5" t="n"/>
      <c r="AJ122" s="5" t="n"/>
      <c r="AK122" s="5" t="n"/>
      <c r="AL122" s="5" t="n"/>
      <c r="AM122" s="5" t="n"/>
      <c r="AN122" s="5" t="inlineStr">
        <is>
          <t>Not documented</t>
        </is>
      </c>
      <c r="AO122" s="18" t="n"/>
      <c r="AP122" s="19" t="inlineStr">
        <is>
          <t>No contemporary review was located in the sources consulted.</t>
        </is>
      </c>
      <c r="AQ122" s="19" t="n"/>
      <c r="AR122" s="5" t="inlineStr">
        <is>
          <t>SOURCE-001; SOURCE-105</t>
        </is>
      </c>
      <c r="AS122" s="5" t="inlineStr">
        <is>
          <t>Low</t>
        </is>
      </c>
      <c r="AT122" s="5" t="inlineStr">
        <is>
          <t>The article has no plot section and its cast list gives no character mappings, so romance presence and the narrative fields are left blank rather than inferred and no Romances row is created.</t>
        </is>
      </c>
    </row>
    <row r="123" ht="79" customHeight="1">
      <c r="A123" s="15" t="inlineStr">
        <is>
          <t>FILM-122</t>
        </is>
      </c>
      <c r="B123" s="5" t="inlineStr">
        <is>
          <t>Aurat</t>
        </is>
      </c>
      <c r="C123" s="5" t="inlineStr">
        <is>
          <t>1986</t>
        </is>
      </c>
      <c r="D123" s="17" t="n">
        <v>1986</v>
      </c>
      <c r="E123" s="5" t="inlineStr">
        <is>
          <t>1980s</t>
        </is>
      </c>
      <c r="F123" s="5" t="n"/>
      <c r="G123" s="5" t="inlineStr">
        <is>
          <t>Drama</t>
        </is>
      </c>
      <c r="H123" s="5" t="n"/>
      <c r="I123" s="18" t="n"/>
      <c r="J123" s="5" t="n"/>
      <c r="K123" s="5" t="n"/>
      <c r="L123" s="5" t="n"/>
      <c r="M123" s="5" t="n"/>
      <c r="N123" s="5" t="n"/>
      <c r="O123" s="5" t="n"/>
      <c r="P123" s="5" t="n"/>
      <c r="Q123" s="5" t="n"/>
      <c r="R123" s="5" t="inlineStr">
        <is>
          <t>Himself</t>
        </is>
      </c>
      <c r="S123" s="5" t="n"/>
      <c r="T123" s="5" t="inlineStr">
        <is>
          <t>Self appearance</t>
        </is>
      </c>
      <c r="U123" s="18" t="n"/>
      <c r="V123" s="5" t="n"/>
      <c r="W123" s="5" t="n"/>
      <c r="X123" s="19" t="inlineStr">
        <is>
          <t>A guest appearance as himself. No Wikipedia article or other source was located, so the context of the appearance is undocumented; the filmography records only that he appears as himself.</t>
        </is>
      </c>
      <c r="Y123" s="19" t="n"/>
      <c r="Z123" s="19" t="n"/>
      <c r="AA123" s="19" t="n"/>
      <c r="AB123" s="19" t="n"/>
      <c r="AC123" s="5" t="n"/>
      <c r="AD123" s="5" t="n"/>
      <c r="AE123" s="5" t="inlineStr">
        <is>
          <t>None</t>
        </is>
      </c>
      <c r="AF123" s="18" t="n"/>
      <c r="AG123" s="19" t="inlineStr">
        <is>
          <t>No meaningful romance</t>
        </is>
      </c>
      <c r="AH123" s="5" t="n"/>
      <c r="AI123" s="5" t="n"/>
      <c r="AJ123" s="5" t="n"/>
      <c r="AK123" s="5" t="n"/>
      <c r="AL123" s="5" t="n"/>
      <c r="AM123" s="5" t="n"/>
      <c r="AN123" s="5" t="n"/>
      <c r="AO123" s="18" t="n"/>
      <c r="AP123" s="19" t="n"/>
      <c r="AQ123" s="19" t="n"/>
      <c r="AR123" s="5" t="inlineStr">
        <is>
          <t>SOURCE-001</t>
        </is>
      </c>
      <c r="AS123" s="5" t="inlineStr">
        <is>
          <t>Low</t>
        </is>
      </c>
      <c r="AT123" s="5" t="inlineStr">
        <is>
          <t>Filmography notes: Guest appearance. No Wikipedia film article; fields come from the filmography table. No film article exists. Role type is Self appearance on the filmography's own description of the credit as a guest appearance.</t>
        </is>
      </c>
    </row>
    <row r="124" ht="79" customHeight="1">
      <c r="A124" s="15" t="inlineStr">
        <is>
          <t>FILM-123</t>
        </is>
      </c>
      <c r="B124" s="5" t="inlineStr">
        <is>
          <t>Ilzaam</t>
        </is>
      </c>
      <c r="C124" s="16" t="n">
        <v>31471</v>
      </c>
      <c r="D124" s="17" t="n">
        <v>1986</v>
      </c>
      <c r="E124" s="5" t="inlineStr">
        <is>
          <t>1980s</t>
        </is>
      </c>
      <c r="F124" s="5" t="inlineStr">
        <is>
          <t>Hindi</t>
        </is>
      </c>
      <c r="G124" s="5" t="inlineStr">
        <is>
          <t>Action drama</t>
        </is>
      </c>
      <c r="H124" s="5" t="n"/>
      <c r="I124" s="17" t="n">
        <v>165</v>
      </c>
      <c r="J124" s="5" t="inlineStr">
        <is>
          <t>Shibu Mitra</t>
        </is>
      </c>
      <c r="K124" s="5" t="inlineStr">
        <is>
          <t>Pahlaj Nihalani</t>
        </is>
      </c>
      <c r="L124" s="5" t="n"/>
      <c r="M124" s="5" t="inlineStr">
        <is>
          <t>Ram Kelkar; Rahi Masoom Reza; Faiz Saleem</t>
        </is>
      </c>
      <c r="N124" s="5" t="n"/>
      <c r="O124" s="5" t="inlineStr">
        <is>
          <t>Bappi Lahiri</t>
        </is>
      </c>
      <c r="P124" s="5" t="n"/>
      <c r="Q124" s="5" t="inlineStr">
        <is>
          <t>Anjaan</t>
        </is>
      </c>
      <c r="R124" s="5" t="inlineStr">
        <is>
          <t>Police Commissioner Ranjit Singh</t>
        </is>
      </c>
      <c r="S124" s="5" t="n"/>
      <c r="T124" s="5" t="inlineStr">
        <is>
          <t>Supporting</t>
        </is>
      </c>
      <c r="U124" s="20" t="n">
        <v>1</v>
      </c>
      <c r="V124" s="5" t="inlineStr">
        <is>
          <t>Police commissioner</t>
        </is>
      </c>
      <c r="W124" s="5" t="n"/>
      <c r="X124" s="19" t="inlineStr">
        <is>
          <t>Kapoor plays Police Commissioner Ranjit Singh in the film that launched Govinda. The plot follows the orphaned Ajay, his thwarted love for the wealthy Aarti and his double life as a street entertainer covering for burglars, with the commissioner above the investigating inspector rather than inside the story.</t>
        </is>
      </c>
      <c r="Y124" s="19" t="inlineStr">
        <is>
          <t>The enforcement of the law in a case his own inspector is working.</t>
        </is>
      </c>
      <c r="Z124" s="19" t="inlineStr">
        <is>
          <t>Not developed; the conflicts belong to Ajay and Suraj Prasad.</t>
        </is>
      </c>
      <c r="AA124" s="19" t="n"/>
      <c r="AB124" s="19" t="inlineStr">
        <is>
          <t>Good</t>
        </is>
      </c>
      <c r="AC124" s="5" t="inlineStr">
        <is>
          <t>Not separately documented.</t>
        </is>
      </c>
      <c r="AD124" s="5" t="inlineStr">
        <is>
          <t>Neelam; Anita Raj</t>
        </is>
      </c>
      <c r="AE124" s="5" t="inlineStr">
        <is>
          <t>None</t>
        </is>
      </c>
      <c r="AF124" s="20" t="n">
        <v>7</v>
      </c>
      <c r="AG124" s="19" t="inlineStr">
        <is>
          <t>No meaningful romance</t>
        </is>
      </c>
      <c r="AH124" s="5" t="n"/>
      <c r="AI124" s="5" t="n"/>
      <c r="AJ124" s="5" t="n"/>
      <c r="AK124" s="5" t="n"/>
      <c r="AL124" s="5" t="n"/>
      <c r="AM124" s="5" t="n"/>
      <c r="AN124" s="5" t="inlineStr">
        <is>
          <t>Hit</t>
        </is>
      </c>
      <c r="AO124" s="18" t="n"/>
      <c r="AP124" s="19" t="inlineStr">
        <is>
          <t>No contemporary review was located; the Shashi Kapoor article records Ilzaam as a huge hit and one of the top grossers of 1986.</t>
        </is>
      </c>
      <c r="AQ124" s="19" t="inlineStr">
        <is>
          <t>Govinda's debut film; he and Neelam went on to appear with Kapoor again in Sindoor and Farz Ki Jung.</t>
        </is>
      </c>
      <c r="AR124" s="5" t="inlineStr">
        <is>
          <t>SOURCE-001; SOURCE-101; SOURCE-128</t>
        </is>
      </c>
      <c r="AS124" s="5" t="inlineStr">
        <is>
          <t>Medium</t>
        </is>
      </c>
      <c r="AT124" s="5" t="inlineStr">
        <is>
          <t>The film's romance is Ajay's with Aarti, played by Govinda and Neelam; the commissioner has none, so romance presence is recorded as None and the centrality score refers to the film's romantic content rather than his role.</t>
        </is>
      </c>
    </row>
    <row r="125" ht="79" customHeight="1">
      <c r="A125" s="15" t="inlineStr">
        <is>
          <t>FILM-124</t>
        </is>
      </c>
      <c r="B125" s="5" t="inlineStr">
        <is>
          <t>Swati</t>
        </is>
      </c>
      <c r="C125" s="16" t="n">
        <v>31534</v>
      </c>
      <c r="D125" s="17" t="n">
        <v>1986</v>
      </c>
      <c r="E125" s="5" t="inlineStr">
        <is>
          <t>1980s</t>
        </is>
      </c>
      <c r="F125" s="5" t="inlineStr">
        <is>
          <t>Hindi</t>
        </is>
      </c>
      <c r="G125" s="5" t="inlineStr">
        <is>
          <t>Romantic drama</t>
        </is>
      </c>
      <c r="H125" s="5" t="inlineStr">
        <is>
          <t>Family drama</t>
        </is>
      </c>
      <c r="I125" s="18" t="n"/>
      <c r="J125" s="5" t="inlineStr">
        <is>
          <t>Kranthi Kumar</t>
        </is>
      </c>
      <c r="K125" s="5" t="inlineStr">
        <is>
          <t>L. V. Prasad</t>
        </is>
      </c>
      <c r="L125" s="5" t="n"/>
      <c r="M125" s="5" t="inlineStr">
        <is>
          <t>Kranthi Kumar</t>
        </is>
      </c>
      <c r="N125" s="5" t="inlineStr">
        <is>
          <t>Remake of director's own Telugu film of the same name</t>
        </is>
      </c>
      <c r="O125" s="5" t="inlineStr">
        <is>
          <t>Laxmikant–Pyarelal</t>
        </is>
      </c>
      <c r="P125" s="5" t="n"/>
      <c r="Q125" s="5" t="inlineStr">
        <is>
          <t>Anand Bakshi</t>
        </is>
      </c>
      <c r="R125" s="5" t="inlineStr">
        <is>
          <t>Dr. Rajendra Prasad</t>
        </is>
      </c>
      <c r="S125" s="5" t="n"/>
      <c r="T125" s="5" t="inlineStr">
        <is>
          <t>Supporting</t>
        </is>
      </c>
      <c r="U125" s="20" t="n">
        <v>1</v>
      </c>
      <c r="V125" s="5" t="inlineStr">
        <is>
          <t>Doctor</t>
        </is>
      </c>
      <c r="W125" s="5" t="inlineStr">
        <is>
          <t>Widower of means in a small southern town, with a daughter of his own</t>
        </is>
      </c>
      <c r="X125" s="19" t="inlineStr">
        <is>
          <t>Dr. Rajendra employs Sharda as a nurse after she relocates south with the daughter she bore alone. Years later, when Swati will not marry while her mother has no one, she asks the now widowed Rajendra to marry Sharda, and he agrees. The marriage brings both women into his household alongside his own daughter Anandi.</t>
        </is>
      </c>
      <c r="Y125" s="19" t="inlineStr">
        <is>
          <t>To give Sharda and her daughter a household, and his own daughter a mother.</t>
        </is>
      </c>
      <c r="Z125" s="19" t="inlineStr">
        <is>
          <t>A marriage contracted for other people's sake, into which Sharda's past then returns.</t>
        </is>
      </c>
      <c r="AA125" s="19" t="inlineStr">
        <is>
          <t>From employer to widower to husband, in a film whose arc belongs to Swati.</t>
        </is>
      </c>
      <c r="AB125" s="19" t="inlineStr">
        <is>
          <t>Good</t>
        </is>
      </c>
      <c r="AC125" s="5" t="inlineStr">
        <is>
          <t>Not separately resolved; the summary turns on Satya Prakash's return into Sharda's life.</t>
        </is>
      </c>
      <c r="AD125" s="5" t="inlineStr">
        <is>
          <t>Sharmila Tagore</t>
        </is>
      </c>
      <c r="AE125" s="5" t="inlineStr">
        <is>
          <t>Secondary</t>
        </is>
      </c>
      <c r="AF125" s="20" t="n">
        <v>6</v>
      </c>
      <c r="AG125" s="19" t="inlineStr">
        <is>
          <t>Established relationship</t>
        </is>
      </c>
      <c r="AH125" s="5" t="n"/>
      <c r="AI125" s="5" t="n"/>
      <c r="AJ125" s="5" t="n"/>
      <c r="AK125" s="5" t="n"/>
      <c r="AL125" s="5" t="n"/>
      <c r="AM125" s="5" t="n"/>
      <c r="AN125" s="5" t="inlineStr">
        <is>
          <t>Not documented</t>
        </is>
      </c>
      <c r="AO125" s="18" t="n"/>
      <c r="AP125" s="19" t="inlineStr">
        <is>
          <t>No contemporary review was located in the sources consulted.</t>
        </is>
      </c>
      <c r="AQ125" s="19" t="inlineStr">
        <is>
          <t>An early screen appearance by Madhuri Dixit, as his daughter Anandi.</t>
        </is>
      </c>
      <c r="AR125" s="5" t="inlineStr">
        <is>
          <t>SOURCE-001; SOURCE-102</t>
        </is>
      </c>
      <c r="AS125" s="5" t="inlineStr">
        <is>
          <t>Medium</t>
        </is>
      </c>
      <c r="AT125" s="5" t="inlineStr">
        <is>
          <t>Kapoor's eighth and final film opposite Sharmila Tagore, and the only one in which they play a marriage arranged by a third party for practical rather than romantic reasons.</t>
        </is>
      </c>
    </row>
    <row r="126" ht="94" customHeight="1">
      <c r="A126" s="15" t="inlineStr">
        <is>
          <t>FILM-125</t>
        </is>
      </c>
      <c r="B126" s="5" t="inlineStr">
        <is>
          <t>Maa Beti</t>
        </is>
      </c>
      <c r="C126" s="16" t="n">
        <v>31569</v>
      </c>
      <c r="D126" s="17" t="n">
        <v>1986</v>
      </c>
      <c r="E126" s="5" t="inlineStr">
        <is>
          <t>1980s</t>
        </is>
      </c>
      <c r="F126" s="5" t="inlineStr">
        <is>
          <t>Hindi</t>
        </is>
      </c>
      <c r="G126" s="5" t="inlineStr">
        <is>
          <t>Family drama</t>
        </is>
      </c>
      <c r="H126" s="5" t="n"/>
      <c r="I126" s="17" t="n">
        <v>158</v>
      </c>
      <c r="J126" s="5" t="inlineStr">
        <is>
          <t>Kalpataru</t>
        </is>
      </c>
      <c r="K126" s="5" t="inlineStr">
        <is>
          <t>Shiv Kumar Jain; Mohanji Prasad</t>
        </is>
      </c>
      <c r="L126" s="5" t="n"/>
      <c r="M126" s="5" t="inlineStr">
        <is>
          <t>Keshav Rathod; K. B. Pathak; Mahender Dehlvi</t>
        </is>
      </c>
      <c r="N126" s="5" t="n"/>
      <c r="O126" s="5" t="inlineStr">
        <is>
          <t>Anand-Milind</t>
        </is>
      </c>
      <c r="P126" s="5" t="n"/>
      <c r="Q126" s="5" t="n"/>
      <c r="R126" s="5" t="inlineStr">
        <is>
          <t>Dhanraj</t>
        </is>
      </c>
      <c r="S126" s="5" t="n"/>
      <c r="T126" s="5" t="inlineStr">
        <is>
          <t>Supporting</t>
        </is>
      </c>
      <c r="U126" s="20" t="n">
        <v>1</v>
      </c>
      <c r="V126" s="5" t="inlineStr">
        <is>
          <t>Businessman</t>
        </is>
      </c>
      <c r="W126" s="5" t="n"/>
      <c r="X126" s="19" t="inlineStr">
        <is>
          <t>Kapoor is billed first as Dhanraj in a family melodrama whose plot concerns Savitri, her death after a second childbirth, her husband's remarriage to Laxmi and the brother-in-law who swindles the family. The article's cast list gives Kapoor no character mapping and its plot names the husband only as her businessman husband, so his place in the story is not documented.</t>
        </is>
      </c>
      <c r="Y126" s="19" t="n"/>
      <c r="Z126" s="19" t="n"/>
      <c r="AA126" s="19" t="n"/>
      <c r="AB126" s="19" t="n"/>
      <c r="AC126" s="5" t="n"/>
      <c r="AD126" s="5" t="inlineStr">
        <is>
          <t>Sharmila Tagore; Tanuja</t>
        </is>
      </c>
      <c r="AE126" s="5" t="n"/>
      <c r="AF126" s="18" t="n"/>
      <c r="AG126" s="19" t="n"/>
      <c r="AH126" s="5" t="n"/>
      <c r="AI126" s="5" t="n"/>
      <c r="AJ126" s="5" t="n"/>
      <c r="AK126" s="5" t="n"/>
      <c r="AL126" s="5" t="n"/>
      <c r="AM126" s="5" t="n"/>
      <c r="AN126" s="5" t="inlineStr">
        <is>
          <t>Not documented</t>
        </is>
      </c>
      <c r="AO126" s="18" t="n"/>
      <c r="AP126" s="19" t="inlineStr">
        <is>
          <t>No contemporary review was located in the sources consulted.</t>
        </is>
      </c>
      <c r="AQ126" s="19" t="n"/>
      <c r="AR126" s="5" t="inlineStr">
        <is>
          <t>SOURCE-001; SOURCE-103</t>
        </is>
      </c>
      <c r="AS126" s="5" t="inlineStr">
        <is>
          <t>Low</t>
        </is>
      </c>
      <c r="AT126" s="5" t="inlineStr">
        <is>
          <t>The plot section refers only to Savitri's businessman husband and never names Dhanraj, and the cast list attaches no character to Kapoor, so identifying him as the husband would rest on billing order alone. Romance presence and the narrative fields are therefore left blank and no Romances row is created.</t>
        </is>
      </c>
    </row>
    <row r="127" ht="79" customHeight="1">
      <c r="A127" s="15" t="inlineStr">
        <is>
          <t>FILM-126</t>
        </is>
      </c>
      <c r="B127" s="5" t="inlineStr">
        <is>
          <t>Ghar Ka Sukh</t>
        </is>
      </c>
      <c r="C127" s="5" t="inlineStr">
        <is>
          <t>1987</t>
        </is>
      </c>
      <c r="D127" s="17" t="n">
        <v>1987</v>
      </c>
      <c r="E127" s="5" t="inlineStr">
        <is>
          <t>1980s</t>
        </is>
      </c>
      <c r="F127" s="5" t="n"/>
      <c r="G127" s="5" t="inlineStr">
        <is>
          <t>Drama</t>
        </is>
      </c>
      <c r="H127" s="5" t="n"/>
      <c r="I127" s="18" t="n"/>
      <c r="J127" s="5" t="n"/>
      <c r="K127" s="5" t="n"/>
      <c r="L127" s="5" t="n"/>
      <c r="M127" s="5" t="n"/>
      <c r="N127" s="5" t="n"/>
      <c r="O127" s="5" t="n"/>
      <c r="P127" s="5" t="n"/>
      <c r="Q127" s="5" t="n"/>
      <c r="R127" s="5" t="inlineStr">
        <is>
          <t>Himself</t>
        </is>
      </c>
      <c r="S127" s="5" t="n"/>
      <c r="T127" s="5" t="inlineStr">
        <is>
          <t>Self appearance</t>
        </is>
      </c>
      <c r="U127" s="18" t="n"/>
      <c r="V127" s="5" t="n"/>
      <c r="W127" s="5" t="n"/>
      <c r="X127" s="19" t="inlineStr">
        <is>
          <t>A guest appearance as himself. No Wikipedia article or other source was located, so the context of the appearance is undocumented; the filmography records only that he appears as himself.</t>
        </is>
      </c>
      <c r="Y127" s="19" t="n"/>
      <c r="Z127" s="19" t="n"/>
      <c r="AA127" s="19" t="n"/>
      <c r="AB127" s="19" t="n"/>
      <c r="AC127" s="5" t="n"/>
      <c r="AD127" s="5" t="n"/>
      <c r="AE127" s="5" t="inlineStr">
        <is>
          <t>None</t>
        </is>
      </c>
      <c r="AF127" s="18" t="n"/>
      <c r="AG127" s="19" t="inlineStr">
        <is>
          <t>No meaningful romance</t>
        </is>
      </c>
      <c r="AH127" s="5" t="n"/>
      <c r="AI127" s="5" t="n"/>
      <c r="AJ127" s="5" t="n"/>
      <c r="AK127" s="5" t="n"/>
      <c r="AL127" s="5" t="n"/>
      <c r="AM127" s="5" t="n"/>
      <c r="AN127" s="5" t="n"/>
      <c r="AO127" s="18" t="n"/>
      <c r="AP127" s="19" t="n"/>
      <c r="AQ127" s="19" t="n"/>
      <c r="AR127" s="5" t="inlineStr">
        <is>
          <t>SOURCE-001</t>
        </is>
      </c>
      <c r="AS127" s="5" t="inlineStr">
        <is>
          <t>Low</t>
        </is>
      </c>
      <c r="AT127" s="5" t="inlineStr">
        <is>
          <t>Filmography notes: Guest appearance. No Wikipedia film article; fields come from the filmography table. No film article exists. Role type is Self appearance on the filmography's own description of the credit as a guest appearance.</t>
        </is>
      </c>
    </row>
    <row r="128" ht="79" customHeight="1">
      <c r="A128" s="15" t="inlineStr">
        <is>
          <t>FILM-127</t>
        </is>
      </c>
      <c r="B128" s="5" t="inlineStr">
        <is>
          <t>Anjaam</t>
        </is>
      </c>
      <c r="C128" s="5" t="inlineStr">
        <is>
          <t>1987</t>
        </is>
      </c>
      <c r="D128" s="17" t="n">
        <v>1987</v>
      </c>
      <c r="E128" s="5" t="inlineStr">
        <is>
          <t>1980s</t>
        </is>
      </c>
      <c r="F128" s="5" t="n"/>
      <c r="G128" s="5" t="inlineStr">
        <is>
          <t>Drama</t>
        </is>
      </c>
      <c r="H128" s="5" t="n"/>
      <c r="I128" s="18" t="n"/>
      <c r="J128" s="5" t="n"/>
      <c r="K128" s="5" t="n"/>
      <c r="L128" s="5" t="n"/>
      <c r="M128" s="5" t="n"/>
      <c r="N128" s="5" t="n"/>
      <c r="O128" s="5" t="n"/>
      <c r="P128" s="5" t="n"/>
      <c r="Q128" s="5" t="n"/>
      <c r="R128" s="5" t="inlineStr">
        <is>
          <t>Thakur</t>
        </is>
      </c>
      <c r="S128" s="5" t="n"/>
      <c r="T128" s="5" t="n"/>
      <c r="U128" s="18" t="n"/>
      <c r="V128" s="5" t="n"/>
      <c r="W128" s="5" t="n"/>
      <c r="X128" s="19" t="inlineStr">
        <is>
          <t>No Wikipedia article or other plot source was located for this film, and the Shashi Kapoor article does not mention it. Only the character name Thakur, taken from his filmography, is documented; the size of the part, the cast opposite him and the film's reception are all unrecorded.</t>
        </is>
      </c>
      <c r="Y128" s="19" t="n"/>
      <c r="Z128" s="19" t="n"/>
      <c r="AA128" s="19" t="n"/>
      <c r="AB128" s="19" t="n"/>
      <c r="AC128" s="5" t="n"/>
      <c r="AD128" s="5" t="n"/>
      <c r="AE128" s="5" t="n"/>
      <c r="AF128" s="18" t="n"/>
      <c r="AG128" s="19" t="n"/>
      <c r="AH128" s="5" t="n"/>
      <c r="AI128" s="5" t="n"/>
      <c r="AJ128" s="5" t="n"/>
      <c r="AK128" s="5" t="n"/>
      <c r="AL128" s="5" t="n"/>
      <c r="AM128" s="5" t="n"/>
      <c r="AN128" s="5" t="n"/>
      <c r="AO128" s="18" t="n"/>
      <c r="AP128" s="19" t="n"/>
      <c r="AQ128" s="19" t="n"/>
      <c r="AR128" s="5" t="inlineStr">
        <is>
          <t>SOURCE-001</t>
        </is>
      </c>
      <c r="AS128" s="5" t="inlineStr">
        <is>
          <t>Unknown</t>
        </is>
      </c>
      <c r="AT128" s="5" t="inlineStr">
        <is>
          <t>No Wikipedia film article; fields come from the filmography table. No film article exists and the biographical article is silent on this title, so role type, narrative fields and romance fields are left blank rather than inferred.</t>
        </is>
      </c>
    </row>
    <row r="129" ht="79" customHeight="1">
      <c r="A129" s="15" t="inlineStr">
        <is>
          <t>FILM-128</t>
        </is>
      </c>
      <c r="B129" s="5" t="inlineStr">
        <is>
          <t>Naam O Nishan</t>
        </is>
      </c>
      <c r="C129" s="16" t="n">
        <v>31912</v>
      </c>
      <c r="D129" s="17" t="n">
        <v>1987</v>
      </c>
      <c r="E129" s="5" t="inlineStr">
        <is>
          <t>1980s</t>
        </is>
      </c>
      <c r="F129" s="5" t="inlineStr">
        <is>
          <t>Hindi</t>
        </is>
      </c>
      <c r="G129" s="5" t="inlineStr">
        <is>
          <t>Action thriller</t>
        </is>
      </c>
      <c r="H129" s="5" t="n"/>
      <c r="I129" s="18" t="n"/>
      <c r="J129" s="5" t="inlineStr">
        <is>
          <t>Ajay Kashyap</t>
        </is>
      </c>
      <c r="K129" s="5" t="inlineStr">
        <is>
          <t>B. P. Verma</t>
        </is>
      </c>
      <c r="L129" s="5" t="n"/>
      <c r="M129" s="5" t="inlineStr">
        <is>
          <t>Santosh Saroj</t>
        </is>
      </c>
      <c r="N129" s="5" t="n"/>
      <c r="O129" s="5" t="inlineStr">
        <is>
          <t>Anu Malik</t>
        </is>
      </c>
      <c r="P129" s="5" t="n"/>
      <c r="Q129" s="5" t="inlineStr">
        <is>
          <t>Indeevar</t>
        </is>
      </c>
      <c r="R129" s="5" t="inlineStr">
        <is>
          <t>Inspector Sangram Singh</t>
        </is>
      </c>
      <c r="S129" s="5" t="n"/>
      <c r="T129" s="5" t="inlineStr">
        <is>
          <t>Supporting</t>
        </is>
      </c>
      <c r="U129" s="18" t="n"/>
      <c r="V129" s="5" t="inlineStr">
        <is>
          <t>Police inspector</t>
        </is>
      </c>
      <c r="W129" s="5" t="inlineStr">
        <is>
          <t>Raises as his own the son of the bandit Jarnail Singh</t>
        </is>
      </c>
      <c r="X129" s="19" t="inlineStr">
        <is>
          <t>Inspector Sangram Singh has raised Suraj as his son without telling him he was sired by the bandit Jarnail Singh. He brings his brother Jaspal into the household, refuses to remove him even when it costs his daughter her marriage, and will not explain why. The concealment is the film's engine and it is his.</t>
        </is>
      </c>
      <c r="Y129" s="19" t="inlineStr">
        <is>
          <t>To keep his son's parentage hidden and his brother in the house.</t>
        </is>
      </c>
      <c r="Z129" s="19" t="inlineStr">
        <is>
          <t>A secret that costs his daughter a marriage and his son an explanation.</t>
        </is>
      </c>
      <c r="AA129" s="19" t="inlineStr">
        <is>
          <t>Not traced in detail by the article's plot, which follows Suraj.</t>
        </is>
      </c>
      <c r="AB129" s="19" t="inlineStr">
        <is>
          <t>Good, withholding</t>
        </is>
      </c>
      <c r="AC129" s="5" t="inlineStr">
        <is>
          <t>Not separately documented.</t>
        </is>
      </c>
      <c r="AD129" s="5" t="inlineStr">
        <is>
          <t>Amrita Singh</t>
        </is>
      </c>
      <c r="AE129" s="5" t="inlineStr">
        <is>
          <t>None</t>
        </is>
      </c>
      <c r="AF129" s="20" t="n">
        <v>5</v>
      </c>
      <c r="AG129" s="19" t="inlineStr">
        <is>
          <t>No meaningful romance</t>
        </is>
      </c>
      <c r="AH129" s="5" t="n"/>
      <c r="AI129" s="5" t="n"/>
      <c r="AJ129" s="5" t="n"/>
      <c r="AK129" s="5" t="n"/>
      <c r="AL129" s="5" t="n"/>
      <c r="AM129" s="5" t="n"/>
      <c r="AN129" s="5" t="inlineStr">
        <is>
          <t>Not documented</t>
        </is>
      </c>
      <c r="AO129" s="18" t="n"/>
      <c r="AP129" s="19" t="inlineStr">
        <is>
          <t>No contemporary review was located in the sources consulted.</t>
        </is>
      </c>
      <c r="AQ129" s="19" t="n"/>
      <c r="AR129" s="5" t="inlineStr">
        <is>
          <t>SOURCE-001; SOURCE-110</t>
        </is>
      </c>
      <c r="AS129" s="5" t="inlineStr">
        <is>
          <t>Medium</t>
        </is>
      </c>
      <c r="AT129" s="5" t="inlineStr">
        <is>
          <t>Seema Deo is credited as Mrs. Sangram Singh, but the plot gives the marriage no content beyond the word mom, so it is recorded here rather than given a Romances row. The film's romance is Suraj's with Vanisha, played by Sanjay Dutt and Amrita Singh.</t>
        </is>
      </c>
    </row>
    <row r="130" ht="109" customHeight="1">
      <c r="A130" s="15" t="inlineStr">
        <is>
          <t>FILM-129</t>
        </is>
      </c>
      <c r="B130" s="5" t="inlineStr">
        <is>
          <t>Pyar Ki Jeet</t>
        </is>
      </c>
      <c r="C130" s="16" t="n">
        <v>31996</v>
      </c>
      <c r="D130" s="17" t="n">
        <v>1987</v>
      </c>
      <c r="E130" s="5" t="inlineStr">
        <is>
          <t>1980s</t>
        </is>
      </c>
      <c r="F130" s="5" t="inlineStr">
        <is>
          <t>Hindi</t>
        </is>
      </c>
      <c r="G130" s="5" t="inlineStr">
        <is>
          <t>Romantic drama</t>
        </is>
      </c>
      <c r="H130" s="5" t="inlineStr">
        <is>
          <t>Rural drama</t>
        </is>
      </c>
      <c r="I130" s="18" t="n"/>
      <c r="J130" s="5" t="inlineStr">
        <is>
          <t>Sawan Kumar Tak</t>
        </is>
      </c>
      <c r="K130" s="5" t="inlineStr">
        <is>
          <t>Sawan Kumar Tak</t>
        </is>
      </c>
      <c r="L130" s="5" t="n"/>
      <c r="M130" s="5" t="n"/>
      <c r="N130" s="5" t="n"/>
      <c r="O130" s="5" t="inlineStr">
        <is>
          <t>Usha Khanna</t>
        </is>
      </c>
      <c r="P130" s="5" t="n"/>
      <c r="Q130" s="5" t="inlineStr">
        <is>
          <t>Sawan Kumar Tak</t>
        </is>
      </c>
      <c r="R130" s="5" t="inlineStr">
        <is>
          <t>Dr. Rehman</t>
        </is>
      </c>
      <c r="S130" s="5" t="n"/>
      <c r="T130" s="5" t="inlineStr">
        <is>
          <t>Supporting</t>
        </is>
      </c>
      <c r="U130" s="20" t="n">
        <v>2</v>
      </c>
      <c r="V130" s="5" t="inlineStr">
        <is>
          <t>Village doctor</t>
        </is>
      </c>
      <c r="W130" s="5" t="inlineStr">
        <is>
          <t>The village's one physician, treating everyone without charging</t>
        </is>
      </c>
      <c r="X130" s="19" t="inlineStr">
        <is>
          <t>Dr. Rehman is the village doctor who treats everyone without payment and the only person who understands Soni, whom the village writes off as a cheap woman for her trips to the city. He falls ill, which brings the young Dr. Anand to the village, and by the end he stands as Soni's father when Anand comes to ask for her hand.</t>
        </is>
      </c>
      <c r="Y130" s="19" t="inlineStr">
        <is>
          <t>The care of the village, and of Soni in particular.</t>
        </is>
      </c>
      <c r="Z130" s="19" t="inlineStr">
        <is>
          <t>Illness that he cannot treat himself, and a village that condemns the woman he defends.</t>
        </is>
      </c>
      <c r="AA130" s="19" t="inlineStr">
        <is>
          <t>From the village's sole doctor to a patient needing a surgeon, and to the father-figure who gives Soni away.</t>
        </is>
      </c>
      <c r="AB130" s="19" t="inlineStr">
        <is>
          <t>Good</t>
        </is>
      </c>
      <c r="AC130" s="5" t="inlineStr">
        <is>
          <t>Diagnosed with a brain tumour requiring an operation that Anand's estranged father must fund.</t>
        </is>
      </c>
      <c r="AD130" s="5" t="inlineStr">
        <is>
          <t>Rekha</t>
        </is>
      </c>
      <c r="AE130" s="5" t="inlineStr">
        <is>
          <t>None</t>
        </is>
      </c>
      <c r="AF130" s="20" t="n">
        <v>8</v>
      </c>
      <c r="AG130" s="19" t="inlineStr">
        <is>
          <t>No meaningful romance</t>
        </is>
      </c>
      <c r="AH130" s="5" t="n"/>
      <c r="AI130" s="5" t="n"/>
      <c r="AJ130" s="5" t="n"/>
      <c r="AK130" s="5" t="n"/>
      <c r="AL130" s="5" t="n"/>
      <c r="AM130" s="5" t="n"/>
      <c r="AN130" s="5" t="inlineStr">
        <is>
          <t>Not documented</t>
        </is>
      </c>
      <c r="AO130" s="18" t="n"/>
      <c r="AP130" s="19" t="inlineStr">
        <is>
          <t>No contemporary review was located in the sources consulted.</t>
        </is>
      </c>
      <c r="AQ130" s="19" t="n"/>
      <c r="AR130" s="5" t="inlineStr">
        <is>
          <t>SOURCE-001; SOURCE-109</t>
        </is>
      </c>
      <c r="AS130" s="5" t="inlineStr">
        <is>
          <t>Medium</t>
        </is>
      </c>
      <c r="AT130" s="5" t="inlineStr">
        <is>
          <t>The article's plot describes Anand as about to ask for Soni's hand from her calling father Dr. Rehman, which establishes Kapoor's character as a paternal figure rather than a romantic one; the romance is Anand's with Soni. As in Alag Alag, a role that pairs him on screen with a much-discussed actress in an explicitly non-romantic relation.</t>
        </is>
      </c>
    </row>
    <row r="131" ht="94" customHeight="1">
      <c r="A131" s="15" t="inlineStr">
        <is>
          <t>FILM-130</t>
        </is>
      </c>
      <c r="B131" s="5" t="inlineStr">
        <is>
          <t>Sindoor</t>
        </is>
      </c>
      <c r="C131" s="16" t="n">
        <v>32003</v>
      </c>
      <c r="D131" s="17" t="n">
        <v>1987</v>
      </c>
      <c r="E131" s="5" t="inlineStr">
        <is>
          <t>1980s</t>
        </is>
      </c>
      <c r="F131" s="5" t="inlineStr">
        <is>
          <t>Hindi</t>
        </is>
      </c>
      <c r="G131" s="5" t="inlineStr">
        <is>
          <t>Family drama</t>
        </is>
      </c>
      <c r="H131" s="5" t="inlineStr">
        <is>
          <t>Musical melodrama</t>
        </is>
      </c>
      <c r="I131" s="17" t="n">
        <v>165</v>
      </c>
      <c r="J131" s="5" t="inlineStr">
        <is>
          <t>K. Ravi Shankar</t>
        </is>
      </c>
      <c r="K131" s="5" t="inlineStr">
        <is>
          <t>A. Krishnamurthy</t>
        </is>
      </c>
      <c r="L131" s="5" t="inlineStr">
        <is>
          <t>Tinu International Films</t>
        </is>
      </c>
      <c r="M131" s="5" t="inlineStr">
        <is>
          <t>Kader Khan; K. Rangaraj; Gyandev Agnihotri</t>
        </is>
      </c>
      <c r="N131" s="5" t="inlineStr">
        <is>
          <t>Based on Unnai Naan Santhithen by K. Rangaraj</t>
        </is>
      </c>
      <c r="O131" s="5" t="inlineStr">
        <is>
          <t>Laxmikant–Pyarelal</t>
        </is>
      </c>
      <c r="P131" s="5" t="n"/>
      <c r="Q131" s="5" t="n"/>
      <c r="R131" s="5" t="inlineStr">
        <is>
          <t>Professor Vijay Choudhury</t>
        </is>
      </c>
      <c r="S131" s="5" t="n"/>
      <c r="T131" s="5" t="inlineStr">
        <is>
          <t>Lead</t>
        </is>
      </c>
      <c r="U131" s="20" t="n">
        <v>1</v>
      </c>
      <c r="V131" s="5" t="inlineStr">
        <is>
          <t>College professor of English</t>
        </is>
      </c>
      <c r="W131" s="5" t="inlineStr">
        <is>
          <t>Educated professional; separated from his wife for years without knowing where she is</t>
        </is>
      </c>
      <c r="X131" s="19" t="inlineStr">
        <is>
          <t>Professor Vijay Choudhury joins a college where his student Lalita sings a song only his wife loved. In flashback he is a husband who suspected Laxmi's singing partnership with Kumar, forced her from the house, learned that Kumar was marrying someone else, and could never find her again. Visiting Lalita's home he sees Laxmi in widow's clothes and resigns in shock.</t>
        </is>
      </c>
      <c r="Y131" s="19" t="inlineStr">
        <is>
          <t>To find the wife he drove out, once he learns she is alive.</t>
        </is>
      </c>
      <c r="Z131" s="19" t="inlineStr">
        <is>
          <t>A misconception that destroyed a marriage, and a second misconception on discovering her posing as a widow.</t>
        </is>
      </c>
      <c r="AA131" s="19" t="inlineStr">
        <is>
          <t>From a jealous husband to a man confronted, years later, with the exact cost of the suspicion, and with a daughter he did not know he had.</t>
        </is>
      </c>
      <c r="AB131" s="19" t="inlineStr">
        <is>
          <t>Good, ruined by jealousy</t>
        </is>
      </c>
      <c r="AC131" s="5" t="inlineStr">
        <is>
          <t>Reunited with Laxmi as she explains the widowhood she adopted to raise their daughter.</t>
        </is>
      </c>
      <c r="AD131" s="5" t="inlineStr">
        <is>
          <t>Jaya Prada</t>
        </is>
      </c>
      <c r="AE131" s="5" t="inlineStr">
        <is>
          <t>Central</t>
        </is>
      </c>
      <c r="AF131" s="20" t="n">
        <v>9</v>
      </c>
      <c r="AG131" s="19" t="inlineStr">
        <is>
          <t>Relationship damaged by mistrust</t>
        </is>
      </c>
      <c r="AH131" s="5" t="n"/>
      <c r="AI131" s="5" t="n"/>
      <c r="AJ131" s="5" t="n"/>
      <c r="AK131" s="5" t="n"/>
      <c r="AL131" s="5" t="n"/>
      <c r="AM131" s="5" t="n"/>
      <c r="AN131" s="5" t="inlineStr">
        <is>
          <t>Hit</t>
        </is>
      </c>
      <c r="AO131" s="18" t="n"/>
      <c r="AP131" s="19" t="inlineStr">
        <is>
          <t>No contemporary review was located. The Shashi Kapoor article records Sindoor as a hit and, pointedly, as his last box-office success.</t>
        </is>
      </c>
      <c r="AQ131" s="19" t="inlineStr">
        <is>
          <t>The last commercial success of Kapoor's career as a leading man. Rishi Kapoor appears in a special appearance and Jeetendra as a guest.</t>
        </is>
      </c>
      <c r="AR131" s="5" t="inlineStr">
        <is>
          <t>SOURCE-001; SOURCE-107; SOURCE-128</t>
        </is>
      </c>
      <c r="AS131" s="5" t="inlineStr">
        <is>
          <t>Medium</t>
        </is>
      </c>
      <c r="AT131" s="5" t="inlineStr">
        <is>
          <t>The song 'Patjhad Saawan Basant Bahaar' is the device by which the professor recognises his wife's daughter.</t>
        </is>
      </c>
    </row>
    <row r="132" ht="124" customHeight="1">
      <c r="A132" s="15" t="inlineStr">
        <is>
          <t>FILM-131</t>
        </is>
      </c>
      <c r="B132" s="5" t="inlineStr">
        <is>
          <t>Ijaazat</t>
        </is>
      </c>
      <c r="C132" s="16" t="n">
        <v>32031</v>
      </c>
      <c r="D132" s="17" t="n">
        <v>1987</v>
      </c>
      <c r="E132" s="5" t="inlineStr">
        <is>
          <t>1980s</t>
        </is>
      </c>
      <c r="F132" s="5" t="inlineStr">
        <is>
          <t>Hindi</t>
        </is>
      </c>
      <c r="G132" s="5" t="inlineStr">
        <is>
          <t>Musical romance</t>
        </is>
      </c>
      <c r="H132" s="5" t="inlineStr">
        <is>
          <t>Drama</t>
        </is>
      </c>
      <c r="I132" s="17" t="n">
        <v>137</v>
      </c>
      <c r="J132" s="5" t="inlineStr">
        <is>
          <t>Gulzar</t>
        </is>
      </c>
      <c r="K132" s="5" t="inlineStr">
        <is>
          <t>R. K. Gupta</t>
        </is>
      </c>
      <c r="L132" s="5" t="n"/>
      <c r="M132" s="5" t="inlineStr">
        <is>
          <t>Subodh Ghosh; Gulzar</t>
        </is>
      </c>
      <c r="N132" s="5" t="inlineStr">
        <is>
          <t>Based on the Bengali story Jatugriha by Subodh Ghosh, filmed in Bengali in 1964.</t>
        </is>
      </c>
      <c r="O132" s="5" t="inlineStr">
        <is>
          <t>R. D. Burman</t>
        </is>
      </c>
      <c r="P132" s="5" t="n"/>
      <c r="Q132" s="5" t="inlineStr">
        <is>
          <t>Gulzar</t>
        </is>
      </c>
      <c r="R132" s="5" t="inlineStr">
        <is>
          <t>Sudha's Husband</t>
        </is>
      </c>
      <c r="S132" s="5" t="n"/>
      <c r="T132" s="5" t="inlineStr">
        <is>
          <t>Cameo</t>
        </is>
      </c>
      <c r="U132" s="18" t="n"/>
      <c r="V132" s="5" t="inlineStr">
        <is>
          <t>Not documented</t>
        </is>
      </c>
      <c r="W132" s="5" t="n"/>
      <c r="X132" s="19" t="inlineStr">
        <is>
          <t>A cameo as the man Sudha has married by the time the film's present-day encounter takes place, years after her divorce from Mahender. He appears at the end of a film about a marriage broken by a husband's continuing attachment to another woman, and his function is to show that Sudha's life went on.</t>
        </is>
      </c>
      <c r="Y132" s="19" t="n"/>
      <c r="Z132" s="19" t="n"/>
      <c r="AA132" s="19" t="n"/>
      <c r="AB132" s="19" t="n"/>
      <c r="AC132" s="5" t="n"/>
      <c r="AD132" s="5" t="inlineStr">
        <is>
          <t>Rekha</t>
        </is>
      </c>
      <c r="AE132" s="5" t="inlineStr">
        <is>
          <t>Minor</t>
        </is>
      </c>
      <c r="AF132" s="20" t="n">
        <v>10</v>
      </c>
      <c r="AG132" s="19" t="inlineStr">
        <is>
          <t>Established relationship</t>
        </is>
      </c>
      <c r="AH132" s="5" t="n"/>
      <c r="AI132" s="5" t="n"/>
      <c r="AJ132" s="5" t="n"/>
      <c r="AK132" s="5" t="n"/>
      <c r="AL132" s="5" t="n"/>
      <c r="AM132" s="5" t="n"/>
      <c r="AN132" s="5" t="inlineStr">
        <is>
          <t>Flop</t>
        </is>
      </c>
      <c r="AO132" s="18" t="n"/>
      <c r="AP132" s="19" t="inlineStr">
        <is>
          <t>A commercial failure that drew very strong reviews. Filmfare called it one of Gulzar's most sensitive films and Rekha's most poignant performance; Lalit Mohan Joshi wrote that it recreates the tingling sensation of a mature romance and treats an unusual male-female relationship rarely broached in Hindi films; M. L. Dhawan in The Tribune praised Gulzar's mature treatment of the husband, wife and other woman triangle.</t>
        </is>
      </c>
      <c r="AQ132" s="19" t="inlineStr">
        <is>
          <t>Won two National Film Awards at the 35th ceremony, Best Lyrics for Gulzar and Best Female Playback Singer for Asha Bhosle, both for 'Mera Kuchh Saamaan', and the Filmfare Best Lyricist award, with Anuradha Patel nominated as Best Supporting Actress.</t>
        </is>
      </c>
      <c r="AR132" s="5" t="inlineStr">
        <is>
          <t>SOURCE-001; SOURCE-106; SOURCE-128</t>
        </is>
      </c>
      <c r="AS132" s="5" t="inlineStr">
        <is>
          <t>Medium</t>
        </is>
      </c>
      <c r="AT132" s="5" t="inlineStr">
        <is>
          <t>Filmography notes: Cameo. The filmography marks this a cameo and the character appears only as Sudha's present-day husband. The romance-centrality score refers to the film, which is wholly about a marriage and an affair, not to Kapoor's part; the relationship is recorded here rather than given a Romances row because the article's plot gives it no content beyond the fact of the marriage.</t>
        </is>
      </c>
    </row>
    <row r="133" ht="214" customHeight="1">
      <c r="A133" s="15" t="inlineStr">
        <is>
          <t>FILM-132</t>
        </is>
      </c>
      <c r="B133" s="5" t="inlineStr">
        <is>
          <t>Sammy and Rosie Get Laid</t>
        </is>
      </c>
      <c r="C133" s="16" t="n">
        <v>32033</v>
      </c>
      <c r="D133" s="17" t="n">
        <v>1987</v>
      </c>
      <c r="E133" s="5" t="inlineStr">
        <is>
          <t>1980s</t>
        </is>
      </c>
      <c r="F133" s="5" t="inlineStr">
        <is>
          <t>English</t>
        </is>
      </c>
      <c r="G133" s="5" t="inlineStr">
        <is>
          <t>Comedy drama</t>
        </is>
      </c>
      <c r="H133" s="5" t="inlineStr">
        <is>
          <t>Political drama</t>
        </is>
      </c>
      <c r="I133" s="17" t="n">
        <v>101</v>
      </c>
      <c r="J133" s="5" t="inlineStr">
        <is>
          <t>Stephen Frears</t>
        </is>
      </c>
      <c r="K133" s="5" t="inlineStr">
        <is>
          <t>Tim Bevan; Sarah Radclyffe</t>
        </is>
      </c>
      <c r="L133" s="5" t="inlineStr">
        <is>
          <t>FilmFour International; Working Title Films</t>
        </is>
      </c>
      <c r="M133" s="5" t="inlineStr">
        <is>
          <t>Hanif Kureishi</t>
        </is>
      </c>
      <c r="N133" s="5" t="n"/>
      <c r="O133" s="5" t="inlineStr">
        <is>
          <t>Stanley Myers</t>
        </is>
      </c>
      <c r="P133" s="5" t="n"/>
      <c r="Q133" s="5" t="n"/>
      <c r="R133" s="5" t="inlineStr">
        <is>
          <t>Rafi Rahman</t>
        </is>
      </c>
      <c r="S133" s="5" t="n"/>
      <c r="T133" s="5" t="inlineStr">
        <is>
          <t>Co-lead</t>
        </is>
      </c>
      <c r="U133" s="20" t="n">
        <v>1</v>
      </c>
      <c r="V133" s="5" t="inlineStr">
        <is>
          <t>Former government minister</t>
        </is>
      </c>
      <c r="W133" s="5" t="inlineStr">
        <is>
          <t>An Indian public figure visiting London, escaping his own past</t>
        </is>
      </c>
      <c r="X133" s="19" t="inlineStr">
        <is>
          <t>Rafi Rahman arrives in London to stay with his son Sammy and Sammy's wife Rosie, a couple living a deliberately promiscuous bohemian life, having come to escape unspecified past issues of his own. The film sets his arrival against a city in racial and political unrest.</t>
        </is>
      </c>
      <c r="Y133" s="19" t="inlineStr">
        <is>
          <t>To escape what he has left behind in India and to reclaim some relation to his son.</t>
        </is>
      </c>
      <c r="Z133" s="19" t="inlineStr">
        <is>
          <t>A father's past set against a son and daughter-in-law who reject everything he represents.</t>
        </is>
      </c>
      <c r="AA133" s="19" t="inlineStr">
        <is>
          <t>Not detailed by the article's one-sentence plot.</t>
        </is>
      </c>
      <c r="AB133" s="19" t="inlineStr">
        <is>
          <t>Compromised</t>
        </is>
      </c>
      <c r="AC133" s="5" t="inlineStr">
        <is>
          <t>Not documented.</t>
        </is>
      </c>
      <c r="AD133" s="5" t="inlineStr">
        <is>
          <t>Frances Barber; Claire Bloom</t>
        </is>
      </c>
      <c r="AE133" s="5" t="n"/>
      <c r="AF133" s="18" t="n"/>
      <c r="AG133" s="19" t="n"/>
      <c r="AH133" s="21" t="n">
        <v>1.3</v>
      </c>
      <c r="AI133" s="5" t="n"/>
      <c r="AJ133" s="5" t="n"/>
      <c r="AK133" s="5" t="n"/>
      <c r="AL133" s="5" t="n"/>
      <c r="AM133" s="5" t="inlineStr">
        <is>
          <t>GBP million</t>
        </is>
      </c>
      <c r="AN133" s="5" t="inlineStr">
        <is>
          <t>Not documented</t>
        </is>
      </c>
      <c r="AO133" s="18" t="n"/>
      <c r="AP133" s="19" t="inlineStr">
        <is>
          <t>No contemporary review was located in the sources consulted.</t>
        </is>
      </c>
      <c r="AQ133" s="19" t="inlineStr">
        <is>
          <t>Directed by Stephen Frears from a Hanif Kureishi screenplay, following My Beautiful Laundrette. Screened at the Toronto and Vancouver film festivals, opened in New York on 30 October 1987 as Sammy and Rosie, and closed the London Film Festival on 29 November 1987.</t>
        </is>
      </c>
      <c r="AR133" s="5" t="inlineStr">
        <is>
          <t>SOURCE-001; SOURCE-108</t>
        </is>
      </c>
      <c r="AS133" s="5" t="inlineStr">
        <is>
          <t>Low</t>
        </is>
      </c>
      <c r="AT133" s="5" t="inlineStr">
        <is>
          <t>Filmography notes: English film. Infobox release dates: 1987-09-13 (Toronto International Film Festival); 1987-10-30 (New York). The article's plot section is a single sentence. Claire Bloom is credited as Alice but the article states no relationship between her and Rafi, so romance presence and the narrative fields are left blank rather than inferred and no Romances row is created. Money is held in the currency the source reports, pounds sterling (GBP million), not converted to rupees, per the rule that the original reported currency and nominal amount are preserved; the batch merge flags any money field not denominated in INR crore, so that flag is expected on this row. Figures held: budget 1.3.</t>
        </is>
      </c>
    </row>
    <row r="134" ht="79" customHeight="1">
      <c r="A134" s="15" t="inlineStr">
        <is>
          <t>FILM-133</t>
        </is>
      </c>
      <c r="B134" s="5" t="inlineStr">
        <is>
          <t>Woh Mili Thi</t>
        </is>
      </c>
      <c r="C134" s="5" t="inlineStr">
        <is>
          <t>1988</t>
        </is>
      </c>
      <c r="D134" s="17" t="n">
        <v>1988</v>
      </c>
      <c r="E134" s="5" t="inlineStr">
        <is>
          <t>1980s</t>
        </is>
      </c>
      <c r="F134" s="5" t="n"/>
      <c r="G134" s="5" t="inlineStr">
        <is>
          <t>Drama</t>
        </is>
      </c>
      <c r="H134" s="5" t="n"/>
      <c r="I134" s="18" t="n"/>
      <c r="J134" s="5" t="n"/>
      <c r="K134" s="5" t="n"/>
      <c r="L134" s="5" t="n"/>
      <c r="M134" s="5" t="n"/>
      <c r="N134" s="5" t="n"/>
      <c r="O134" s="5" t="n"/>
      <c r="P134" s="5" t="n"/>
      <c r="Q134" s="5" t="n"/>
      <c r="R134" s="5" t="inlineStr">
        <is>
          <t>Himself</t>
        </is>
      </c>
      <c r="S134" s="5" t="n"/>
      <c r="T134" s="5" t="inlineStr">
        <is>
          <t>Self appearance</t>
        </is>
      </c>
      <c r="U134" s="18" t="n"/>
      <c r="V134" s="5" t="n"/>
      <c r="W134" s="5" t="n"/>
      <c r="X134" s="19" t="inlineStr">
        <is>
          <t>A guest appearance as himself. No Wikipedia article or other source was located, so the context of the appearance is undocumented; the filmography records only that he appears as himself.</t>
        </is>
      </c>
      <c r="Y134" s="19" t="n"/>
      <c r="Z134" s="19" t="n"/>
      <c r="AA134" s="19" t="n"/>
      <c r="AB134" s="19" t="n"/>
      <c r="AC134" s="5" t="n"/>
      <c r="AD134" s="5" t="n"/>
      <c r="AE134" s="5" t="inlineStr">
        <is>
          <t>None</t>
        </is>
      </c>
      <c r="AF134" s="18" t="n"/>
      <c r="AG134" s="19" t="inlineStr">
        <is>
          <t>No meaningful romance</t>
        </is>
      </c>
      <c r="AH134" s="5" t="n"/>
      <c r="AI134" s="5" t="n"/>
      <c r="AJ134" s="5" t="n"/>
      <c r="AK134" s="5" t="n"/>
      <c r="AL134" s="5" t="n"/>
      <c r="AM134" s="5" t="n"/>
      <c r="AN134" s="5" t="n"/>
      <c r="AO134" s="18" t="n"/>
      <c r="AP134" s="19" t="n"/>
      <c r="AQ134" s="19" t="n"/>
      <c r="AR134" s="5" t="inlineStr">
        <is>
          <t>SOURCE-001</t>
        </is>
      </c>
      <c r="AS134" s="5" t="inlineStr">
        <is>
          <t>Low</t>
        </is>
      </c>
      <c r="AT134" s="5" t="inlineStr">
        <is>
          <t>Filmography notes: Guest appearance. No Wikipedia film article; fields come from the filmography table. No film article exists. Role type is Self appearance on the filmography's own description of the credit as a guest appearance.</t>
        </is>
      </c>
    </row>
    <row r="135" ht="79" customHeight="1">
      <c r="A135" s="15" t="inlineStr">
        <is>
          <t>FILM-134</t>
        </is>
      </c>
      <c r="B135" s="5" t="inlineStr">
        <is>
          <t>Commando</t>
        </is>
      </c>
      <c r="C135" s="16" t="n">
        <v>32311</v>
      </c>
      <c r="D135" s="17" t="n">
        <v>1988</v>
      </c>
      <c r="E135" s="5" t="inlineStr">
        <is>
          <t>1980s</t>
        </is>
      </c>
      <c r="F135" s="5" t="inlineStr">
        <is>
          <t>Hindi</t>
        </is>
      </c>
      <c r="G135" s="5" t="inlineStr">
        <is>
          <t>Action</t>
        </is>
      </c>
      <c r="H135" s="5" t="n"/>
      <c r="I135" s="17" t="n">
        <v>135</v>
      </c>
      <c r="J135" s="5" t="inlineStr">
        <is>
          <t>B. Subhash</t>
        </is>
      </c>
      <c r="K135" s="5" t="inlineStr">
        <is>
          <t>Mushir-Riaz</t>
        </is>
      </c>
      <c r="L135" s="5" t="inlineStr">
        <is>
          <t>M. R. Productions</t>
        </is>
      </c>
      <c r="M135" s="5" t="inlineStr">
        <is>
          <t>Rahi Masoom Reza; B. Subhash</t>
        </is>
      </c>
      <c r="N135" s="5" t="n"/>
      <c r="O135" s="5" t="inlineStr">
        <is>
          <t>Bappi Lahiri</t>
        </is>
      </c>
      <c r="P135" s="5" t="n"/>
      <c r="Q135" s="5" t="inlineStr">
        <is>
          <t>Anjaan</t>
        </is>
      </c>
      <c r="R135" s="5" t="inlineStr">
        <is>
          <t>IGP</t>
        </is>
      </c>
      <c r="S135" s="5" t="n"/>
      <c r="T135" s="5" t="inlineStr">
        <is>
          <t>Supporting</t>
        </is>
      </c>
      <c r="U135" s="18" t="n"/>
      <c r="V135" s="5" t="inlineStr">
        <is>
          <t>Inspector General of Police</t>
        </is>
      </c>
      <c r="W135" s="5" t="n"/>
      <c r="X135" s="19" t="inlineStr">
        <is>
          <t>Kapoor plays the Inspector General in an action vehicle for Mithun Chakraborty, whose father, a police inspector, died taking an assassin's bullet for a minister. The plot follows the son's training, his romance with Mandakini's Asha and his foiling of a second assassination; the IGP sits above that action rather than in it.</t>
        </is>
      </c>
      <c r="Y135" s="19" t="inlineStr">
        <is>
          <t>The prevention of the assassination the plot turns on.</t>
        </is>
      </c>
      <c r="Z135" s="19" t="inlineStr">
        <is>
          <t>Not developed; the conflicts belong to Chandar.</t>
        </is>
      </c>
      <c r="AA135" s="19" t="n"/>
      <c r="AB135" s="19" t="inlineStr">
        <is>
          <t>Good</t>
        </is>
      </c>
      <c r="AC135" s="5" t="inlineStr">
        <is>
          <t>Not separately documented.</t>
        </is>
      </c>
      <c r="AD135" s="5" t="inlineStr">
        <is>
          <t>Mandakini</t>
        </is>
      </c>
      <c r="AE135" s="5" t="inlineStr">
        <is>
          <t>None</t>
        </is>
      </c>
      <c r="AF135" s="20" t="n">
        <v>5</v>
      </c>
      <c r="AG135" s="19" t="inlineStr">
        <is>
          <t>No meaningful romance</t>
        </is>
      </c>
      <c r="AH135" s="5" t="n"/>
      <c r="AI135" s="5" t="n"/>
      <c r="AJ135" s="5" t="n"/>
      <c r="AK135" s="5" t="n"/>
      <c r="AL135" s="5" t="n"/>
      <c r="AM135" s="5" t="n"/>
      <c r="AN135" s="5" t="inlineStr">
        <is>
          <t>Hit</t>
        </is>
      </c>
      <c r="AO135" s="18" t="n"/>
      <c r="AP135" s="19" t="inlineStr">
        <is>
          <t>The film article records it as a commercial success.</t>
        </is>
      </c>
      <c r="AQ135" s="19" t="n"/>
      <c r="AR135" s="5" t="inlineStr">
        <is>
          <t>SOURCE-001; SOURCE-111</t>
        </is>
      </c>
      <c r="AS135" s="5" t="inlineStr">
        <is>
          <t>Medium</t>
        </is>
      </c>
      <c r="AT135" s="5" t="inlineStr">
        <is>
          <t>The film's romance is Chandar's with Asha; Kapoor's Inspector General has none, so romance presence is recorded as None and the centrality score refers to the film.</t>
        </is>
      </c>
    </row>
    <row r="136" ht="94" customHeight="1">
      <c r="A136" s="15" t="inlineStr">
        <is>
          <t>FILM-135</t>
        </is>
      </c>
      <c r="B136" s="5" t="inlineStr">
        <is>
          <t>Hum To Chale Pardes</t>
        </is>
      </c>
      <c r="C136" s="16" t="n">
        <v>32353</v>
      </c>
      <c r="D136" s="17" t="n">
        <v>1988</v>
      </c>
      <c r="E136" s="5" t="inlineStr">
        <is>
          <t>1980s</t>
        </is>
      </c>
      <c r="F136" s="5" t="inlineStr">
        <is>
          <t>Hindi</t>
        </is>
      </c>
      <c r="G136" s="5" t="inlineStr">
        <is>
          <t>Family drama</t>
        </is>
      </c>
      <c r="H136" s="5" t="n"/>
      <c r="I136" s="17" t="n">
        <v>17</v>
      </c>
      <c r="J136" s="5" t="inlineStr">
        <is>
          <t>Ravindra Peepat</t>
        </is>
      </c>
      <c r="K136" s="5" t="inlineStr">
        <is>
          <t>Ravindra Peepat</t>
        </is>
      </c>
      <c r="L136" s="5" t="n"/>
      <c r="M136" s="5" t="inlineStr">
        <is>
          <t>Anees Bazmee</t>
        </is>
      </c>
      <c r="N136" s="5" t="n"/>
      <c r="O136" s="5" t="inlineStr">
        <is>
          <t>Vijay Singh</t>
        </is>
      </c>
      <c r="P136" s="5" t="n"/>
      <c r="Q136" s="5" t="inlineStr">
        <is>
          <t>Ravindra Peepat</t>
        </is>
      </c>
      <c r="R136" s="5" t="inlineStr">
        <is>
          <t>Kumar</t>
        </is>
      </c>
      <c r="S136" s="5" t="n"/>
      <c r="T136" s="5" t="inlineStr">
        <is>
          <t>Co-lead</t>
        </is>
      </c>
      <c r="U136" s="20" t="n">
        <v>2</v>
      </c>
      <c r="V136" s="5" t="inlineStr">
        <is>
          <t>Not documented</t>
        </is>
      </c>
      <c r="W136" s="5" t="inlineStr">
        <is>
          <t>A widower raising a daughter alone under a promise never to remarry</t>
        </is>
      </c>
      <c r="X136" s="19" t="inlineStr">
        <is>
          <t>Kumar and Suman are childless for years; when she finally bears a daughter and is dying, she asks him to raise the child and never to marry again, and he promises. He names the girl Priya, raises her alone, and arranges her marriage to her childhood sweetheart Ajay on the condition that he and his mother settle in India, a condition Ajay then refuses to keep.</t>
        </is>
      </c>
      <c r="Y136" s="19" t="inlineStr">
        <is>
          <t>The promise he made to his dying wife, and his daughter's marriage.</t>
        </is>
      </c>
      <c r="Z136" s="19" t="inlineStr">
        <is>
          <t>A son-in-law who will not honour the terms on which the marriage was made.</t>
        </is>
      </c>
      <c r="AA136" s="19" t="inlineStr">
        <is>
          <t>From husband to widower to a father whose one condition for his daughter's marriage is broken.</t>
        </is>
      </c>
      <c r="AB136" s="19" t="inlineStr">
        <is>
          <t>Good</t>
        </is>
      </c>
      <c r="AC136" s="5" t="inlineStr">
        <is>
          <t>Left inside the conflict with Ajay over the family's future.</t>
        </is>
      </c>
      <c r="AD136" s="5" t="inlineStr">
        <is>
          <t>Asha Parekh; Mandakini</t>
        </is>
      </c>
      <c r="AE136" s="5" t="inlineStr">
        <is>
          <t>Secondary</t>
        </is>
      </c>
      <c r="AF136" s="20" t="n">
        <v>5</v>
      </c>
      <c r="AG136" s="19" t="inlineStr">
        <is>
          <t>Tragic lovers</t>
        </is>
      </c>
      <c r="AH136" s="5" t="n"/>
      <c r="AI136" s="5" t="n"/>
      <c r="AJ136" s="5" t="n"/>
      <c r="AK136" s="5" t="n"/>
      <c r="AL136" s="5" t="n"/>
      <c r="AM136" s="5" t="n"/>
      <c r="AN136" s="5" t="inlineStr">
        <is>
          <t>Not documented</t>
        </is>
      </c>
      <c r="AO136" s="18" t="n"/>
      <c r="AP136" s="19" t="inlineStr">
        <is>
          <t>No contemporary review was located in the sources consulted.</t>
        </is>
      </c>
      <c r="AQ136" s="19" t="n"/>
      <c r="AR136" s="5" t="inlineStr">
        <is>
          <t>SOURCE-001; SOURCE-112</t>
        </is>
      </c>
      <c r="AS136" s="5" t="inlineStr">
        <is>
          <t>Medium</t>
        </is>
      </c>
      <c r="AT136" s="5" t="inlineStr">
        <is>
          <t>Asha Parekh appears as Suman in what the cast list marks a guest appearance, and Sharmila Tagore also appears as Trishna in a guest role; the marriage exists mainly as the promise that governs the rest of the film.</t>
        </is>
      </c>
    </row>
    <row r="137" ht="139" customHeight="1">
      <c r="A137" s="15" t="inlineStr">
        <is>
          <t>FILM-136</t>
        </is>
      </c>
      <c r="B137" s="5" t="inlineStr">
        <is>
          <t>The Deceivers</t>
        </is>
      </c>
      <c r="C137" s="16" t="n">
        <v>32388</v>
      </c>
      <c r="D137" s="17" t="n">
        <v>1988</v>
      </c>
      <c r="E137" s="5" t="inlineStr">
        <is>
          <t>1980s</t>
        </is>
      </c>
      <c r="F137" s="5" t="inlineStr">
        <is>
          <t>English</t>
        </is>
      </c>
      <c r="G137" s="5" t="inlineStr">
        <is>
          <t>Adventure</t>
        </is>
      </c>
      <c r="H137" s="5" t="inlineStr">
        <is>
          <t>Historical drama</t>
        </is>
      </c>
      <c r="I137" s="17" t="n">
        <v>102</v>
      </c>
      <c r="J137" s="5" t="inlineStr">
        <is>
          <t>Nicholas Meyer</t>
        </is>
      </c>
      <c r="K137" s="5" t="inlineStr">
        <is>
          <t>Ismail Merchant</t>
        </is>
      </c>
      <c r="L137" s="5" t="n"/>
      <c r="M137" s="5" t="inlineStr">
        <is>
          <t>Michael Hirst</t>
        </is>
      </c>
      <c r="N137" s="5" t="inlineStr">
        <is>
          <t>Based on John Masters's 1952 novel The Deceivers.</t>
        </is>
      </c>
      <c r="O137" s="5" t="inlineStr">
        <is>
          <t>John Scott</t>
        </is>
      </c>
      <c r="P137" s="5" t="n"/>
      <c r="Q137" s="5" t="n"/>
      <c r="R137" s="5" t="inlineStr">
        <is>
          <t>Chandra Singh</t>
        </is>
      </c>
      <c r="S137" s="5" t="n"/>
      <c r="T137" s="5" t="inlineStr">
        <is>
          <t>Supporting</t>
        </is>
      </c>
      <c r="U137" s="20" t="n">
        <v>2</v>
      </c>
      <c r="V137" s="5" t="inlineStr">
        <is>
          <t>Not documented</t>
        </is>
      </c>
      <c r="W137" s="5" t="n"/>
      <c r="X137" s="19" t="inlineStr">
        <is>
          <t>Kapoor plays Chandra Singh in an adventure set in 1825, in which the East India Company administrator William Savage infiltrates the Thuggee cult by disguising himself as a native outlaw, discovers a fascination for killing in himself, and learns that senior British officers take a share of the Thugs' plunder. The article's plot does not place Chandra Singh within it.</t>
        </is>
      </c>
      <c r="Y137" s="19" t="n"/>
      <c r="Z137" s="19" t="n"/>
      <c r="AA137" s="19" t="n"/>
      <c r="AB137" s="19" t="n"/>
      <c r="AC137" s="5" t="n"/>
      <c r="AD137" s="5" t="inlineStr">
        <is>
          <t>Helena Michell</t>
        </is>
      </c>
      <c r="AE137" s="5" t="inlineStr">
        <is>
          <t>None</t>
        </is>
      </c>
      <c r="AF137" s="20" t="n">
        <v>3</v>
      </c>
      <c r="AG137" s="19" t="inlineStr">
        <is>
          <t>No meaningful romance</t>
        </is>
      </c>
      <c r="AH137" s="5" t="inlineStr">
        <is>
          <t>$5–6 million</t>
        </is>
      </c>
      <c r="AI137" s="5" t="n"/>
      <c r="AJ137" s="5" t="n"/>
      <c r="AK137" s="5" t="n"/>
      <c r="AL137" s="5" t="n"/>
      <c r="AM137" s="5" t="inlineStr">
        <is>
          <t>USD million</t>
        </is>
      </c>
      <c r="AN137" s="5" t="inlineStr">
        <is>
          <t>Flop</t>
        </is>
      </c>
      <c r="AO137" s="18" t="n"/>
      <c r="AP137" s="19" t="inlineStr">
        <is>
          <t>A commercial failure: the film earned only $346,297 in North America against an estimated budget of five to six million dollars.</t>
        </is>
      </c>
      <c r="AQ137" s="19" t="inlineStr">
        <is>
          <t>A Merchant Ivory production made deliberately against type, which Ismail Merchant described as being in the genre of Raiders of the Lost Ark rather than of E. M. Forster and Henry James. The project took ten years to develop, passing through John Bryan, Stanley Donen and Michael White, with Marek Kanievska and Stephen Frears attached to direct before Nicholas Meyer.</t>
        </is>
      </c>
      <c r="AR137" s="5" t="inlineStr">
        <is>
          <t>SOURCE-001; SOURCE-113</t>
        </is>
      </c>
      <c r="AS137" s="5" t="inlineStr">
        <is>
          <t>Medium</t>
        </is>
      </c>
      <c r="AT137" s="5" t="inlineStr">
        <is>
          <t>Filmography notes: English film. Infobox gross '$346,297' has no nett/gross label and is not entered. The budget is a disputed range held in the currency the source reports, US dollars, not converted to rupees, so the batch merge's INR-crore check flags it as expected. The article's plot summary follows Savage throughout and never names Chandra Singh, so the character's function and any romance are left undocumented and no Romances row is created.</t>
        </is>
      </c>
    </row>
    <row r="138" ht="79" customHeight="1">
      <c r="A138" s="15" t="inlineStr">
        <is>
          <t>FILM-137</t>
        </is>
      </c>
      <c r="B138" s="5" t="inlineStr">
        <is>
          <t>Bandook Dahej Ke Seenay Par</t>
        </is>
      </c>
      <c r="C138" s="5" t="inlineStr">
        <is>
          <t>1989</t>
        </is>
      </c>
      <c r="D138" s="17" t="n">
        <v>1989</v>
      </c>
      <c r="E138" s="5" t="inlineStr">
        <is>
          <t>1980s</t>
        </is>
      </c>
      <c r="F138" s="5" t="n"/>
      <c r="G138" s="5" t="inlineStr">
        <is>
          <t>Drama</t>
        </is>
      </c>
      <c r="H138" s="5" t="n"/>
      <c r="I138" s="18" t="n"/>
      <c r="J138" s="5" t="n"/>
      <c r="K138" s="5" t="n"/>
      <c r="L138" s="5" t="n"/>
      <c r="M138" s="5" t="n"/>
      <c r="N138" s="5" t="n"/>
      <c r="O138" s="5" t="n"/>
      <c r="P138" s="5" t="n"/>
      <c r="Q138" s="5" t="n"/>
      <c r="R138" s="5" t="inlineStr">
        <is>
          <t>Himself</t>
        </is>
      </c>
      <c r="S138" s="5" t="n"/>
      <c r="T138" s="5" t="inlineStr">
        <is>
          <t>Self appearance</t>
        </is>
      </c>
      <c r="U138" s="18" t="n"/>
      <c r="V138" s="5" t="n"/>
      <c r="W138" s="5" t="n"/>
      <c r="X138" s="19" t="inlineStr">
        <is>
          <t>A guest appearance as himself. No Wikipedia article or other source was located, so the context of the appearance is undocumented; the filmography records only that he appears as himself.</t>
        </is>
      </c>
      <c r="Y138" s="19" t="n"/>
      <c r="Z138" s="19" t="n"/>
      <c r="AA138" s="19" t="n"/>
      <c r="AB138" s="19" t="n"/>
      <c r="AC138" s="5" t="n"/>
      <c r="AD138" s="5" t="n"/>
      <c r="AE138" s="5" t="inlineStr">
        <is>
          <t>None</t>
        </is>
      </c>
      <c r="AF138" s="18" t="n"/>
      <c r="AG138" s="19" t="inlineStr">
        <is>
          <t>No meaningful romance</t>
        </is>
      </c>
      <c r="AH138" s="5" t="n"/>
      <c r="AI138" s="5" t="n"/>
      <c r="AJ138" s="5" t="n"/>
      <c r="AK138" s="5" t="n"/>
      <c r="AL138" s="5" t="n"/>
      <c r="AM138" s="5" t="n"/>
      <c r="AN138" s="5" t="n"/>
      <c r="AO138" s="18" t="n"/>
      <c r="AP138" s="19" t="n"/>
      <c r="AQ138" s="19" t="n"/>
      <c r="AR138" s="5" t="inlineStr">
        <is>
          <t>SOURCE-001</t>
        </is>
      </c>
      <c r="AS138" s="5" t="inlineStr">
        <is>
          <t>Low</t>
        </is>
      </c>
      <c r="AT138" s="5" t="inlineStr">
        <is>
          <t>Filmography notes: Guest appearance. No Wikipedia film article; fields come from the filmography table. No film article exists. Role type is Self appearance on the filmography's own description of the credit as a guest appearance.</t>
        </is>
      </c>
    </row>
    <row r="139" ht="79" customHeight="1">
      <c r="A139" s="15" t="inlineStr">
        <is>
          <t>FILM-138</t>
        </is>
      </c>
      <c r="B139" s="5" t="inlineStr">
        <is>
          <t>Jaaydaad</t>
        </is>
      </c>
      <c r="C139" s="5" t="inlineStr">
        <is>
          <t>1989</t>
        </is>
      </c>
      <c r="D139" s="17" t="n">
        <v>1989</v>
      </c>
      <c r="E139" s="5" t="inlineStr">
        <is>
          <t>1980s</t>
        </is>
      </c>
      <c r="F139" s="5" t="n"/>
      <c r="G139" s="5" t="inlineStr">
        <is>
          <t>Drama</t>
        </is>
      </c>
      <c r="H139" s="5" t="n"/>
      <c r="I139" s="18" t="n"/>
      <c r="J139" s="5" t="n"/>
      <c r="K139" s="5" t="n"/>
      <c r="L139" s="5" t="n"/>
      <c r="M139" s="5" t="n"/>
      <c r="N139" s="5" t="n"/>
      <c r="O139" s="5" t="n"/>
      <c r="P139" s="5" t="n"/>
      <c r="Q139" s="5" t="n"/>
      <c r="R139" s="5" t="inlineStr">
        <is>
          <t>Advocate Malhotra</t>
        </is>
      </c>
      <c r="S139" s="5" t="n"/>
      <c r="T139" s="5" t="n"/>
      <c r="U139" s="18" t="n"/>
      <c r="V139" s="5" t="n"/>
      <c r="W139" s="5" t="n"/>
      <c r="X139" s="19" t="inlineStr">
        <is>
          <t>No Wikipedia article or other plot source was located for this film, and the Shashi Kapoor article does not mention it. Only the character name Advocate Malhotra, taken from his filmography, is documented; the size of the part, the cast opposite him and the film's reception are all unrecorded.</t>
        </is>
      </c>
      <c r="Y139" s="19" t="n"/>
      <c r="Z139" s="19" t="n"/>
      <c r="AA139" s="19" t="n"/>
      <c r="AB139" s="19" t="n"/>
      <c r="AC139" s="5" t="n"/>
      <c r="AD139" s="5" t="n"/>
      <c r="AE139" s="5" t="n"/>
      <c r="AF139" s="18" t="n"/>
      <c r="AG139" s="19" t="n"/>
      <c r="AH139" s="5" t="n"/>
      <c r="AI139" s="5" t="n"/>
      <c r="AJ139" s="5" t="n"/>
      <c r="AK139" s="5" t="n"/>
      <c r="AL139" s="5" t="n"/>
      <c r="AM139" s="5" t="n"/>
      <c r="AN139" s="5" t="n"/>
      <c r="AO139" s="18" t="n"/>
      <c r="AP139" s="19" t="n"/>
      <c r="AQ139" s="19" t="n"/>
      <c r="AR139" s="5" t="inlineStr">
        <is>
          <t>SOURCE-001</t>
        </is>
      </c>
      <c r="AS139" s="5" t="inlineStr">
        <is>
          <t>Unknown</t>
        </is>
      </c>
      <c r="AT139" s="5" t="inlineStr">
        <is>
          <t>No Wikipedia film article; fields come from the filmography table. No film article exists and the biographical article is silent on this title, so role type, narrative fields and romance fields are left blank rather than inferred.</t>
        </is>
      </c>
    </row>
    <row r="140" ht="79" customHeight="1">
      <c r="A140" s="15" t="inlineStr">
        <is>
          <t>FILM-139</t>
        </is>
      </c>
      <c r="B140" s="5" t="inlineStr">
        <is>
          <t>Akhri Muqabla</t>
        </is>
      </c>
      <c r="C140" s="5" t="inlineStr">
        <is>
          <t>1989</t>
        </is>
      </c>
      <c r="D140" s="17" t="n">
        <v>1989</v>
      </c>
      <c r="E140" s="5" t="inlineStr">
        <is>
          <t>1980s</t>
        </is>
      </c>
      <c r="F140" s="5" t="n"/>
      <c r="G140" s="5" t="inlineStr">
        <is>
          <t>Drama</t>
        </is>
      </c>
      <c r="H140" s="5" t="n"/>
      <c r="I140" s="18" t="n"/>
      <c r="J140" s="5" t="n"/>
      <c r="K140" s="5" t="n"/>
      <c r="L140" s="5" t="n"/>
      <c r="M140" s="5" t="n"/>
      <c r="N140" s="5" t="n"/>
      <c r="O140" s="5" t="n"/>
      <c r="P140" s="5" t="n"/>
      <c r="Q140" s="5" t="n"/>
      <c r="R140" s="5" t="inlineStr">
        <is>
          <t>Dr. Ravi</t>
        </is>
      </c>
      <c r="S140" s="5" t="n"/>
      <c r="T140" s="5" t="n"/>
      <c r="U140" s="18" t="n"/>
      <c r="V140" s="5" t="n"/>
      <c r="W140" s="5" t="n"/>
      <c r="X140" s="19" t="inlineStr">
        <is>
          <t>No Wikipedia article or other plot source was located for this film, and the Shashi Kapoor article does not mention it. Only the character name Dr. Ravi, taken from his filmography, is documented; the size of the part, the cast opposite him and the film's reception are all unrecorded.</t>
        </is>
      </c>
      <c r="Y140" s="19" t="n"/>
      <c r="Z140" s="19" t="n"/>
      <c r="AA140" s="19" t="n"/>
      <c r="AB140" s="19" t="n"/>
      <c r="AC140" s="5" t="n"/>
      <c r="AD140" s="5" t="n"/>
      <c r="AE140" s="5" t="n"/>
      <c r="AF140" s="18" t="n"/>
      <c r="AG140" s="19" t="n"/>
      <c r="AH140" s="5" t="n"/>
      <c r="AI140" s="5" t="n"/>
      <c r="AJ140" s="5" t="n"/>
      <c r="AK140" s="5" t="n"/>
      <c r="AL140" s="5" t="n"/>
      <c r="AM140" s="5" t="n"/>
      <c r="AN140" s="5" t="n"/>
      <c r="AO140" s="18" t="n"/>
      <c r="AP140" s="19" t="n"/>
      <c r="AQ140" s="19" t="n"/>
      <c r="AR140" s="5" t="inlineStr">
        <is>
          <t>SOURCE-001</t>
        </is>
      </c>
      <c r="AS140" s="5" t="inlineStr">
        <is>
          <t>Unknown</t>
        </is>
      </c>
      <c r="AT140" s="5" t="inlineStr">
        <is>
          <t>No Wikipedia film article; fields come from the filmography table. No film article exists and the biographical article is silent on this title, so role type, narrative fields and romance fields are left blank rather than inferred.</t>
        </is>
      </c>
    </row>
    <row r="141" ht="79" customHeight="1">
      <c r="A141" s="15" t="inlineStr">
        <is>
          <t>FILM-140</t>
        </is>
      </c>
      <c r="B141" s="5" t="inlineStr">
        <is>
          <t>Meri Zabaan</t>
        </is>
      </c>
      <c r="C141" s="16" t="n">
        <v>32514</v>
      </c>
      <c r="D141" s="17" t="n">
        <v>1989</v>
      </c>
      <c r="E141" s="5" t="inlineStr">
        <is>
          <t>1980s</t>
        </is>
      </c>
      <c r="F141" s="5" t="inlineStr">
        <is>
          <t>Hindi</t>
        </is>
      </c>
      <c r="G141" s="5" t="inlineStr">
        <is>
          <t>Action thriller</t>
        </is>
      </c>
      <c r="H141" s="5" t="n"/>
      <c r="I141" s="17" t="n">
        <v>140</v>
      </c>
      <c r="J141" s="5" t="inlineStr">
        <is>
          <t>Shibu Mitra</t>
        </is>
      </c>
      <c r="K141" s="5" t="inlineStr">
        <is>
          <t>Veena Sharma; Vikas</t>
        </is>
      </c>
      <c r="L141" s="5" t="n"/>
      <c r="M141" s="5" t="n"/>
      <c r="N141" s="5" t="n"/>
      <c r="O141" s="5" t="inlineStr">
        <is>
          <t>Anu Malik</t>
        </is>
      </c>
      <c r="P141" s="5" t="n"/>
      <c r="Q141" s="5" t="n"/>
      <c r="R141" s="5" t="inlineStr">
        <is>
          <t>Raja Vijay Singh</t>
        </is>
      </c>
      <c r="S141" s="5" t="n"/>
      <c r="T141" s="5" t="inlineStr">
        <is>
          <t>Co-lead</t>
        </is>
      </c>
      <c r="U141" s="20" t="n">
        <v>2</v>
      </c>
      <c r="V141" s="5" t="inlineStr">
        <is>
          <t>Not documented</t>
        </is>
      </c>
      <c r="W141" s="5" t="n"/>
      <c r="X141" s="19" t="inlineStr">
        <is>
          <t>Kapoor plays Raja Vijay Singh in an ensemble action thriller led by Mithun Chakraborty. The article has a Plot heading, but the text beneath it repeats the cast rather than describing a story, and there is no cast section with character mappings, so nothing about the part is documented beyond the name from the filmography.</t>
        </is>
      </c>
      <c r="Y141" s="19" t="n"/>
      <c r="Z141" s="19" t="n"/>
      <c r="AA141" s="19" t="n"/>
      <c r="AB141" s="19" t="n"/>
      <c r="AC141" s="5" t="n"/>
      <c r="AD141" s="5" t="inlineStr">
        <is>
          <t>Farha Naaz; Kimi Katkar</t>
        </is>
      </c>
      <c r="AE141" s="5" t="n"/>
      <c r="AF141" s="18" t="n"/>
      <c r="AG141" s="19" t="n"/>
      <c r="AH141" s="5" t="n"/>
      <c r="AI141" s="5" t="n"/>
      <c r="AJ141" s="5" t="n"/>
      <c r="AK141" s="5" t="n"/>
      <c r="AL141" s="5" t="n"/>
      <c r="AM141" s="5" t="n"/>
      <c r="AN141" s="5" t="inlineStr">
        <is>
          <t>Not documented</t>
        </is>
      </c>
      <c r="AO141" s="18" t="n"/>
      <c r="AP141" s="19" t="inlineStr">
        <is>
          <t>No contemporary review was located in the sources consulted.</t>
        </is>
      </c>
      <c r="AQ141" s="19" t="n"/>
      <c r="AR141" s="5" t="inlineStr">
        <is>
          <t>SOURCE-001; SOURCE-114</t>
        </is>
      </c>
      <c r="AS141" s="5" t="inlineStr">
        <is>
          <t>Low</t>
        </is>
      </c>
      <c r="AT141" s="5" t="inlineStr">
        <is>
          <t>The article's plot section contains only a sentence listing the cast, so romance presence and the narrative fields are left blank rather than inferred and no Romances row is created.</t>
        </is>
      </c>
    </row>
    <row r="142" ht="79" customHeight="1">
      <c r="A142" s="15" t="inlineStr">
        <is>
          <t>FILM-141</t>
        </is>
      </c>
      <c r="B142" s="5" t="inlineStr">
        <is>
          <t>Farz Ki Jung</t>
        </is>
      </c>
      <c r="C142" s="16" t="n">
        <v>32584</v>
      </c>
      <c r="D142" s="17" t="n">
        <v>1989</v>
      </c>
      <c r="E142" s="5" t="inlineStr">
        <is>
          <t>1980s</t>
        </is>
      </c>
      <c r="F142" s="5" t="inlineStr">
        <is>
          <t>Hindi</t>
        </is>
      </c>
      <c r="G142" s="5" t="inlineStr">
        <is>
          <t>Action drama</t>
        </is>
      </c>
      <c r="H142" s="5" t="n"/>
      <c r="I142" s="17" t="n">
        <v>19</v>
      </c>
      <c r="J142" s="5" t="inlineStr">
        <is>
          <t>R. P. Swamy</t>
        </is>
      </c>
      <c r="K142" s="5" t="inlineStr">
        <is>
          <t>Dalwinder Sohal</t>
        </is>
      </c>
      <c r="L142" s="5" t="n"/>
      <c r="M142" s="5" t="inlineStr">
        <is>
          <t>Amrit Aryan</t>
        </is>
      </c>
      <c r="N142" s="5" t="n"/>
      <c r="O142" s="5" t="inlineStr">
        <is>
          <t>Bappi Lahiri</t>
        </is>
      </c>
      <c r="P142" s="5" t="n"/>
      <c r="Q142" s="5" t="n"/>
      <c r="R142" s="5" t="inlineStr">
        <is>
          <t>Vikram</t>
        </is>
      </c>
      <c r="S142" s="5" t="n"/>
      <c r="T142" s="5" t="inlineStr">
        <is>
          <t>Co-lead</t>
        </is>
      </c>
      <c r="U142" s="20" t="n">
        <v>2</v>
      </c>
      <c r="V142" s="5" t="inlineStr">
        <is>
          <t>Police inspector, then a convict and career criminal</t>
        </is>
      </c>
      <c r="W142" s="5" t="inlineStr">
        <is>
          <t>Honest police family; his brother inherits the honesty he loses</t>
        </is>
      </c>
      <c r="X142" s="19" t="inlineStr">
        <is>
          <t>Inspector Vikram is framed for possession of drugs, and the shock of the accusation kills his mother. Convicted and imprisoned, he learns in jail the skills of the career criminal he becomes, having concluded that honesty pays nothing, and emerges into conflict with his own brother Amar, a police inspector who kept the principles Vikram abandoned.</t>
        </is>
      </c>
      <c r="Y142" s="19" t="inlineStr">
        <is>
          <t>Initially his duty, and after the conviction the conclusion that honesty offers no reward.</t>
        </is>
      </c>
      <c r="Z142" s="19" t="inlineStr">
        <is>
          <t>A wrongful conviction that turns a policeman into a criminal and sets him against his brother.</t>
        </is>
      </c>
      <c r="AA142" s="19" t="inlineStr">
        <is>
          <t>From honest officer to convict to career criminal opposed by his own family.</t>
        </is>
      </c>
      <c r="AB142" s="19" t="inlineStr">
        <is>
          <t>Good, then corrupted</t>
        </is>
      </c>
      <c r="AC142" s="5" t="inlineStr">
        <is>
          <t>Set in conflict with his brother Amar; not further documented.</t>
        </is>
      </c>
      <c r="AD142" s="5" t="inlineStr">
        <is>
          <t>Neelam</t>
        </is>
      </c>
      <c r="AE142" s="5" t="inlineStr">
        <is>
          <t>Minor</t>
        </is>
      </c>
      <c r="AF142" s="20" t="n">
        <v>4</v>
      </c>
      <c r="AG142" s="19" t="inlineStr">
        <is>
          <t>Romance subordinate to another genre</t>
        </is>
      </c>
      <c r="AH142" s="5" t="n"/>
      <c r="AI142" s="5" t="n"/>
      <c r="AJ142" s="5" t="n"/>
      <c r="AK142" s="5" t="n"/>
      <c r="AL142" s="5" t="n"/>
      <c r="AM142" s="5" t="n"/>
      <c r="AN142" s="5" t="inlineStr">
        <is>
          <t>Flop</t>
        </is>
      </c>
      <c r="AO142" s="18" t="n"/>
      <c r="AP142" s="19" t="inlineStr">
        <is>
          <t>No contemporary review was located; the Shashi Kapoor article groups Farz Ki Jung with Gair Kaanooni and Clerk as 1989 films that performed well neither critically nor commercially.</t>
        </is>
      </c>
      <c r="AQ142" s="19" t="n"/>
      <c r="AR142" s="5" t="inlineStr">
        <is>
          <t>SOURCE-001; SOURCE-115; SOURCE-128</t>
        </is>
      </c>
      <c r="AS142" s="5" t="inlineStr">
        <is>
          <t>Medium</t>
        </is>
      </c>
      <c r="AT142" s="5" t="inlineStr">
        <is>
          <t>Anjana Mumtaz is credited as Jyoti, Vikram's wife, but the plot gives the marriage no content, so it is recorded here rather than given a Romances row. The film's romance belongs to Govinda's Vishal and Neelam's Kavita.</t>
        </is>
      </c>
    </row>
    <row r="143" ht="94" customHeight="1">
      <c r="A143" s="15" t="inlineStr">
        <is>
          <t>FILM-142</t>
        </is>
      </c>
      <c r="B143" s="5" t="inlineStr">
        <is>
          <t>Gair Kaanooni</t>
        </is>
      </c>
      <c r="C143" s="16" t="n">
        <v>32591</v>
      </c>
      <c r="D143" s="17" t="n">
        <v>1989</v>
      </c>
      <c r="E143" s="5" t="inlineStr">
        <is>
          <t>1980s</t>
        </is>
      </c>
      <c r="F143" s="5" t="inlineStr">
        <is>
          <t>Hindi</t>
        </is>
      </c>
      <c r="G143" s="5" t="inlineStr">
        <is>
          <t>Action</t>
        </is>
      </c>
      <c r="H143" s="5" t="n"/>
      <c r="I143" s="18" t="n"/>
      <c r="J143" s="5" t="inlineStr">
        <is>
          <t>Prayag Raj</t>
        </is>
      </c>
      <c r="K143" s="5" t="inlineStr">
        <is>
          <t>Chetna M. Modi</t>
        </is>
      </c>
      <c r="L143" s="5" t="n"/>
      <c r="M143" s="5" t="inlineStr">
        <is>
          <t>Prayag Raj; Kader Khan</t>
        </is>
      </c>
      <c r="N143" s="5" t="n"/>
      <c r="O143" s="5" t="inlineStr">
        <is>
          <t>Bappi Lahiri</t>
        </is>
      </c>
      <c r="P143" s="5" t="n"/>
      <c r="Q143" s="5" t="inlineStr">
        <is>
          <t>Indeevar</t>
        </is>
      </c>
      <c r="R143" s="5" t="inlineStr">
        <is>
          <t>Police Commissioner Kapil Khanna</t>
        </is>
      </c>
      <c r="S143" s="5" t="n"/>
      <c r="T143" s="5" t="inlineStr">
        <is>
          <t>Extended special appearance</t>
        </is>
      </c>
      <c r="U143" s="20" t="n">
        <v>2</v>
      </c>
      <c r="V143" s="5" t="inlineStr">
        <is>
          <t>Police commissioner</t>
        </is>
      </c>
      <c r="W143" s="5" t="inlineStr">
        <is>
          <t>A strict enforcer whose newborn son is swapped in hospital</t>
        </is>
      </c>
      <c r="X143" s="19" t="inlineStr">
        <is>
          <t>Police Commissioner Kapil Khanna takes a favour from his underworld friend Azam Khan to obtain evidence against the mafia boss D'Costa, and Azam Khan is killed for it, leaving his small son swearing vengeance on Khanna. On the same day Khanna's wife gives birth in D'Costa's hospital, and the baby is swapped with Dalpat Dalal's daughter, which Khanna then fights in court.</t>
        </is>
      </c>
      <c r="Y143" s="19" t="inlineStr">
        <is>
          <t>Evidence against D'Costa, and afterwards the recovery of his own child.</t>
        </is>
      </c>
      <c r="Z143" s="19" t="inlineStr">
        <is>
          <t>A favour that costs a friend his life and a son his father, and a hospital swap that costs Khanna his own.</t>
        </is>
      </c>
      <c r="AA143" s="19" t="inlineStr">
        <is>
          <t>From an unbending enforcer to a litigant against the hospital that took his child.</t>
        </is>
      </c>
      <c r="AB143" s="19" t="inlineStr">
        <is>
          <t>Good, with a compromise that proves costly</t>
        </is>
      </c>
      <c r="AC143" s="5" t="inlineStr">
        <is>
          <t>Engaged in a legal battle over the swapped children.</t>
        </is>
      </c>
      <c r="AD143" s="5" t="inlineStr">
        <is>
          <t>Sridevi; Kimi Katkar</t>
        </is>
      </c>
      <c r="AE143" s="5" t="inlineStr">
        <is>
          <t>None</t>
        </is>
      </c>
      <c r="AF143" s="20" t="n">
        <v>5</v>
      </c>
      <c r="AG143" s="19" t="inlineStr">
        <is>
          <t>No meaningful romance</t>
        </is>
      </c>
      <c r="AH143" s="5" t="n"/>
      <c r="AI143" s="5" t="n"/>
      <c r="AJ143" s="5" t="n"/>
      <c r="AK143" s="5" t="n"/>
      <c r="AL143" s="5" t="n"/>
      <c r="AM143" s="5" t="n"/>
      <c r="AN143" s="5" t="inlineStr">
        <is>
          <t>Flop</t>
        </is>
      </c>
      <c r="AO143" s="18" t="n"/>
      <c r="AP143" s="19" t="inlineStr">
        <is>
          <t>No contemporary review was located; the Shashi Kapoor article groups Gair Kaanooni with Farz Ki Jung and Clerk as 1989 films that performed well neither critically nor commercially.</t>
        </is>
      </c>
      <c r="AQ143" s="19" t="n"/>
      <c r="AR143" s="5" t="inlineStr">
        <is>
          <t>SOURCE-001; SOURCE-116; SOURCE-128</t>
        </is>
      </c>
      <c r="AS143" s="5" t="inlineStr">
        <is>
          <t>Medium</t>
        </is>
      </c>
      <c r="AT143" s="5" t="inlineStr">
        <is>
          <t>The article's cast list marks Kapoor's role a special appearance. Rohini Hattangadi is credited as Shanti, his wife, and the swapped birth is her plot function, but the marriage itself is given no content, so it is recorded here rather than given a Romances row.</t>
        </is>
      </c>
    </row>
    <row r="144" ht="64" customHeight="1">
      <c r="A144" s="15" t="inlineStr">
        <is>
          <t>FILM-143</t>
        </is>
      </c>
      <c r="B144" s="5" t="inlineStr">
        <is>
          <t>Clerk</t>
        </is>
      </c>
      <c r="C144" s="16" t="n">
        <v>32605</v>
      </c>
      <c r="D144" s="17" t="n">
        <v>1989</v>
      </c>
      <c r="E144" s="5" t="inlineStr">
        <is>
          <t>1980s</t>
        </is>
      </c>
      <c r="F144" s="5" t="inlineStr">
        <is>
          <t>Hindi</t>
        </is>
      </c>
      <c r="G144" s="5" t="inlineStr">
        <is>
          <t>Action drama</t>
        </is>
      </c>
      <c r="H144" s="5" t="inlineStr">
        <is>
          <t>Social drama</t>
        </is>
      </c>
      <c r="I144" s="17" t="n">
        <v>165</v>
      </c>
      <c r="J144" s="5" t="inlineStr">
        <is>
          <t>Manoj Kumar</t>
        </is>
      </c>
      <c r="K144" s="5" t="inlineStr">
        <is>
          <t>Manoj Kumar</t>
        </is>
      </c>
      <c r="L144" s="5" t="n"/>
      <c r="M144" s="5" t="inlineStr">
        <is>
          <t>Manoj Kumar</t>
        </is>
      </c>
      <c r="N144" s="5" t="n"/>
      <c r="O144" s="5" t="inlineStr">
        <is>
          <t>Uttam Jagadish</t>
        </is>
      </c>
      <c r="P144" s="5" t="n"/>
      <c r="Q144" s="5" t="n"/>
      <c r="R144" s="5" t="inlineStr">
        <is>
          <t>Vijay Kapoor</t>
        </is>
      </c>
      <c r="S144" s="5" t="n"/>
      <c r="T144" s="5" t="inlineStr">
        <is>
          <t>Supporting</t>
        </is>
      </c>
      <c r="U144" s="20" t="n">
        <v>4</v>
      </c>
      <c r="V144" s="5" t="inlineStr">
        <is>
          <t>Not documented</t>
        </is>
      </c>
      <c r="W144" s="5" t="n"/>
      <c r="X144" s="19" t="inlineStr">
        <is>
          <t>Kapoor is one of an ensemble in Manoj Kumar's film about an honest clerk driven by poverty into corruption and back out of it again. The plot synopsis follows Bharat throughout and does not place Vijay Kapoor within it, so the part's function is undocumented beyond the character name.</t>
        </is>
      </c>
      <c r="Y144" s="19" t="n"/>
      <c r="Z144" s="19" t="n"/>
      <c r="AA144" s="19" t="n"/>
      <c r="AB144" s="19" t="n"/>
      <c r="AC144" s="5" t="n"/>
      <c r="AD144" s="5" t="inlineStr">
        <is>
          <t>Rekha; Anita Raj</t>
        </is>
      </c>
      <c r="AE144" s="5" t="n"/>
      <c r="AF144" s="18" t="n"/>
      <c r="AG144" s="19" t="n"/>
      <c r="AH144" s="5" t="n"/>
      <c r="AI144" s="5" t="n"/>
      <c r="AJ144" s="5" t="n"/>
      <c r="AK144" s="5" t="n"/>
      <c r="AL144" s="5" t="n"/>
      <c r="AM144" s="5" t="n"/>
      <c r="AN144" s="5" t="inlineStr">
        <is>
          <t>Flop</t>
        </is>
      </c>
      <c r="AO144" s="18" t="n"/>
      <c r="AP144" s="19" t="inlineStr">
        <is>
          <t>No contemporary review was located; the Shashi Kapoor article groups Clerk with Farz Ki Jung and Gair Kaanooni as 1989 films that performed well neither critically nor commercially.</t>
        </is>
      </c>
      <c r="AQ144" s="19" t="n"/>
      <c r="AR144" s="5" t="inlineStr">
        <is>
          <t>SOURCE-001; SOURCE-117; SOURCE-128</t>
        </is>
      </c>
      <c r="AS144" s="5" t="inlineStr">
        <is>
          <t>Low</t>
        </is>
      </c>
      <c r="AT144" s="5" t="inlineStr">
        <is>
          <t>The plot synopsis is four sentences and concerns Manoj Kumar's Bharat alone, so romance presence and the narrative fields are left blank rather than inferred and no Romances row is created.</t>
        </is>
      </c>
    </row>
    <row r="145" ht="154" customHeight="1">
      <c r="A145" s="15" t="inlineStr">
        <is>
          <t>FILM-144</t>
        </is>
      </c>
      <c r="B145" s="5" t="inlineStr">
        <is>
          <t>Oonch Neech Beech</t>
        </is>
      </c>
      <c r="C145" s="16" t="n">
        <v>32717</v>
      </c>
      <c r="D145" s="17" t="n">
        <v>1989</v>
      </c>
      <c r="E145" s="5" t="inlineStr">
        <is>
          <t>1980s</t>
        </is>
      </c>
      <c r="F145" s="5" t="inlineStr">
        <is>
          <t>Hindi</t>
        </is>
      </c>
      <c r="G145" s="5" t="inlineStr">
        <is>
          <t>Drama</t>
        </is>
      </c>
      <c r="H145" s="5" t="n"/>
      <c r="I145" s="17" t="n">
        <v>126</v>
      </c>
      <c r="J145" s="5" t="inlineStr">
        <is>
          <t>Wasi Khan</t>
        </is>
      </c>
      <c r="K145" s="5" t="inlineStr">
        <is>
          <t>Jagdish Varma; Satpal Varma</t>
        </is>
      </c>
      <c r="L145" s="5" t="inlineStr">
        <is>
          <t>J. V. Films</t>
        </is>
      </c>
      <c r="M145" s="5" t="inlineStr">
        <is>
          <t>Wasi Khan; Parvez Mehdi</t>
        </is>
      </c>
      <c r="N145" s="5" t="n"/>
      <c r="O145" s="5" t="inlineStr">
        <is>
          <t>Laxmikant–Pyarelal</t>
        </is>
      </c>
      <c r="P145" s="5" t="n"/>
      <c r="Q145" s="5" t="inlineStr">
        <is>
          <t>Anjaan; Aziz Qaisi; Rahi Masoom Raza</t>
        </is>
      </c>
      <c r="R145" s="5" t="inlineStr">
        <is>
          <t>Motilal</t>
        </is>
      </c>
      <c r="S145" s="5" t="n"/>
      <c r="T145" s="5" t="inlineStr">
        <is>
          <t>Co-lead</t>
        </is>
      </c>
      <c r="U145" s="20" t="n">
        <v>2</v>
      </c>
      <c r="V145" s="5" t="inlineStr">
        <is>
          <t>Railway station master</t>
        </is>
      </c>
      <c r="W145" s="5" t="inlineStr">
        <is>
          <t>A salaried official with a house near the station and a supervisor above him</t>
        </is>
      </c>
      <c r="X145" s="19" t="inlineStr">
        <is>
          <t>Motilal is the station master who lets Tulsi live in the waiting room and run a food stall there, after the sadhu who married her abandoned her asleep on the platform. He marries Sumita, who comes to suspect him of an affair with Tulsi, and when his supervisor complains he is forced to put Tulsi out with nowhere to go.</t>
        </is>
      </c>
      <c r="Y145" s="19" t="inlineStr">
        <is>
          <t>To do decently by a woman nobody else will house, without losing his post or his marriage.</t>
        </is>
      </c>
      <c r="Z145" s="19" t="inlineStr">
        <is>
          <t>A wife who believes the charity is an affair, and a supervisor who will not allow it either way.</t>
        </is>
      </c>
      <c r="AA145" s="19" t="inlineStr">
        <is>
          <t>From the station's quiet benefactor to the man who evicts the woman he sheltered.</t>
        </is>
      </c>
      <c r="AB145" s="19" t="inlineStr">
        <is>
          <t>Decent, under pressure</t>
        </is>
      </c>
      <c r="AC145" s="5" t="inlineStr">
        <is>
          <t>Forced by Gupta's complaints to turn Tulsi out.</t>
        </is>
      </c>
      <c r="AD145" s="5" t="inlineStr">
        <is>
          <t>Smita Patil; Shabana Azmi</t>
        </is>
      </c>
      <c r="AE145" s="5" t="inlineStr">
        <is>
          <t>Secondary</t>
        </is>
      </c>
      <c r="AF145" s="20" t="n">
        <v>6</v>
      </c>
      <c r="AG145" s="19" t="inlineStr">
        <is>
          <t>Marriage under strain</t>
        </is>
      </c>
      <c r="AH145" s="5" t="n"/>
      <c r="AI145" s="5" t="n"/>
      <c r="AJ145" s="5" t="n"/>
      <c r="AK145" s="5" t="n"/>
      <c r="AL145" s="5" t="n"/>
      <c r="AM145" s="5" t="n"/>
      <c r="AN145" s="5" t="inlineStr">
        <is>
          <t>Not documented</t>
        </is>
      </c>
      <c r="AO145" s="18" t="n"/>
      <c r="AP145" s="19" t="inlineStr">
        <is>
          <t>No contemporary review was located in the sources consulted.</t>
        </is>
      </c>
      <c r="AQ145" s="19" t="inlineStr">
        <is>
          <t>The second and last production of J. V. Films after Insaaniyat (1974), which also starred Kapoor. Both Sanjeev Kumar, who died in 1985, and Smita Patil, who died in 1986, were playing lead roles while the film was still in production, and the storyline had to be altered around their deaths; the film was not released until 1989.</t>
        </is>
      </c>
      <c r="AR145" s="5" t="inlineStr">
        <is>
          <t>SOURCE-001; SOURCE-119</t>
        </is>
      </c>
      <c r="AS145" s="5" t="inlineStr">
        <is>
          <t>Medium</t>
        </is>
      </c>
      <c r="AT145" s="5" t="inlineStr">
        <is>
          <t>Filmography notes: Delayed release. The filmography table marks the release as delayed. Released four years after the death of one of its leads and three after the other. The original director Prayag Raj left after conflicts with the producers and the writer Wasi Khan took over. Shabana Azmi's Tulsi is the subject of Sumita's suspicion and becomes pregnant, but the article does not state that Motilal is the father or that any affair took place, so only the marriage is given a Romances row.</t>
        </is>
      </c>
    </row>
    <row r="146" ht="109" customHeight="1">
      <c r="A146" s="15" t="inlineStr">
        <is>
          <t>FILM-145</t>
        </is>
      </c>
      <c r="B146" s="5" t="inlineStr">
        <is>
          <t>Raiszaada</t>
        </is>
      </c>
      <c r="C146" s="16" t="n">
        <v>33494</v>
      </c>
      <c r="D146" s="17" t="n">
        <v>1991</v>
      </c>
      <c r="E146" s="5" t="inlineStr">
        <is>
          <t>1990s</t>
        </is>
      </c>
      <c r="F146" s="5" t="inlineStr">
        <is>
          <t>Hindi</t>
        </is>
      </c>
      <c r="G146" s="5" t="inlineStr">
        <is>
          <t>Action drama</t>
        </is>
      </c>
      <c r="H146" s="5" t="n"/>
      <c r="I146" s="18" t="n"/>
      <c r="J146" s="5" t="inlineStr">
        <is>
          <t>Bharat Kapoor</t>
        </is>
      </c>
      <c r="K146" s="5" t="inlineStr">
        <is>
          <t>Pooja Kapoor</t>
        </is>
      </c>
      <c r="L146" s="5" t="n"/>
      <c r="M146" s="5" t="n"/>
      <c r="N146" s="5" t="n"/>
      <c r="O146" s="5" t="inlineStr">
        <is>
          <t>Bappi Lahiri</t>
        </is>
      </c>
      <c r="P146" s="5" t="n"/>
      <c r="Q146" s="5" t="n"/>
      <c r="R146" s="5" t="inlineStr">
        <is>
          <t>DSP Amar Singh</t>
        </is>
      </c>
      <c r="S146" s="5" t="n"/>
      <c r="T146" s="5" t="inlineStr">
        <is>
          <t>Lead</t>
        </is>
      </c>
      <c r="U146" s="20" t="n">
        <v>1</v>
      </c>
      <c r="V146" s="5" t="inlineStr">
        <is>
          <t>Deputy Superintendent of Police</t>
        </is>
      </c>
      <c r="W146" s="5" t="n"/>
      <c r="X146" s="19" t="inlineStr">
        <is>
          <t>Kapoor is billed first as DSP Amar Singh opposite Asha Parekh's Jyothi Singh, with Govinda and Sonam. The article consists of a cast list and a soundtrack section with no plot, so the story and the relation between the characters are undocumented.</t>
        </is>
      </c>
      <c r="Y146" s="19" t="n"/>
      <c r="Z146" s="19" t="n"/>
      <c r="AA146" s="19" t="n"/>
      <c r="AB146" s="19" t="n"/>
      <c r="AC146" s="5" t="n"/>
      <c r="AD146" s="5" t="inlineStr">
        <is>
          <t>Asha Parekh</t>
        </is>
      </c>
      <c r="AE146" s="5" t="n"/>
      <c r="AF146" s="18" t="n"/>
      <c r="AG146" s="19" t="n"/>
      <c r="AH146" s="5" t="n"/>
      <c r="AI146" s="5" t="n"/>
      <c r="AJ146" s="5" t="n"/>
      <c r="AK146" s="5" t="n"/>
      <c r="AL146" s="5" t="n"/>
      <c r="AM146" s="5" t="n"/>
      <c r="AN146" s="5" t="inlineStr">
        <is>
          <t>Not documented</t>
        </is>
      </c>
      <c r="AO146" s="18" t="n"/>
      <c r="AP146" s="19" t="inlineStr">
        <is>
          <t>No contemporary review was located in the sources consulted.</t>
        </is>
      </c>
      <c r="AQ146" s="19" t="n"/>
      <c r="AR146" s="5" t="inlineStr">
        <is>
          <t>SOURCE-001; SOURCE-121</t>
        </is>
      </c>
      <c r="AS146" s="5" t="inlineStr">
        <is>
          <t>Low</t>
        </is>
      </c>
      <c r="AT146" s="5" t="inlineStr">
        <is>
          <t>The article has no plot section. Asha Parekh's character shares the surname Singh with Kapoor's, which would be consistent with a marriage, but no source consulted states any relationship, so romance presence and the narrative fields are left blank rather than inferred and no Romances row is created. Kapoor's fourth and last film opposite Asha Parekh.</t>
        </is>
      </c>
    </row>
    <row r="147" ht="124" customHeight="1">
      <c r="A147" s="15" t="inlineStr">
        <is>
          <t>FILM-146</t>
        </is>
      </c>
      <c r="B147" s="5" t="inlineStr">
        <is>
          <t>Akayla</t>
        </is>
      </c>
      <c r="C147" s="16" t="n">
        <v>33550</v>
      </c>
      <c r="D147" s="17" t="n">
        <v>1991</v>
      </c>
      <c r="E147" s="5" t="inlineStr">
        <is>
          <t>1990s</t>
        </is>
      </c>
      <c r="F147" s="5" t="inlineStr">
        <is>
          <t>Hindi</t>
        </is>
      </c>
      <c r="G147" s="5" t="inlineStr">
        <is>
          <t>Action thriller</t>
        </is>
      </c>
      <c r="H147" s="5" t="n"/>
      <c r="I147" s="17" t="n">
        <v>170</v>
      </c>
      <c r="J147" s="5" t="inlineStr">
        <is>
          <t>Ramesh Sippy</t>
        </is>
      </c>
      <c r="K147" s="5" t="inlineStr">
        <is>
          <t>Mushir-Riaz</t>
        </is>
      </c>
      <c r="L147" s="5" t="n"/>
      <c r="M147" s="5" t="inlineStr">
        <is>
          <t>Salim Khan</t>
        </is>
      </c>
      <c r="N147" s="5" t="n"/>
      <c r="O147" s="5" t="inlineStr">
        <is>
          <t>Laxmikant–Pyarelal</t>
        </is>
      </c>
      <c r="P147" s="5" t="n"/>
      <c r="Q147" s="5" t="n"/>
      <c r="R147" s="5" t="inlineStr">
        <is>
          <t>Police Commissioner</t>
        </is>
      </c>
      <c r="S147" s="5" t="n"/>
      <c r="T147" s="5" t="inlineStr">
        <is>
          <t>Supporting</t>
        </is>
      </c>
      <c r="U147" s="20" t="n">
        <v>7</v>
      </c>
      <c r="V147" s="5" t="inlineStr">
        <is>
          <t>Police commissioner</t>
        </is>
      </c>
      <c r="W147" s="5" t="n"/>
      <c r="X147" s="19" t="inlineStr">
        <is>
          <t>Kapoor plays Police Commissioner Ravi Kalra, seventh-billed, in a thriller built on Amitabh Bachchan's lonely CID inspector, the criminal Tony and his twin brother Jojo, whose existence supplies Tony's alibis. The plot does not place the commissioner within its action.</t>
        </is>
      </c>
      <c r="Y147" s="19" t="n"/>
      <c r="Z147" s="19" t="n"/>
      <c r="AA147" s="19" t="n"/>
      <c r="AB147" s="19" t="n"/>
      <c r="AC147" s="5" t="n"/>
      <c r="AD147" s="5" t="inlineStr">
        <is>
          <t>Amrita Singh; Meenakshi Seshadri</t>
        </is>
      </c>
      <c r="AE147" s="5" t="inlineStr">
        <is>
          <t>None</t>
        </is>
      </c>
      <c r="AF147" s="20" t="n">
        <v>6</v>
      </c>
      <c r="AG147" s="19" t="inlineStr">
        <is>
          <t>No meaningful romance</t>
        </is>
      </c>
      <c r="AH147" s="5" t="n"/>
      <c r="AI147" s="5" t="n"/>
      <c r="AJ147" s="5" t="n"/>
      <c r="AK147" s="5" t="n"/>
      <c r="AL147" s="5" t="n"/>
      <c r="AM147" s="5" t="n"/>
      <c r="AN147" s="5" t="inlineStr">
        <is>
          <t>Not documented</t>
        </is>
      </c>
      <c r="AO147" s="20" t="n">
        <v>7</v>
      </c>
      <c r="AP147" s="19" t="inlineStr">
        <is>
          <t>No contemporary review was located in the sources consulted.</t>
        </is>
      </c>
      <c r="AQ147" s="19" t="inlineStr">
        <is>
          <t>Directed by Ramesh Sippy, eleven years after Shaan, and the last of the Bachchan and Kapoor films.</t>
        </is>
      </c>
      <c r="AR147" s="5" t="inlineStr">
        <is>
          <t>SOURCE-001; SOURCE-120; SOURCE-351</t>
        </is>
      </c>
      <c r="AS147" s="5" t="inlineStr">
        <is>
          <t>Medium</t>
        </is>
      </c>
      <c r="AT147" s="5" t="inlineStr">
        <is>
          <t>Kapoor is seventh-billed and the plot gives his commissioner no action; the film's romances are Vijay's with Seema and then with Sapna. Romance presence is recorded as None for his character and the centrality score refers to the film. Box Office India's archived 1991 table ranks the film 7th for the year but gives no nett or gross figures for the row, so only the rank is entered.</t>
        </is>
      </c>
    </row>
    <row r="148" ht="154" customHeight="1">
      <c r="A148" s="15" t="inlineStr">
        <is>
          <t>FILM-147</t>
        </is>
      </c>
      <c r="B148" s="5" t="inlineStr">
        <is>
          <t>Touhean</t>
        </is>
      </c>
      <c r="C148" s="16" t="n">
        <v>33928</v>
      </c>
      <c r="D148" s="17" t="n">
        <v>1992</v>
      </c>
      <c r="E148" s="5" t="inlineStr">
        <is>
          <t>1990s</t>
        </is>
      </c>
      <c r="F148" s="5" t="inlineStr">
        <is>
          <t>Hindi</t>
        </is>
      </c>
      <c r="G148" s="5" t="inlineStr">
        <is>
          <t>Drama</t>
        </is>
      </c>
      <c r="H148" s="5" t="n"/>
      <c r="I148" s="17" t="n">
        <v>139</v>
      </c>
      <c r="J148" s="5" t="inlineStr">
        <is>
          <t>Madan Joshi</t>
        </is>
      </c>
      <c r="K148" s="5" t="inlineStr">
        <is>
          <t>Manu Ahuja</t>
        </is>
      </c>
      <c r="L148" s="5" t="n"/>
      <c r="M148" s="5" t="n"/>
      <c r="N148" s="5" t="n"/>
      <c r="O148" s="5" t="inlineStr">
        <is>
          <t>Bappi Lahiri</t>
        </is>
      </c>
      <c r="P148" s="5" t="n"/>
      <c r="Q148" s="5" t="n"/>
      <c r="R148" s="5" t="inlineStr">
        <is>
          <t>Dr. Rizvi</t>
        </is>
      </c>
      <c r="S148" s="5" t="n"/>
      <c r="T148" s="5" t="inlineStr">
        <is>
          <t>Supporting</t>
        </is>
      </c>
      <c r="U148" s="18" t="n"/>
      <c r="V148" s="5" t="inlineStr">
        <is>
          <t>Doctor</t>
        </is>
      </c>
      <c r="W148" s="5" t="n"/>
      <c r="X148" s="19" t="inlineStr">
        <is>
          <t>Kapoor plays Dr. Rizvi in a supporting capacity in a film led by Raj Babbar, Dimple Kapadia and Padmini Kolhapure. The article carries a cast list and a music section but no plot, so the story and the part's function are undocumented.</t>
        </is>
      </c>
      <c r="Y148" s="19" t="n"/>
      <c r="Z148" s="19" t="n"/>
      <c r="AA148" s="19" t="n"/>
      <c r="AB148" s="19" t="n"/>
      <c r="AC148" s="5" t="n"/>
      <c r="AD148" s="5" t="inlineStr">
        <is>
          <t>Dimple Kapadia; Padmini Kolhapure</t>
        </is>
      </c>
      <c r="AE148" s="5" t="n"/>
      <c r="AF148" s="18" t="n"/>
      <c r="AG148" s="19" t="n"/>
      <c r="AH148" s="5" t="n"/>
      <c r="AI148" s="5" t="n"/>
      <c r="AJ148" s="5" t="n"/>
      <c r="AK148" s="5" t="n"/>
      <c r="AL148" s="5" t="n"/>
      <c r="AM148" s="5" t="n"/>
      <c r="AN148" s="5" t="inlineStr">
        <is>
          <t>Not documented</t>
        </is>
      </c>
      <c r="AO148" s="18" t="n"/>
      <c r="AP148" s="19" t="inlineStr">
        <is>
          <t>No contemporary review was located in the sources consulted.</t>
        </is>
      </c>
      <c r="AQ148" s="19" t="n"/>
      <c r="AR148" s="5" t="inlineStr">
        <is>
          <t>SOURCE-001; SOURCE-118</t>
        </is>
      </c>
      <c r="AS148" s="5" t="inlineStr">
        <is>
          <t>Low</t>
        </is>
      </c>
      <c r="AT148" s="5" t="inlineStr">
        <is>
          <t>Filmography table lists 1989; infobox release date is 1992-11-20. The filmography table lists 1989; the film was completed in 1987 but held from release until 20 November 1992, and the article calls it a 1992 film. The article has no plot section, so romance presence and the narrative fields are left blank rather than inferred and no Romances row is created. The film was completed in 1987 and held from release until November 1992 by a distribution problem, which is why it sits five years later in the chronology than its production.</t>
        </is>
      </c>
    </row>
    <row r="149" ht="409" customHeight="1">
      <c r="A149" s="15" t="inlineStr">
        <is>
          <t>FILM-148</t>
        </is>
      </c>
      <c r="B149" s="5" t="inlineStr">
        <is>
          <t>In Custody</t>
        </is>
      </c>
      <c r="C149" s="5" t="inlineStr">
        <is>
          <t>1993-10</t>
        </is>
      </c>
      <c r="D149" s="17" t="n">
        <v>1993</v>
      </c>
      <c r="E149" s="5" t="inlineStr">
        <is>
          <t>1990s</t>
        </is>
      </c>
      <c r="F149" s="5" t="inlineStr">
        <is>
          <t>Hindi; Urdu</t>
        </is>
      </c>
      <c r="G149" s="5" t="inlineStr">
        <is>
          <t>Drama</t>
        </is>
      </c>
      <c r="H149" s="5" t="inlineStr">
        <is>
          <t>Literary drama</t>
        </is>
      </c>
      <c r="I149" s="17" t="n">
        <v>126</v>
      </c>
      <c r="J149" s="5" t="inlineStr">
        <is>
          <t>Ismail Merchant</t>
        </is>
      </c>
      <c r="K149" s="5" t="inlineStr">
        <is>
          <t>Wahid Chowhan; Paul Bradley; Donald Rosenfeld</t>
        </is>
      </c>
      <c r="L149" s="5" t="n"/>
      <c r="M149" s="5" t="inlineStr">
        <is>
          <t>Anita Desai; Shahrukh Husain</t>
        </is>
      </c>
      <c r="N149" s="5" t="inlineStr">
        <is>
          <t>Based on In Custody by Anita Desai</t>
        </is>
      </c>
      <c r="O149" s="5" t="inlineStr">
        <is>
          <t>Zakir Hussain; Ustad Sultan Khan</t>
        </is>
      </c>
      <c r="P149" s="5" t="n"/>
      <c r="Q149" s="5" t="n"/>
      <c r="R149" s="5" t="inlineStr">
        <is>
          <t>Nur</t>
        </is>
      </c>
      <c r="S149" s="5" t="n"/>
      <c r="T149" s="5" t="inlineStr">
        <is>
          <t>Lead</t>
        </is>
      </c>
      <c r="U149" s="20" t="n">
        <v>1</v>
      </c>
      <c r="V149" s="5" t="inlineStr">
        <is>
          <t>Urdu poet</t>
        </is>
      </c>
      <c r="W149" s="5" t="inlineStr">
        <is>
          <t>The last of a generation of great Urdu poets, in decline in a Hindi-speaking present</t>
        </is>
      </c>
      <c r="X149" s="19" t="inlineStr">
        <is>
          <t>Nur Shahjahanabadi is the great Urdu poet whom Deven, a Hindi lecturer whose real love is Urdu verse, repeatedly and unsuccessfully tries to interview. The article frames those stymied attempts as a metaphor for the clash between modernisation and tradition, with Nur as the embodiment of a language and a culture being displaced.</t>
        </is>
      </c>
      <c r="Y149" s="19" t="inlineStr">
        <is>
          <t>Not documented by the article's synopsis, which follows Deven.</t>
        </is>
      </c>
      <c r="Z149" s="19" t="inlineStr">
        <is>
          <t>The decline of Urdu and of the world that sustained his poetry.</t>
        </is>
      </c>
      <c r="AA149" s="19" t="inlineStr">
        <is>
          <t>Not traced by the article's four-sentence synopsis.</t>
        </is>
      </c>
      <c r="AB149" s="19" t="inlineStr">
        <is>
          <t>Not documented</t>
        </is>
      </c>
      <c r="AC149" s="5" t="inlineStr">
        <is>
          <t>Not documented.</t>
        </is>
      </c>
      <c r="AD149" s="5" t="inlineStr">
        <is>
          <t>Shabana Azmi</t>
        </is>
      </c>
      <c r="AE149" s="5" t="n"/>
      <c r="AF149" s="18" t="n"/>
      <c r="AG149" s="19" t="n"/>
      <c r="AH149" s="21" t="n">
        <v>1</v>
      </c>
      <c r="AI149" s="5" t="n"/>
      <c r="AJ149" s="5" t="n"/>
      <c r="AK149" s="5" t="n"/>
      <c r="AL149" s="5" t="n"/>
      <c r="AM149" s="5" t="inlineStr">
        <is>
          <t>USD million</t>
        </is>
      </c>
      <c r="AN149" s="5" t="inlineStr">
        <is>
          <t>Not documented</t>
        </is>
      </c>
      <c r="AO149" s="18" t="n"/>
      <c r="AP149" s="19" t="inlineStr">
        <is>
          <t>No contemporary review was located. The film opened on three screens in London on 3 June 1994 and took GBP 2,814 in its opening weekend.</t>
        </is>
      </c>
      <c r="AQ149" s="19" t="inlineStr">
        <is>
          <t>Won Kapoor the National Film Award Special Jury Award, announced at the 1994 ceremony for 1993. Released in Hindi and Urdu as Muhafiz, directed by Ismail Merchant from a screenplay by the novelist Anita Desai, and the last of Kapoor's Merchant Ivory films.</t>
        </is>
      </c>
      <c r="AR149" s="5" t="inlineStr">
        <is>
          <t>SOURCE-001; SOURCE-122; SOURCE-352</t>
        </is>
      </c>
      <c r="AS149" s="5" t="inlineStr">
        <is>
          <t>Medium</t>
        </is>
      </c>
      <c r="AT149" s="5" t="inlineStr">
        <is>
          <t>Infobox release dates: 1993-10 (Tokyo Film Festival); 1994-05-14 (New York); 1994-06-03 (London). Infobox gross '$0.1 million (US/UK)' has no nett/gross label and is not entered. Filmography table lists 1994; infobox release date is 1993-10. Released in Hindi and Urdu as Muhafiz. The infobox's first date, October 1993, is the Tokyo Film Festival premiere rather than a theatrical release; New York followed on 14 May 1994 and London on 3 June 1994. The film is conventionally dated 1993 and won its National Film Award Special Jury recognition for 1993. The article's synopsis runs to four sentences and follows Om Puri's Deven. Shabana Azmi is credited as Imtiaz Begum and Sushma Seth as Safiya Begum, but the article states no relationship between either and Nur, so romance presence and the narrative fields are left blank rather than inferred and no Romances row is created despite the honorific. The National Award is recorded from the Shashi Kapoor roles-and-awards page rather than from the film article, which has no awards section. Money is held in the currency the source reports, US dollars (USD million), not converted to rupees, per the rule that the original reported currency and nominal amount are preserved; the batch merge flags any money field not denominated in INR crore, so that flag is expected on this row. Figures held: budget 1. Box Office India lists the film under its Hindi release title Muhafiz (released 11 March 1994) with nett Rs 9,50,000, India gross Rs 10,50,000, overseas gross USD 100,000, worldwide gross Rs 41,75,000 and 95,000 footfalls. These are not entered in the money columns because this row's currency is USD million for the budget and a row carries one currency; the worldwide figure is also not entered because only two of the 154 films have one, which would make the Overview's highest-grossing metric meaningless.</t>
        </is>
      </c>
    </row>
    <row r="150" ht="79" customHeight="1">
      <c r="A150" s="15" t="inlineStr">
        <is>
          <t>FILM-149</t>
        </is>
      </c>
      <c r="B150" s="5" t="inlineStr">
        <is>
          <t>Saboot Mangta Hain Kanoon</t>
        </is>
      </c>
      <c r="C150" s="5" t="inlineStr">
        <is>
          <t>1994</t>
        </is>
      </c>
      <c r="D150" s="17" t="n">
        <v>1994</v>
      </c>
      <c r="E150" s="5" t="inlineStr">
        <is>
          <t>1990s</t>
        </is>
      </c>
      <c r="F150" s="5" t="n"/>
      <c r="G150" s="5" t="inlineStr">
        <is>
          <t>Drama</t>
        </is>
      </c>
      <c r="H150" s="5" t="n"/>
      <c r="I150" s="18" t="n"/>
      <c r="J150" s="5" t="n"/>
      <c r="K150" s="5" t="n"/>
      <c r="L150" s="5" t="n"/>
      <c r="M150" s="5" t="n"/>
      <c r="N150" s="5" t="n"/>
      <c r="O150" s="5" t="n"/>
      <c r="P150" s="5" t="n"/>
      <c r="Q150" s="5" t="n"/>
      <c r="R150" s="5" t="inlineStr">
        <is>
          <t>Raja</t>
        </is>
      </c>
      <c r="S150" s="5" t="n"/>
      <c r="T150" s="5" t="n"/>
      <c r="U150" s="18" t="n"/>
      <c r="V150" s="5" t="n"/>
      <c r="W150" s="5" t="n"/>
      <c r="X150" s="19" t="inlineStr">
        <is>
          <t>No Wikipedia article or other plot source was located for this film, and the Shashi Kapoor article does not mention it. Only the character name Raja, taken from his filmography, is documented; the size of the part, the cast opposite him and the film's reception are all unrecorded.</t>
        </is>
      </c>
      <c r="Y150" s="19" t="n"/>
      <c r="Z150" s="19" t="n"/>
      <c r="AA150" s="19" t="n"/>
      <c r="AB150" s="19" t="n"/>
      <c r="AC150" s="5" t="n"/>
      <c r="AD150" s="5" t="n"/>
      <c r="AE150" s="5" t="n"/>
      <c r="AF150" s="18" t="n"/>
      <c r="AG150" s="19" t="n"/>
      <c r="AH150" s="5" t="n"/>
      <c r="AI150" s="5" t="n"/>
      <c r="AJ150" s="5" t="n"/>
      <c r="AK150" s="5" t="n"/>
      <c r="AL150" s="5" t="n"/>
      <c r="AM150" s="5" t="n"/>
      <c r="AN150" s="5" t="n"/>
      <c r="AO150" s="18" t="n"/>
      <c r="AP150" s="19" t="n"/>
      <c r="AQ150" s="19" t="n"/>
      <c r="AR150" s="5" t="inlineStr">
        <is>
          <t>SOURCE-001</t>
        </is>
      </c>
      <c r="AS150" s="5" t="inlineStr">
        <is>
          <t>Unknown</t>
        </is>
      </c>
      <c r="AT150" s="5" t="inlineStr">
        <is>
          <t>No Wikipedia film article; fields come from the filmography table. No film article exists and the biographical article is silent on this title, so role type, narrative fields and romance fields are left blank rather than inferred.</t>
        </is>
      </c>
    </row>
    <row r="151" ht="79" customHeight="1">
      <c r="A151" s="15" t="inlineStr">
        <is>
          <t>FILM-150</t>
        </is>
      </c>
      <c r="B151" s="5" t="inlineStr">
        <is>
          <t>Faisla Main Karungi</t>
        </is>
      </c>
      <c r="C151" s="5" t="inlineStr">
        <is>
          <t>1995</t>
        </is>
      </c>
      <c r="D151" s="17" t="n">
        <v>1995</v>
      </c>
      <c r="E151" s="5" t="inlineStr">
        <is>
          <t>1990s</t>
        </is>
      </c>
      <c r="F151" s="5" t="n"/>
      <c r="G151" s="5" t="inlineStr">
        <is>
          <t>Drama</t>
        </is>
      </c>
      <c r="H151" s="5" t="n"/>
      <c r="I151" s="18" t="n"/>
      <c r="J151" s="5" t="n"/>
      <c r="K151" s="5" t="n"/>
      <c r="L151" s="5" t="n"/>
      <c r="M151" s="5" t="n"/>
      <c r="N151" s="5" t="n"/>
      <c r="O151" s="5" t="n"/>
      <c r="P151" s="5" t="n"/>
      <c r="Q151" s="5" t="n"/>
      <c r="R151" s="5" t="inlineStr">
        <is>
          <t>Inspector Ajitkumar Singh</t>
        </is>
      </c>
      <c r="S151" s="5" t="n"/>
      <c r="T151" s="5" t="n"/>
      <c r="U151" s="18" t="n"/>
      <c r="V151" s="5" t="n"/>
      <c r="W151" s="5" t="n"/>
      <c r="X151" s="19" t="inlineStr">
        <is>
          <t>No Wikipedia article or other plot source was located for this film, and the Shashi Kapoor article does not mention it. Only the character name Inspector Ajitkumar Singh, taken from his filmography, is documented; the size of the part, the cast opposite him and the film's reception are all unrecorded.</t>
        </is>
      </c>
      <c r="Y151" s="19" t="n"/>
      <c r="Z151" s="19" t="n"/>
      <c r="AA151" s="19" t="n"/>
      <c r="AB151" s="19" t="n"/>
      <c r="AC151" s="5" t="n"/>
      <c r="AD151" s="5" t="n"/>
      <c r="AE151" s="5" t="n"/>
      <c r="AF151" s="18" t="n"/>
      <c r="AG151" s="19" t="n"/>
      <c r="AH151" s="5" t="n"/>
      <c r="AI151" s="5" t="n"/>
      <c r="AJ151" s="5" t="n"/>
      <c r="AK151" s="5" t="n"/>
      <c r="AL151" s="5" t="n"/>
      <c r="AM151" s="5" t="n"/>
      <c r="AN151" s="5" t="n"/>
      <c r="AO151" s="18" t="n"/>
      <c r="AP151" s="19" t="n"/>
      <c r="AQ151" s="19" t="n"/>
      <c r="AR151" s="5" t="inlineStr">
        <is>
          <t>SOURCE-001</t>
        </is>
      </c>
      <c r="AS151" s="5" t="inlineStr">
        <is>
          <t>Unknown</t>
        </is>
      </c>
      <c r="AT151" s="5" t="inlineStr">
        <is>
          <t>No Wikipedia film article; fields come from the filmography table. No film article exists and the biographical article is silent on this title, so role type, narrative fields and romance fields are left blank rather than inferred.</t>
        </is>
      </c>
    </row>
    <row r="152" ht="199" customHeight="1">
      <c r="A152" s="15" t="inlineStr">
        <is>
          <t>FILM-151</t>
        </is>
      </c>
      <c r="B152" s="5" t="inlineStr">
        <is>
          <t>Ghar Bazar</t>
        </is>
      </c>
      <c r="C152" s="5" t="inlineStr">
        <is>
          <t>1998</t>
        </is>
      </c>
      <c r="D152" s="17" t="n">
        <v>1998</v>
      </c>
      <c r="E152" s="5" t="inlineStr">
        <is>
          <t>1990s</t>
        </is>
      </c>
      <c r="F152" s="5" t="inlineStr">
        <is>
          <t>Hindi</t>
        </is>
      </c>
      <c r="G152" s="5" t="inlineStr">
        <is>
          <t>Drama</t>
        </is>
      </c>
      <c r="H152" s="5" t="n"/>
      <c r="I152" s="17" t="n">
        <v>130</v>
      </c>
      <c r="J152" s="5" t="inlineStr">
        <is>
          <t>D. S. Azad</t>
        </is>
      </c>
      <c r="K152" s="5" t="inlineStr">
        <is>
          <t>M. L. Jain; Mrs. Gita Azad</t>
        </is>
      </c>
      <c r="L152" s="5" t="n"/>
      <c r="M152" s="5" t="n"/>
      <c r="N152" s="5" t="n"/>
      <c r="O152" s="5" t="inlineStr">
        <is>
          <t>Usha Khanna</t>
        </is>
      </c>
      <c r="P152" s="5" t="n"/>
      <c r="Q152" s="5" t="n"/>
      <c r="R152" s="5" t="inlineStr">
        <is>
          <t>Amar</t>
        </is>
      </c>
      <c r="S152" s="5" t="n"/>
      <c r="T152" s="5" t="inlineStr">
        <is>
          <t>Extended special appearance</t>
        </is>
      </c>
      <c r="U152" s="18" t="n"/>
      <c r="V152" s="5" t="inlineStr">
        <is>
          <t>Not documented</t>
        </is>
      </c>
      <c r="W152" s="5" t="n"/>
      <c r="X152" s="19" t="inlineStr">
        <is>
          <t>A special appearance as Amar in a film led by Sharmila Tagore and Shekhar Suman. The article carries a cast list and a soundtrack section but no plot, so nothing about the part is documented beyond the name and the fact that the appearance is a special one.</t>
        </is>
      </c>
      <c r="Y152" s="19" t="n"/>
      <c r="Z152" s="19" t="n"/>
      <c r="AA152" s="19" t="n"/>
      <c r="AB152" s="19" t="n"/>
      <c r="AC152" s="5" t="n"/>
      <c r="AD152" s="5" t="inlineStr">
        <is>
          <t>Sharmila Tagore</t>
        </is>
      </c>
      <c r="AE152" s="5" t="n"/>
      <c r="AF152" s="18" t="n"/>
      <c r="AG152" s="19" t="n"/>
      <c r="AH152" s="21" t="n">
        <v>0.35</v>
      </c>
      <c r="AI152" s="21" t="n">
        <v>0.03</v>
      </c>
      <c r="AJ152" s="21" t="n">
        <v>0.05</v>
      </c>
      <c r="AK152" s="5" t="n"/>
      <c r="AL152" s="5" t="n"/>
      <c r="AM152" s="5" t="inlineStr">
        <is>
          <t>INR crore</t>
        </is>
      </c>
      <c r="AN152" s="5" t="inlineStr">
        <is>
          <t>Not documented</t>
        </is>
      </c>
      <c r="AO152" s="18" t="n"/>
      <c r="AP152" s="19" t="inlineStr">
        <is>
          <t>No contemporary review was located in the sources consulted.</t>
        </is>
      </c>
      <c r="AQ152" s="19" t="inlineStr">
        <is>
          <t>The last film in which Kapoor appeared. Its audio was launched in 1986 but the film was not released until 1998, twelve years later.</t>
        </is>
      </c>
      <c r="AR152" s="5" t="inlineStr">
        <is>
          <t>SOURCE-001; SOURCE-126; SOURCE-128; SOURCE-353</t>
        </is>
      </c>
      <c r="AS152" s="5" t="inlineStr">
        <is>
          <t>Low</t>
        </is>
      </c>
      <c r="AT152" s="5" t="inlineStr">
        <is>
          <t>Filmography notes: Delayed release. The filmography table marks the release as delayed; the Shashi Kapoor article calls it the last film in which he appeared. The article has no plot section, so romance presence and the narrative fields are left blank rather than inferred and no Romances row is created. The Shashi Kapoor article calls this the last film in which he appeared; its release was delayed twelve years from the 1986 audio launch. Box Office India gives budget Rs 35,00,000, nett Rs 3,00,000, India gross Rs 5,00,000, worldwide gross Rs 5,00,000 and 20,300 footfalls, confirming the film as a total loss. Worldwide gross is not entered for the reason given on FILM-148.</t>
        </is>
      </c>
    </row>
    <row r="153" ht="154" customHeight="1">
      <c r="A153" s="15" t="inlineStr">
        <is>
          <t>FILM-152</t>
        </is>
      </c>
      <c r="B153" s="5" t="inlineStr">
        <is>
          <t>Swami Vivekananda</t>
        </is>
      </c>
      <c r="C153" s="16" t="n">
        <v>35958</v>
      </c>
      <c r="D153" s="17" t="n">
        <v>1998</v>
      </c>
      <c r="E153" s="5" t="inlineStr">
        <is>
          <t>1990s</t>
        </is>
      </c>
      <c r="F153" s="5" t="inlineStr">
        <is>
          <t>Hindi; English</t>
        </is>
      </c>
      <c r="G153" s="5" t="inlineStr">
        <is>
          <t>Biographical drama</t>
        </is>
      </c>
      <c r="H153" s="5" t="n"/>
      <c r="I153" s="17" t="n">
        <v>240</v>
      </c>
      <c r="J153" s="5" t="inlineStr">
        <is>
          <t>G. V. Iyer</t>
        </is>
      </c>
      <c r="K153" s="5" t="inlineStr">
        <is>
          <t>T. Subbarami Reddy</t>
        </is>
      </c>
      <c r="L153" s="5" t="inlineStr">
        <is>
          <t>Anantha Lakshmi Films</t>
        </is>
      </c>
      <c r="M153" s="5" t="inlineStr">
        <is>
          <t>G. V. Iyer</t>
        </is>
      </c>
      <c r="N153" s="5" t="inlineStr">
        <is>
          <t>Based on Life of Swami Vivekananda</t>
        </is>
      </c>
      <c r="O153" s="5" t="inlineStr">
        <is>
          <t>Salil Chowdhury</t>
        </is>
      </c>
      <c r="P153" s="5" t="inlineStr">
        <is>
          <t>Vijaya Bhaskar; B. V. Karanth</t>
        </is>
      </c>
      <c r="Q153" s="5" t="inlineStr">
        <is>
          <t>Swami Vivekananda (Bengali); Gulzar (Hindi translation)</t>
        </is>
      </c>
      <c r="R153" s="5" t="inlineStr">
        <is>
          <t>Rajasthani Husband</t>
        </is>
      </c>
      <c r="S153" s="5" t="n"/>
      <c r="T153" s="5" t="inlineStr">
        <is>
          <t>Cameo</t>
        </is>
      </c>
      <c r="U153" s="20" t="n">
        <v>6</v>
      </c>
      <c r="V153" s="5" t="inlineStr">
        <is>
          <t>Not documented</t>
        </is>
      </c>
      <c r="W153" s="5" t="n"/>
      <c r="X153" s="19" t="inlineStr">
        <is>
          <t>A cameo as a Rajasthani husband in G. V. Iyer's life of Swami Vivekananda, which follows Narendranath Datta from birth to his return from the West in 1897. The article describes Kapoor's as one of several small roles by well-known actors and does not place the character in any scene.</t>
        </is>
      </c>
      <c r="Y153" s="19" t="n"/>
      <c r="Z153" s="19" t="n"/>
      <c r="AA153" s="19" t="n"/>
      <c r="AB153" s="19" t="n"/>
      <c r="AC153" s="5" t="n"/>
      <c r="AD153" s="5" t="inlineStr">
        <is>
          <t>Raakhee</t>
        </is>
      </c>
      <c r="AE153" s="5" t="n"/>
      <c r="AF153" s="18" t="n"/>
      <c r="AG153" s="19" t="n"/>
      <c r="AH153" s="21" t="n">
        <v>3</v>
      </c>
      <c r="AI153" s="5" t="n"/>
      <c r="AJ153" s="5" t="n"/>
      <c r="AK153" s="5" t="n"/>
      <c r="AL153" s="5" t="n"/>
      <c r="AM153" s="5" t="inlineStr">
        <is>
          <t>INR crore</t>
        </is>
      </c>
      <c r="AN153" s="5" t="inlineStr">
        <is>
          <t>Not documented</t>
        </is>
      </c>
      <c r="AO153" s="18" t="n"/>
      <c r="AP153" s="19" t="inlineStr">
        <is>
          <t>No contemporary review was located; the article carries a controversies section.</t>
        </is>
      </c>
      <c r="AQ153" s="19" t="n"/>
      <c r="AR153" s="5" t="inlineStr">
        <is>
          <t>SOURCE-001; SOURCE-124</t>
        </is>
      </c>
      <c r="AS153" s="5" t="inlineStr">
        <is>
          <t>Low</t>
        </is>
      </c>
      <c r="AT153" s="5" t="inlineStr">
        <is>
          <t>Filmography notes: Cameo. Infobox gross '₹60 million' has no nett/gross label and is not entered. The article notes that Raakhee is cast as a Rajasthani tribal woman and that Kapoor is among several famous male actors with small roles, but it does not pair the two characters or place either in a scene, so no romance is recorded and no Romances row is created. Background score credited separately by version: Vijaya Bhaskar for the Hindi version and B. V. Karanth for the English version.</t>
        </is>
      </c>
    </row>
    <row r="154" ht="214" customHeight="1">
      <c r="A154" s="15" t="inlineStr">
        <is>
          <t>FILM-153</t>
        </is>
      </c>
      <c r="B154" s="5" t="inlineStr">
        <is>
          <t>Jinnah</t>
        </is>
      </c>
      <c r="C154" s="16" t="n">
        <v>36040</v>
      </c>
      <c r="D154" s="17" t="n">
        <v>1998</v>
      </c>
      <c r="E154" s="5" t="inlineStr">
        <is>
          <t>1990s</t>
        </is>
      </c>
      <c r="F154" s="5" t="inlineStr">
        <is>
          <t>English; Urdu</t>
        </is>
      </c>
      <c r="G154" s="5" t="inlineStr">
        <is>
          <t>Biographical drama</t>
        </is>
      </c>
      <c r="H154" s="5" t="inlineStr">
        <is>
          <t>Historical drama</t>
        </is>
      </c>
      <c r="I154" s="17" t="n">
        <v>110</v>
      </c>
      <c r="J154" s="5" t="inlineStr">
        <is>
          <t>Jamil Dehlavi</t>
        </is>
      </c>
      <c r="K154" s="5" t="inlineStr">
        <is>
          <t>Jamil Dehlavi</t>
        </is>
      </c>
      <c r="L154" s="5" t="inlineStr">
        <is>
          <t>The Quaid Project Limited</t>
        </is>
      </c>
      <c r="M154" s="5" t="inlineStr">
        <is>
          <t>Akbar S. Ahmed; Jamil Dehlavi</t>
        </is>
      </c>
      <c r="N154" s="5" t="n"/>
      <c r="O154" s="5" t="inlineStr">
        <is>
          <t>Nigel Clarke; Michael Csányi-Wills</t>
        </is>
      </c>
      <c r="P154" s="5" t="n"/>
      <c r="Q154" s="5" t="inlineStr">
        <is>
          <t>Salman Ahmad (composition); Sabir Zafar</t>
        </is>
      </c>
      <c r="R154" s="5" t="inlineStr">
        <is>
          <t>Narrator</t>
        </is>
      </c>
      <c r="S154" s="5" t="n"/>
      <c r="T154" s="5" t="inlineStr">
        <is>
          <t>Narrator</t>
        </is>
      </c>
      <c r="U154" s="20" t="n">
        <v>2</v>
      </c>
      <c r="V154" s="5" t="inlineStr">
        <is>
          <t>Narrator, appearing as a guide who conducts Jinnah through his own life</t>
        </is>
      </c>
      <c r="W154" s="5" t="n"/>
      <c r="X154" s="19" t="inlineStr">
        <is>
          <t>Kapoor is the Guide, an on-screen narrator who escorts Muhammad Ali Jinnah through the events of his life, questioning him and prompting the flashbacks that carry the film: the marriage to Ruttie, his political isolation, the two-nation theory, partition and the founding of Pakistan. The part is a framing device given a body.</t>
        </is>
      </c>
      <c r="Y154" s="19" t="inlineStr">
        <is>
          <t>To bring Jinnah to an account of his own life.</t>
        </is>
      </c>
      <c r="Z154" s="19" t="inlineStr">
        <is>
          <t>None of his own; the Guide is the film's interrogator rather than a participant.</t>
        </is>
      </c>
      <c r="AA154" s="19" t="inlineStr">
        <is>
          <t>None; the role is structural.</t>
        </is>
      </c>
      <c r="AB154" s="19" t="inlineStr">
        <is>
          <t>Detached</t>
        </is>
      </c>
      <c r="AC154" s="5" t="inlineStr">
        <is>
          <t>Accompanies Jinnah to the end of the account.</t>
        </is>
      </c>
      <c r="AD154" s="5" t="n"/>
      <c r="AE154" s="5" t="inlineStr">
        <is>
          <t>None</t>
        </is>
      </c>
      <c r="AF154" s="20" t="n">
        <v>5</v>
      </c>
      <c r="AG154" s="19" t="inlineStr">
        <is>
          <t>No meaningful romance</t>
        </is>
      </c>
      <c r="AH154" s="21" t="n">
        <v>6</v>
      </c>
      <c r="AI154" s="5" t="n"/>
      <c r="AJ154" s="5" t="n"/>
      <c r="AK154" s="5" t="n"/>
      <c r="AL154" s="5" t="n"/>
      <c r="AM154" s="5" t="inlineStr">
        <is>
          <t>USD million</t>
        </is>
      </c>
      <c r="AN154" s="5" t="inlineStr">
        <is>
          <t>Not documented</t>
        </is>
      </c>
      <c r="AO154" s="18" t="n"/>
      <c r="AP154" s="19" t="inlineStr">
        <is>
          <t>Controversial on release, with some critics demanding that the film be banned.</t>
        </is>
      </c>
      <c r="AQ154" s="19" t="inlineStr">
        <is>
          <t>Won the Grand Prize at the Zanzibar International Film Festival. Christopher Lee, who played Jinnah, regarded it as among his finest work.</t>
        </is>
      </c>
      <c r="AR154" s="5" t="inlineStr">
        <is>
          <t>SOURCE-001; SOURCE-123</t>
        </is>
      </c>
      <c r="AS154" s="5" t="inlineStr">
        <is>
          <t>Medium</t>
        </is>
      </c>
      <c r="AT154" s="5" t="inlineStr">
        <is>
          <t>Filmography notes: English film. Infobox release dates: 1998-09-02 (Pakistan); 1998-11-07 (UK). Infobox gross '$150,000' has no nett/gross label and is not entered. The role is a narrator in the strict sense set by this project's vocabulary, but an embodied one: the Guide appears on screen and speaks with Jinnah throughout. The film's romance is Jinnah's marriage to Rattanbai Petit, not Kapoor's character's. Money is held in the currency the source reports, US dollars (USD million), not converted to rupees, per the rule that the original reported currency and nominal amount are preserved; the batch merge flags any money field not denominated in INR crore, so that flag is expected on this row. Figures held: budget 6.</t>
        </is>
      </c>
    </row>
    <row r="155" ht="124" customHeight="1">
      <c r="A155" s="15" t="inlineStr">
        <is>
          <t>FILM-154</t>
        </is>
      </c>
      <c r="B155" s="5" t="inlineStr">
        <is>
          <t>Side Streets</t>
        </is>
      </c>
      <c r="C155" s="16" t="n">
        <v>36044</v>
      </c>
      <c r="D155" s="17" t="n">
        <v>1998</v>
      </c>
      <c r="E155" s="5" t="inlineStr">
        <is>
          <t>1990s</t>
        </is>
      </c>
      <c r="F155" s="5" t="inlineStr">
        <is>
          <t>English</t>
        </is>
      </c>
      <c r="G155" s="5" t="inlineStr">
        <is>
          <t>Comedy drama</t>
        </is>
      </c>
      <c r="H155" s="5" t="n"/>
      <c r="I155" s="17" t="n">
        <v>130</v>
      </c>
      <c r="J155" s="5" t="inlineStr">
        <is>
          <t>Tony Gerber</t>
        </is>
      </c>
      <c r="K155" s="5" t="inlineStr">
        <is>
          <t>Bruce Weiss; Ismail Merchant; Tom Borders; Gregory Cascante</t>
        </is>
      </c>
      <c r="L155" s="5" t="n"/>
      <c r="M155" s="5" t="inlineStr">
        <is>
          <t>Tony Gerber; Lynn Nottage</t>
        </is>
      </c>
      <c r="N155" s="5" t="n"/>
      <c r="O155" s="5" t="inlineStr">
        <is>
          <t>Evan Lurie</t>
        </is>
      </c>
      <c r="P155" s="5" t="n"/>
      <c r="Q155" s="5" t="n"/>
      <c r="R155" s="5" t="inlineStr">
        <is>
          <t>Vikram Raj</t>
        </is>
      </c>
      <c r="S155" s="5" t="n"/>
      <c r="T155" s="5" t="inlineStr">
        <is>
          <t>Co-lead</t>
        </is>
      </c>
      <c r="U155" s="20" t="n">
        <v>2</v>
      </c>
      <c r="V155" s="5" t="inlineStr">
        <is>
          <t>Not documented</t>
        </is>
      </c>
      <c r="W155" s="5" t="inlineStr">
        <is>
          <t>Part of an Indian family in New York City</t>
        </is>
      </c>
      <c r="X155" s="19" t="inlineStr">
        <is>
          <t>Kapoor plays Vikram Raj in an ensemble about the intersecting lives of immigrants and others across New York City. The article's plot section contains only an unfilled editorial template, so nothing about the character or his part in the intersecting stories is documented.</t>
        </is>
      </c>
      <c r="Y155" s="19" t="n"/>
      <c r="Z155" s="19" t="n"/>
      <c r="AA155" s="19" t="n"/>
      <c r="AB155" s="19" t="n"/>
      <c r="AC155" s="5" t="n"/>
      <c r="AD155" s="5" t="inlineStr">
        <is>
          <t>Shabana Azmi; Valeria Golino</t>
        </is>
      </c>
      <c r="AE155" s="5" t="n"/>
      <c r="AF155" s="18" t="n"/>
      <c r="AG155" s="19" t="n"/>
      <c r="AH155" s="5" t="n"/>
      <c r="AI155" s="5" t="n"/>
      <c r="AJ155" s="5" t="n"/>
      <c r="AK155" s="5" t="n"/>
      <c r="AL155" s="5" t="n"/>
      <c r="AM155" s="5" t="n"/>
      <c r="AN155" s="5" t="inlineStr">
        <is>
          <t>Not documented</t>
        </is>
      </c>
      <c r="AO155" s="18" t="n"/>
      <c r="AP155" s="19" t="inlineStr">
        <is>
          <t>No contemporary review was located in the sources consulted.</t>
        </is>
      </c>
      <c r="AQ155" s="19" t="inlineStr">
        <is>
          <t>One of three films released in 1998, the year Kapoor stopped acting, alongside Jinnah and the long-delayed Ghar Bazar.</t>
        </is>
      </c>
      <c r="AR155" s="5" t="inlineStr">
        <is>
          <t>SOURCE-001; SOURCE-125</t>
        </is>
      </c>
      <c r="AS155" s="5" t="inlineStr">
        <is>
          <t>Low</t>
        </is>
      </c>
      <c r="AT155" s="5" t="inlineStr">
        <is>
          <t>Filmography notes: English film. Infobox release dates: 1998-09-06 (Venice Film Festival); 1999-04-25 (UK). The article's Plot heading is followed only by an unfilled editorial comment template, so romance presence and the narrative fields are left blank rather than inferred and no Romances row is created. Shabana Azmi is credited as Mrs. Chandra Bipin Raj, the wife of Art Malik's Bipin Raj rather than of Kapoor's Vikram Raj.</t>
        </is>
      </c>
    </row>
  </sheetData>
  <autoFilter ref="A1:AT155"/>
  <conditionalFormatting sqref="AF2:AF355">
    <cfRule type="colorScale" priority="1">
      <colorScale>
        <cfvo type="num" val="0"/>
        <cfvo type="num" val="5"/>
        <cfvo type="num" val="10"/>
        <color rgb="00FFFFFF"/>
        <color rgb="00FCE7B2"/>
        <color rgb="00E07B39"/>
      </colorScale>
    </cfRule>
  </conditionalFormatting>
  <dataValidations count="5">
    <dataValidation sqref="T2:T355" showDropDown="0" showInputMessage="0" showErrorMessage="1" allowBlank="1" errorTitle="Role Type" error="Choose a value from the list." type="list">
      <formula1>"Lead,Co-lead,Ensemble lead,Supporting,Antagonist,Extended special appearance,Cameo,Self appearance,Voice role,Narrator,Child role"</formula1>
    </dataValidation>
    <dataValidation sqref="AE2:AE355" showDropDown="0" showInputMessage="0" showErrorMessage="1" allowBlank="1" errorTitle="Romance Presence" error="Choose a value from the list." type="list">
      <formula1>"None,Implied,Minor,Secondary,Major,Central"</formula1>
    </dataValidation>
    <dataValidation sqref="AF2:AF355" showDropDown="0" showInputMessage="0" showErrorMessage="1" allowBlank="1" errorTitle="Romance Centrality Score" error="Enter a score from 0 to 10." type="decimal" operator="between">
      <formula1>0</formula1>
      <formula2>10</formula2>
    </dataValidation>
    <dataValidation sqref="AG2:AG355" showDropDown="0" showInputMessage="0" showErrorMessage="1" allowBlank="1" errorTitle="Overall Relationship Classification" error="Choose a value from the list." type="list">
      <formula1>Overview!$AN$2:$AN$20</formula1>
    </dataValidation>
    <dataValidation sqref="AS2:AS355"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7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0" customWidth="1" min="5" max="5"/>
    <col width="20" customWidth="1" min="6" max="6"/>
    <col width="20" customWidth="1" min="7" max="7"/>
    <col width="18" customWidth="1" min="8" max="8"/>
    <col width="14" customWidth="1" min="9" max="9"/>
    <col width="30" customWidth="1" min="10" max="10"/>
    <col width="22" customWidth="1" min="11" max="11"/>
    <col width="36" customWidth="1" min="12" max="12"/>
    <col width="18" customWidth="1" min="13" max="13"/>
    <col width="36" customWidth="1" min="14" max="14"/>
    <col width="36" customWidth="1" min="15" max="15"/>
    <col width="36" customWidth="1" min="16" max="16"/>
    <col width="10" customWidth="1" min="17" max="17"/>
    <col width="40" customWidth="1" min="18" max="18"/>
    <col width="10" customWidth="1" min="19" max="19"/>
    <col width="24" customWidth="1" min="20" max="20"/>
    <col width="40" customWidth="1" min="21" max="21"/>
    <col width="10" customWidth="1" min="22" max="22"/>
    <col width="40" customWidth="1" min="23" max="23"/>
    <col width="10" customWidth="1" min="24" max="24"/>
    <col width="10" customWidth="1" min="25" max="25"/>
    <col width="10" customWidth="1" min="26" max="26"/>
    <col width="10" customWidth="1" min="27" max="27"/>
    <col width="10" customWidth="1" min="28" max="28"/>
    <col width="36" customWidth="1" min="29" max="29"/>
    <col width="13" customWidth="1" min="30" max="30"/>
    <col width="13" customWidth="1" min="31" max="31"/>
    <col width="14" customWidth="1" min="32" max="32"/>
    <col width="14" customWidth="1" min="33" max="33"/>
    <col width="14" customWidth="1" min="34" max="34"/>
    <col width="13" customWidth="1" min="35" max="35"/>
    <col width="14" customWidth="1" min="36" max="36"/>
    <col width="36" customWidth="1" min="37" max="37"/>
    <col width="36" customWidth="1" min="38" max="38"/>
    <col width="30" customWidth="1" min="39" max="39"/>
    <col width="14" customWidth="1" min="40" max="40"/>
    <col width="16" customWidth="1" min="41" max="41"/>
    <col width="30" customWidth="1" min="42" max="42"/>
    <col width="60" customWidth="1" min="43" max="43"/>
    <col width="50" customWidth="1" min="44" max="44"/>
    <col width="22" customWidth="1" min="45" max="45"/>
    <col width="12" customWidth="1" min="46" max="46"/>
  </cols>
  <sheetData>
    <row r="1" ht="51" customHeight="1">
      <c r="A1" s="12" t="inlineStr">
        <is>
          <t>Pairing ID</t>
        </is>
      </c>
      <c r="B1" s="12" t="inlineStr">
        <is>
          <t>Film ID</t>
        </is>
      </c>
      <c r="C1" s="12" t="inlineStr">
        <is>
          <t>Film</t>
        </is>
      </c>
      <c r="D1" s="12" t="inlineStr">
        <is>
          <t>Release Year</t>
        </is>
      </c>
      <c r="E1" s="12" t="inlineStr">
        <is>
          <t>Actor’s Character</t>
        </is>
      </c>
      <c r="F1" s="12" t="inlineStr">
        <is>
          <t>Actress</t>
        </is>
      </c>
      <c r="G1" s="12" t="inlineStr">
        <is>
          <t>Actress’s Character</t>
        </is>
      </c>
      <c r="H1" s="12" t="inlineStr">
        <is>
          <t>Actress Role Prominence</t>
        </is>
      </c>
      <c r="I1" s="12" t="inlineStr">
        <is>
          <t>Principal Female Lead</t>
        </is>
      </c>
      <c r="J1" s="13" t="inlineStr">
        <is>
          <t>Relationship Category</t>
        </is>
      </c>
      <c r="K1" s="12" t="inlineStr">
        <is>
          <t>Initial Relationship</t>
        </is>
      </c>
      <c r="L1" s="12" t="inlineStr">
        <is>
          <t>How They Meet</t>
        </is>
      </c>
      <c r="M1" s="12" t="inlineStr">
        <is>
          <t>Who Initiates</t>
        </is>
      </c>
      <c r="N1" s="13" t="inlineStr">
        <is>
          <t>Courtship Pattern</t>
        </is>
      </c>
      <c r="O1" s="13" t="inlineStr">
        <is>
          <t>Emotional Dynamic</t>
        </is>
      </c>
      <c r="P1" s="13" t="inlineStr">
        <is>
          <t>Pair’s Principal Conflict</t>
        </is>
      </c>
      <c r="Q1" s="14" t="inlineStr">
        <is>
          <t>Pair Friction Score</t>
        </is>
      </c>
      <c r="R1" s="13" t="inlineStr">
        <is>
          <t>Pair Friction Explanation</t>
        </is>
      </c>
      <c r="S1" s="14" t="inlineStr">
        <is>
          <t>External Opposition Score</t>
        </is>
      </c>
      <c r="T1" s="12" t="inlineStr">
        <is>
          <t>External Opposition Source</t>
        </is>
      </c>
      <c r="U1" s="13" t="inlineStr">
        <is>
          <t>External Opposition Explanation</t>
        </is>
      </c>
      <c r="V1" s="14" t="inlineStr">
        <is>
          <t>Lover-Boy Score</t>
        </is>
      </c>
      <c r="W1" s="13" t="inlineStr">
        <is>
          <t>Lover-Boy Explanation</t>
        </is>
      </c>
      <c r="X1" s="14" t="inlineStr">
        <is>
          <t>Romance Centrality Score</t>
        </is>
      </c>
      <c r="Y1" s="14" t="inlineStr">
        <is>
          <t>Relationship Health Score</t>
        </is>
      </c>
      <c r="Z1" s="14" t="inlineStr">
        <is>
          <t>Mutuality Score</t>
        </is>
      </c>
      <c r="AA1" s="14" t="inlineStr">
        <is>
          <t>Female Agency Score</t>
        </is>
      </c>
      <c r="AB1" s="14" t="inlineStr">
        <is>
          <t>Chemistry Score</t>
        </is>
      </c>
      <c r="AC1" s="13" t="inlineStr">
        <is>
          <t>Chemistry Explanation</t>
        </is>
      </c>
      <c r="AD1" s="12" t="inlineStr">
        <is>
          <t>Playful Banter</t>
        </is>
      </c>
      <c r="AE1" s="12" t="inlineStr">
        <is>
          <t>Serious Conflict</t>
        </is>
      </c>
      <c r="AF1" s="12" t="inlineStr">
        <is>
          <t>Jealousy or Possessiveness</t>
        </is>
      </c>
      <c r="AG1" s="12" t="inlineStr">
        <is>
          <t>Deception or Mistaken Identity</t>
        </is>
      </c>
      <c r="AH1" s="12" t="inlineStr">
        <is>
          <t>Separation or Estrangement</t>
        </is>
      </c>
      <c r="AI1" s="12" t="inlineStr">
        <is>
          <t>Sacrifice</t>
        </is>
      </c>
      <c r="AJ1" s="12" t="inlineStr">
        <is>
          <t>Couple Functions as Team</t>
        </is>
      </c>
      <c r="AK1" s="13" t="inlineStr">
        <is>
          <t>Romantic Transformation of Actor’s Character</t>
        </is>
      </c>
      <c r="AL1" s="13" t="inlineStr">
        <is>
          <t>Transformation of Female Character</t>
        </is>
      </c>
      <c r="AM1" s="12" t="inlineStr">
        <is>
          <t>Relationship Outcome</t>
        </is>
      </c>
      <c r="AN1" s="12" t="inlineStr">
        <is>
          <t>Marriage or Long-Term Union</t>
        </is>
      </c>
      <c r="AO1" s="12" t="inlineStr">
        <is>
          <t>Happy, Tragic or Unresolved Ending</t>
        </is>
      </c>
      <c r="AP1" s="12" t="inlineStr">
        <is>
          <t>Major Romantic Songs</t>
        </is>
      </c>
      <c r="AQ1" s="13" t="inlineStr">
        <is>
          <t>Relationship Analysis</t>
        </is>
      </c>
      <c r="AR1" s="13" t="inlineStr">
        <is>
          <t>Contemporary Critical Reading</t>
        </is>
      </c>
      <c r="AS1" s="12" t="inlineStr">
        <is>
          <t>Source IDs</t>
        </is>
      </c>
      <c r="AT1" s="12" t="inlineStr">
        <is>
          <t>Confidence Grade</t>
        </is>
      </c>
    </row>
    <row r="2" ht="109" customHeight="1">
      <c r="A2" s="15" t="inlineStr">
        <is>
          <t>PAIR-001</t>
        </is>
      </c>
      <c r="B2" s="18" t="inlineStr">
        <is>
          <t>FILM-010</t>
        </is>
      </c>
      <c r="C2" s="5" t="inlineStr">
        <is>
          <t>The Householder</t>
        </is>
      </c>
      <c r="D2" s="17" t="n">
        <v>1963</v>
      </c>
      <c r="E2" s="5" t="inlineStr">
        <is>
          <t>Prem Sagar</t>
        </is>
      </c>
      <c r="F2" s="5" t="inlineStr">
        <is>
          <t>Leela Naidu</t>
        </is>
      </c>
      <c r="G2" s="5" t="inlineStr">
        <is>
          <t>Indu</t>
        </is>
      </c>
      <c r="H2" s="5" t="inlineStr">
        <is>
          <t>Female lead</t>
        </is>
      </c>
      <c r="I2" s="5" t="inlineStr">
        <is>
          <t>Yes</t>
        </is>
      </c>
      <c r="J2" s="19" t="inlineStr">
        <is>
          <t>Marriage under strain</t>
        </is>
      </c>
      <c r="K2" s="5" t="inlineStr">
        <is>
          <t>Newly married by arrangement</t>
        </is>
      </c>
      <c r="L2" s="5" t="inlineStr">
        <is>
          <t>They do not meet in the film; the arranged marriage has already taken place when it opens, and the whole relationship is conducted after the wedding.</t>
        </is>
      </c>
      <c r="M2" s="5" t="inlineStr">
        <is>
          <t>Neither; the families arranged the match</t>
        </is>
      </c>
      <c r="N2" s="19" t="inlineStr">
        <is>
          <t>Courtship runs backwards, after marriage rather than before it. Prem approaches his own wife with the awkwardness of a stranger, and the tenderness between them grows only as he stops treating her as an obligation.</t>
        </is>
      </c>
      <c r="O2" s="19" t="inlineStr">
        <is>
          <t>Immature affection on his side and mounting frustration on hers, with neither able to say plainly what they want from the other.</t>
        </is>
      </c>
      <c r="P2" s="19" t="inlineStr">
        <is>
          <t>Prem will not take his wife's side against his mother, and Indu will not go on living in a household where she is displaced.</t>
        </is>
      </c>
      <c r="Q2" s="20" t="n">
        <v>5</v>
      </c>
      <c r="R2" s="19" t="inlineStr">
        <is>
          <t>The friction is real but not hostile: it comes from Prem's failure to act as a husband rather than from any dislike between them. It accumulates through small domestic humiliations and culminates in Indu leaving for her family, which is a rupture rather than a quarrel.</t>
        </is>
      </c>
      <c r="S2" s="20" t="n">
        <v>6</v>
      </c>
      <c r="T2" s="5" t="inlineStr">
        <is>
          <t>Family</t>
        </is>
      </c>
      <c r="U2" s="19" t="inlineStr">
        <is>
          <t>Prem's mother arrives and takes over the running of the household, displacing Indu in her own home. She is not malicious in the manner of a villain, but her presence is sustained and is the direct cause of the separation.</t>
        </is>
      </c>
      <c r="V2" s="20" t="n">
        <v>4</v>
      </c>
      <c r="W2" s="19" t="inlineStr">
        <is>
          <t>Romance is the film's whole subject, but Prem is not courting: he is a husband learning the job. There is no pursuit, no rebellion for love and no romantic heroism, and his emotional openness arrives only at the end. The role belongs to the domestic register rather than the lover-boy one.</t>
        </is>
      </c>
      <c r="X2" s="20" t="n">
        <v>9</v>
      </c>
      <c r="Y2" s="20" t="n">
        <v>5</v>
      </c>
      <c r="Z2" s="20" t="n">
        <v>5</v>
      </c>
      <c r="AA2" s="20" t="n">
        <v>6</v>
      </c>
      <c r="AB2" s="20" t="n">
        <v>6</v>
      </c>
      <c r="AC2" s="19" t="inlineStr">
        <is>
          <t>Interpretive reading; no fetched review assesses this pairing. Kapoor and Naidu play the awkwardness of two people married before they were acquainted, and the register is deliberately underplayed rather than charged; what works is the growing ease between them, not any initial spark.</t>
        </is>
      </c>
      <c r="AD2" s="5" t="inlineStr">
        <is>
          <t>Partial</t>
        </is>
      </c>
      <c r="AE2" s="5" t="inlineStr">
        <is>
          <t>Yes</t>
        </is>
      </c>
      <c r="AF2" s="5" t="inlineStr">
        <is>
          <t>No</t>
        </is>
      </c>
      <c r="AG2" s="5" t="inlineStr">
        <is>
          <t>No</t>
        </is>
      </c>
      <c r="AH2" s="5" t="inlineStr">
        <is>
          <t>Yes</t>
        </is>
      </c>
      <c r="AI2" s="5" t="inlineStr">
        <is>
          <t>Partial</t>
        </is>
      </c>
      <c r="AJ2" s="5" t="inlineStr">
        <is>
          <t>Partial</t>
        </is>
      </c>
      <c r="AK2" s="19" t="inlineStr">
        <is>
          <t>Prem grows from a man who defers to his mother into one who can choose his wife; the film is named for the role he finally accepts.</t>
        </is>
      </c>
      <c r="AL2" s="19" t="inlineStr">
        <is>
          <t>Indu moves from silent endurance to leaving, and returns only once the household she is returning to has changed.</t>
        </is>
      </c>
      <c r="AM2" s="5" t="inlineStr">
        <is>
          <t>Reconciled, with Prem having acquired the maturity the marriage required of him.</t>
        </is>
      </c>
      <c r="AN2" s="5" t="inlineStr">
        <is>
          <t>Yes</t>
        </is>
      </c>
      <c r="AO2" s="5" t="inlineStr">
        <is>
          <t>Happy</t>
        </is>
      </c>
      <c r="AP2" s="5" t="n"/>
      <c r="AQ2" s="19" t="inlineStr">
        <is>
          <t>The film is unusual in Kapoor's early work for treating marriage as the subject rather than the reward. The obstacle is neither a villain nor a class barrier but the husband's own immaturity, and the resolution is a change in him rather than a removal of some external impediment. Indu's departure is the film's strongest action and it is hers, which lifts the female agency score above what the period would predict.</t>
        </is>
      </c>
      <c r="AR2" s="19" t="inlineStr">
        <is>
          <t>Read now, the film's sympathies sit more with Indu than its own framing admits: it presents Prem's education as the story while the concrete grievance, a wife displaced in her home by her mother-in-law, is entirely hers. The swami's counsel resolves the marriage by improving the husband's attitude rather than by addressing the arrangement that produced the problem.</t>
        </is>
      </c>
      <c r="AS2" s="5" t="inlineStr">
        <is>
          <t>SOURCE-001; SOURCE-008</t>
        </is>
      </c>
      <c r="AT2" s="5" t="inlineStr">
        <is>
          <t>Medium</t>
        </is>
      </c>
    </row>
    <row r="3" ht="94" customHeight="1">
      <c r="A3" s="15" t="inlineStr">
        <is>
          <t>PAIR-002</t>
        </is>
      </c>
      <c r="B3" s="18" t="inlineStr">
        <is>
          <t>FILM-014</t>
        </is>
      </c>
      <c r="C3" s="5" t="inlineStr">
        <is>
          <t>Benazir</t>
        </is>
      </c>
      <c r="D3" s="17" t="n">
        <v>1964</v>
      </c>
      <c r="E3" s="5" t="inlineStr">
        <is>
          <t>Anwar</t>
        </is>
      </c>
      <c r="F3" s="5" t="inlineStr">
        <is>
          <t>Tanuja</t>
        </is>
      </c>
      <c r="G3" s="5" t="inlineStr">
        <is>
          <t>Sahida</t>
        </is>
      </c>
      <c r="H3" s="5" t="inlineStr">
        <is>
          <t>Supporting female lead</t>
        </is>
      </c>
      <c r="I3" s="5" t="inlineStr">
        <is>
          <t>No</t>
        </is>
      </c>
      <c r="J3" s="19" t="inlineStr">
        <is>
          <t>Frictionless idealized romance</t>
        </is>
      </c>
      <c r="K3" s="5" t="inlineStr">
        <is>
          <t>Strangers</t>
        </is>
      </c>
      <c r="L3" s="5" t="inlineStr">
        <is>
          <t>Anwar sees Sahida and falls in love with her; the article's storyline gives no more circumstance than that.</t>
        </is>
      </c>
      <c r="M3" s="5" t="inlineStr">
        <is>
          <t>Anwar</t>
        </is>
      </c>
      <c r="N3" s="19" t="inlineStr">
        <is>
          <t>Compressed and direct: he sees her, loves her and proposes marriage, with no obstacle raised between the two of them.</t>
        </is>
      </c>
      <c r="O3" s="19" t="inlineStr">
        <is>
          <t>Young, cheerful and uncomplicated, set deliberately against the older generation's ruinous entanglement.</t>
        </is>
      </c>
      <c r="P3" s="19" t="inlineStr">
        <is>
          <t>None between the couple; the threat comes entirely from Nawab's suspicion of his brother.</t>
        </is>
      </c>
      <c r="Q3" s="20" t="n">
        <v>1</v>
      </c>
      <c r="R3" s="19" t="inlineStr">
        <is>
          <t>The article's storyline records no disagreement of any kind between Anwar and Sahida. Their function in the film is to be the uncomplicated pairing against which the Nawab, his wife and Benazir are measured.</t>
        </is>
      </c>
      <c r="S3" s="20" t="n">
        <v>5</v>
      </c>
      <c r="T3" s="5" t="inlineStr">
        <is>
          <t>Family; Existing relationship</t>
        </is>
      </c>
      <c r="U3" s="19" t="inlineStr">
        <is>
          <t>Nawab is told that Anwar has been visiting his mistress Benazir and then sees Benazir in his brother's arms. The resulting rupture between the brothers threatens the marriage Anwar has proposed, though the storyline does not follow it through.</t>
        </is>
      </c>
      <c r="V3" s="20" t="n">
        <v>6</v>
      </c>
      <c r="W3" s="19" t="inlineStr">
        <is>
          <t>Within a brief part Anwar is defined almost entirely by falling in love and proposing, which is the lover-boy function in miniature. The score is held down because the role is short and carries no sustained courtship, sacrifice or romantic heroism.</t>
        </is>
      </c>
      <c r="X3" s="20" t="n">
        <v>4</v>
      </c>
      <c r="Y3" s="20" t="n">
        <v>7</v>
      </c>
      <c r="Z3" s="20" t="n">
        <v>6</v>
      </c>
      <c r="AA3" s="20" t="n">
        <v>3</v>
      </c>
      <c r="AB3" s="20" t="n">
        <v>6</v>
      </c>
      <c r="AC3" s="19" t="inlineStr">
        <is>
          <t>A retrospective notice quoted in the film article holds that Kapoor and Tanuja make only brief appearances but do justice to their roles as a beautiful young cheerful pair, which is an assessment of the pairing rather than of either performance alone.</t>
        </is>
      </c>
      <c r="AD3" s="5" t="inlineStr">
        <is>
          <t>Unclear</t>
        </is>
      </c>
      <c r="AE3" s="5" t="inlineStr">
        <is>
          <t>No</t>
        </is>
      </c>
      <c r="AF3" s="5" t="inlineStr">
        <is>
          <t>No</t>
        </is>
      </c>
      <c r="AG3" s="5" t="inlineStr">
        <is>
          <t>No</t>
        </is>
      </c>
      <c r="AH3" s="5" t="inlineStr">
        <is>
          <t>Unclear</t>
        </is>
      </c>
      <c r="AI3" s="5" t="inlineStr">
        <is>
          <t>Unclear</t>
        </is>
      </c>
      <c r="AJ3" s="5" t="inlineStr">
        <is>
          <t>Unclear</t>
        </is>
      </c>
      <c r="AK3" s="19" t="inlineStr">
        <is>
          <t>None recorded; the part is too brief for an arc.</t>
        </is>
      </c>
      <c r="AL3" s="19" t="inlineStr">
        <is>
          <t>None recorded.</t>
        </is>
      </c>
      <c r="AM3" s="5" t="inlineStr">
        <is>
          <t>Not stated by the article's storyline summary, which stops at Nawab's discovery.</t>
        </is>
      </c>
      <c r="AN3" s="5" t="inlineStr">
        <is>
          <t>Unclear</t>
        </is>
      </c>
      <c r="AO3" s="5" t="n"/>
      <c r="AP3" s="5" t="n"/>
      <c r="AQ3" s="19" t="inlineStr">
        <is>
          <t>This is the secondary romance of a film whose centre is the Nawab's relationship with the courtesan Benazir. Its structural job is contrast: a young, sanctioned, uncomplicated attachment beside an older, adulterous and socially impossible one. Kapoor is not the film's romantic lead and the pairing is not developed, which is why almost every categorical field here is recorded as unclear rather than guessed.</t>
        </is>
      </c>
      <c r="AR3" s="19" t="inlineStr">
        <is>
          <t>The pairing is too lightly sketched to carry much modern reading, but the structure is worth noting: Sahida exists to be proposed to, and the dramatic interest of the misunderstanding belongs wholly to the two brothers, with the courtesan Benazir positioned as the thing they contest rather than a party to it.</t>
        </is>
      </c>
      <c r="AS3" s="5" t="inlineStr">
        <is>
          <t>SOURCE-001; SOURCE-010</t>
        </is>
      </c>
      <c r="AT3" s="5" t="inlineStr">
        <is>
          <t>Low</t>
        </is>
      </c>
    </row>
    <row r="4" ht="109" customHeight="1">
      <c r="A4" s="15" t="inlineStr">
        <is>
          <t>PAIR-003</t>
        </is>
      </c>
      <c r="B4" s="18" t="inlineStr">
        <is>
          <t>FILM-015</t>
        </is>
      </c>
      <c r="C4" s="5" t="inlineStr">
        <is>
          <t>Shakespeare Wallah</t>
        </is>
      </c>
      <c r="D4" s="17" t="n">
        <v>1965</v>
      </c>
      <c r="E4" s="5" t="inlineStr">
        <is>
          <t>Sanju</t>
        </is>
      </c>
      <c r="F4" s="5" t="inlineStr">
        <is>
          <t>Felicity Kendal</t>
        </is>
      </c>
      <c r="G4" s="5" t="inlineStr">
        <is>
          <t>Lizzie Buckingham</t>
        </is>
      </c>
      <c r="H4" s="5" t="inlineStr">
        <is>
          <t>Female lead</t>
        </is>
      </c>
      <c r="I4" s="5" t="inlineStr">
        <is>
          <t>Yes</t>
        </is>
      </c>
      <c r="J4" s="19" t="inlineStr">
        <is>
          <t>Love triangle</t>
        </is>
      </c>
      <c r="K4" s="5" t="inlineStr">
        <is>
          <t>Strangers from different worlds</t>
        </is>
      </c>
      <c r="L4" s="5" t="inlineStr">
        <is>
          <t>Sanju attaches himself to the Buckinghams' travelling Shakespeare company as it tours India, and courts the troupe's daughter.</t>
        </is>
      </c>
      <c r="M4" s="5" t="inlineStr">
        <is>
          <t>Sanju</t>
        </is>
      </c>
      <c r="N4" s="19" t="inlineStr">
        <is>
          <t>A rich man's pursuit conducted at his own convenience, around a touring schedule and around the other woman he does not give up.</t>
        </is>
      </c>
      <c r="O4" s="19" t="inlineStr">
        <is>
          <t>Genuine affection on both sides, undercut throughout by his refusal to choose and by her growing understanding of what that means.</t>
        </is>
      </c>
      <c r="P4" s="19" t="inlineStr">
        <is>
          <t>Sanju will not relinquish Manjula, and Lizzie will not go on sharing him.</t>
        </is>
      </c>
      <c r="Q4" s="20" t="n">
        <v>4</v>
      </c>
      <c r="R4" s="19" t="inlineStr">
        <is>
          <t>There is no hostility between them and little open quarrelling; the friction is the steady pressure of Manjula's continuing presence, which Lizzie registers and Sanju declines to resolve. It is corrosive rather than combative.</t>
        </is>
      </c>
      <c r="S4" s="20" t="n">
        <v>6</v>
      </c>
      <c r="T4" s="5" t="inlineStr">
        <is>
          <t>Existing relationship; Community</t>
        </is>
      </c>
      <c r="U4" s="19" t="inlineStr">
        <is>
          <t>Manjula's established claim on Sanju is the direct obstacle, and she acts on it. Behind that sits the larger displacement the film is about: English theatre in India is dying, the Buckinghams must keep moving, and the Hindi film industry that Manjula embodies is what is replacing them.</t>
        </is>
      </c>
      <c r="V4" s="20" t="n">
        <v>6</v>
      </c>
      <c r="W4" s="19" t="inlineStr">
        <is>
          <t>Sanju is a romantic figure and courtship occupies most of his screen time, but he is a playboy rather than a devotee: there is no sacrifice, no rebellion and no constancy. He is charming and emotionally available without being committed, which is the lover-boy surface without its substance.</t>
        </is>
      </c>
      <c r="X4" s="20" t="n">
        <v>8</v>
      </c>
      <c r="Y4" s="20" t="n">
        <v>4</v>
      </c>
      <c r="Z4" s="20" t="n">
        <v>5</v>
      </c>
      <c r="AA4" s="20" t="n">
        <v>7</v>
      </c>
      <c r="AB4" s="20" t="n">
        <v>7</v>
      </c>
      <c r="AC4" s="19" t="inlineStr">
        <is>
          <t>Interpretive reading; no fetched review assesses this pairing. Kapoor and Felicity Kendal play an easy, unforced attraction that makes his failure to choose read as carelessness rather than coldness, which is what the film needs; the warmth is real enough that her departure registers as a loss.</t>
        </is>
      </c>
      <c r="AD4" s="5" t="inlineStr">
        <is>
          <t>Yes</t>
        </is>
      </c>
      <c r="AE4" s="5" t="inlineStr">
        <is>
          <t>Partial</t>
        </is>
      </c>
      <c r="AF4" s="5" t="inlineStr">
        <is>
          <t>Yes</t>
        </is>
      </c>
      <c r="AG4" s="5" t="inlineStr">
        <is>
          <t>Partial</t>
        </is>
      </c>
      <c r="AH4" s="5" t="inlineStr">
        <is>
          <t>Yes</t>
        </is>
      </c>
      <c r="AI4" s="5" t="inlineStr">
        <is>
          <t>No</t>
        </is>
      </c>
      <c r="AJ4" s="5" t="inlineStr">
        <is>
          <t>No</t>
        </is>
      </c>
      <c r="AK4" s="19" t="inlineStr">
        <is>
          <t>None. Sanju ends the film as he began it, which is the point being made about him.</t>
        </is>
      </c>
      <c r="AL4" s="19" t="inlineStr">
        <is>
          <t>Lizzie moves from infatuation to a clear sight of her position, and acts on it by leaving India.</t>
        </is>
      </c>
      <c r="AM4" s="5" t="inlineStr">
        <is>
          <t>Ends with Lizzie's departure; the relationship is abandoned rather than resolved.</t>
        </is>
      </c>
      <c r="AN4" s="5" t="inlineStr">
        <is>
          <t>No</t>
        </is>
      </c>
      <c r="AO4" s="5" t="inlineStr">
        <is>
          <t>Unresolved</t>
        </is>
      </c>
      <c r="AP4" s="5" t="n"/>
      <c r="AQ4" s="19" t="inlineStr">
        <is>
          <t>The romance is the personal register of the film's historical argument. Sanju can hold both women because he belongs to the ascendant world and neither needs him; Lizzie belongs to a troupe whose audiences are vanishing, and her leaving is as much economic as romantic. The pairing carries an unusually high female agency score for Kapoor's 1960s work because the decisive action of the film is hers.</t>
        </is>
      </c>
      <c r="AR4" s="19" t="inlineStr">
        <is>
          <t>Modern readings tend to be harder on Sanju than the film is: he is indulged as a charming idler while the costs of his indecision fall entirely on the two women, and the film's sympathy for Lizzie does not extend to naming his behaviour. Manjula, meanwhile, is written close to the jealous-film-star stereotype even as the film credits her industry with displacing the Buckinghams.</t>
        </is>
      </c>
      <c r="AS4" s="5" t="inlineStr">
        <is>
          <t>SOURCE-001; SOURCE-011</t>
        </is>
      </c>
      <c r="AT4" s="5" t="inlineStr">
        <is>
          <t>Medium</t>
        </is>
      </c>
    </row>
    <row r="5" ht="124" customHeight="1">
      <c r="A5" s="15" t="inlineStr">
        <is>
          <t>PAIR-004</t>
        </is>
      </c>
      <c r="B5" s="18" t="inlineStr">
        <is>
          <t>FILM-015</t>
        </is>
      </c>
      <c r="C5" s="5" t="inlineStr">
        <is>
          <t>Shakespeare Wallah</t>
        </is>
      </c>
      <c r="D5" s="17" t="n">
        <v>1965</v>
      </c>
      <c r="E5" s="5" t="inlineStr">
        <is>
          <t>Sanju</t>
        </is>
      </c>
      <c r="F5" s="5" t="inlineStr">
        <is>
          <t>Madhur Jaffrey</t>
        </is>
      </c>
      <c r="G5" s="5" t="inlineStr">
        <is>
          <t>Manjula</t>
        </is>
      </c>
      <c r="H5" s="5" t="inlineStr">
        <is>
          <t>Principal supporting</t>
        </is>
      </c>
      <c r="I5" s="5" t="inlineStr">
        <is>
          <t>No</t>
        </is>
      </c>
      <c r="J5" s="19" t="inlineStr">
        <is>
          <t>Established relationship</t>
        </is>
      </c>
      <c r="K5" s="5" t="inlineStr">
        <is>
          <t>Existing affair, already running when the film begins</t>
        </is>
      </c>
      <c r="L5" s="5" t="inlineStr">
        <is>
          <t>Not shown; the relationship predates the story.</t>
        </is>
      </c>
      <c r="M5" s="5" t="inlineStr">
        <is>
          <t>Not shown</t>
        </is>
      </c>
      <c r="N5" s="19" t="inlineStr">
        <is>
          <t>No courtship. The relationship is an established arrangement between a wealthy idler and a film star, which Sanju continues while pursuing Lizzie.</t>
        </is>
      </c>
      <c r="O5" s="19" t="inlineStr">
        <is>
          <t>Possessive on her side, casual on his; she treats his attention as hers by right and moves to protect it.</t>
        </is>
      </c>
      <c r="P5" s="19" t="inlineStr">
        <is>
          <t>Lizzie. Manjula's whole conflict with Sanju is over the other woman.</t>
        </is>
      </c>
      <c r="Q5" s="20" t="n">
        <v>5</v>
      </c>
      <c r="R5" s="19" t="inlineStr">
        <is>
          <t>Recurring and pointed conflict, all of it about Sanju's divided attention. It stops short of rupture because neither party treats the relationship as a commitment that could be broken.</t>
        </is>
      </c>
      <c r="S5" s="20" t="n">
        <v>3</v>
      </c>
      <c r="T5" s="5" t="inlineStr">
        <is>
          <t>Existing relationship</t>
        </is>
      </c>
      <c r="U5" s="19" t="inlineStr">
        <is>
          <t>Little external force acts on this pair. The obstacle to it is Lizzie, which makes the opposition internal to the triangle rather than imposed from outside it.</t>
        </is>
      </c>
      <c r="V5" s="20" t="n">
        <v>3</v>
      </c>
      <c r="W5" s="19" t="inlineStr">
        <is>
          <t>Sanju's conduct here is the opposite of the archetype: an arrangement maintained out of convenience, with no courtship, devotion or openness. It is included in the scoring because it is a real and consequential relationship, not because it is romantic.</t>
        </is>
      </c>
      <c r="X5" s="20" t="n">
        <v>5</v>
      </c>
      <c r="Y5" s="20" t="n">
        <v>4</v>
      </c>
      <c r="Z5" s="20" t="n">
        <v>4</v>
      </c>
      <c r="AA5" s="20" t="n">
        <v>7</v>
      </c>
      <c r="AB5" s="20" t="n">
        <v>6</v>
      </c>
      <c r="AC5" s="19" t="inlineStr">
        <is>
          <t>Interpretive reading; no fetched review assesses this pairing. Jaffrey plays Manjula with a hauteur that makes Sanju look slight beside her, and the friction between them is more interesting to watch than the affection; the pairing reads as habit rather than attraction, which appears to be the intention.</t>
        </is>
      </c>
      <c r="AD5" s="5" t="inlineStr">
        <is>
          <t>Partial</t>
        </is>
      </c>
      <c r="AE5" s="5" t="inlineStr">
        <is>
          <t>Yes</t>
        </is>
      </c>
      <c r="AF5" s="5" t="inlineStr">
        <is>
          <t>Yes</t>
        </is>
      </c>
      <c r="AG5" s="5" t="inlineStr">
        <is>
          <t>Partial</t>
        </is>
      </c>
      <c r="AH5" s="5" t="inlineStr">
        <is>
          <t>No</t>
        </is>
      </c>
      <c r="AI5" s="5" t="inlineStr">
        <is>
          <t>No</t>
        </is>
      </c>
      <c r="AJ5" s="5" t="inlineStr">
        <is>
          <t>No</t>
        </is>
      </c>
      <c r="AK5" s="19" t="inlineStr">
        <is>
          <t>None.</t>
        </is>
      </c>
      <c r="AL5" s="19" t="inlineStr">
        <is>
          <t>None; Manjula ends in possession of the field.</t>
        </is>
      </c>
      <c r="AM5" s="5" t="inlineStr">
        <is>
          <t>Continues. Manjula keeps Sanju, largely by outlasting Lizzie.</t>
        </is>
      </c>
      <c r="AN5" s="5" t="inlineStr">
        <is>
          <t>Partial</t>
        </is>
      </c>
      <c r="AO5" s="5" t="inlineStr">
        <is>
          <t>Unresolved</t>
        </is>
      </c>
      <c r="AP5" s="5" t="n"/>
      <c r="AQ5" s="19" t="inlineStr">
        <is>
          <t>A second pairing row is warranted here because the relationship is consequential rather than decorative: Manjula is the reason Lizzie leaves, and she acts to make it so. The pairing also sets a pattern worth tracking across the filmography, in which Kapoor's character maintains a prior attachment while courting the film's heroine.</t>
        </is>
      </c>
      <c r="AR5" s="19" t="inlineStr">
        <is>
          <t>Manjula is written as the glamorous obstacle and given the period's stock attributes of the jealous star, but the film also lets her be right: Sanju is hers and is behaving badly. The interest of the part now is that its antagonism is entirely justified by the plot even as the film frames it as an impediment to the romance the audience is meant to want.</t>
        </is>
      </c>
      <c r="AS5" s="5" t="inlineStr">
        <is>
          <t>SOURCE-001; SOURCE-011</t>
        </is>
      </c>
      <c r="AT5" s="5" t="inlineStr">
        <is>
          <t>Medium</t>
        </is>
      </c>
    </row>
    <row r="6" ht="124" customHeight="1">
      <c r="A6" s="15" t="inlineStr">
        <is>
          <t>PAIR-005</t>
        </is>
      </c>
      <c r="B6" s="18" t="inlineStr">
        <is>
          <t>FILM-017</t>
        </is>
      </c>
      <c r="C6" s="5" t="inlineStr">
        <is>
          <t>Waqt</t>
        </is>
      </c>
      <c r="D6" s="17" t="n">
        <v>1965</v>
      </c>
      <c r="E6" s="5" t="inlineStr">
        <is>
          <t>Vijay Prasanta</t>
        </is>
      </c>
      <c r="F6" s="5" t="inlineStr">
        <is>
          <t>Sharmila Tagore</t>
        </is>
      </c>
      <c r="G6" s="5" t="inlineStr">
        <is>
          <t>Renu Khanna</t>
        </is>
      </c>
      <c r="H6" s="5" t="inlineStr">
        <is>
          <t>Female lead of one of three strands</t>
        </is>
      </c>
      <c r="I6" s="5" t="inlineStr">
        <is>
          <t>Partial</t>
        </is>
      </c>
      <c r="J6" s="19" t="inlineStr">
        <is>
          <t>United couple versus external world</t>
        </is>
      </c>
      <c r="K6" s="5" t="inlineStr">
        <is>
          <t>College acquaintances, already in love when the film's present begins</t>
        </is>
      </c>
      <c r="L6" s="5" t="inlineStr">
        <is>
          <t>They met at college; Renu has loved him since then.</t>
        </is>
      </c>
      <c r="M6" s="5" t="inlineStr">
        <is>
          <t>Renu, whose attachment predates and outlasts his ability to act on it</t>
        </is>
      </c>
      <c r="N6" s="19" t="inlineStr">
        <is>
          <t>Settled affection rather than pursuit. The obstacle is never her feeling, which is constant, but his circumstances.</t>
        </is>
      </c>
      <c r="O6" s="19" t="inlineStr">
        <is>
          <t>Warm and mutual, strained by his embarrassment at what he has been reduced to.</t>
        </is>
      </c>
      <c r="P6" s="19" t="inlineStr">
        <is>
          <t>Almost none between them; Vijay's poverty and his refusal to be pitied are the nearest thing to a quarrel.</t>
        </is>
      </c>
      <c r="Q6" s="20" t="n">
        <v>2</v>
      </c>
      <c r="R6" s="19" t="inlineStr">
        <is>
          <t>The couple are aligned throughout. What little tension exists comes from Vijay's shame at driving a car for a living while holding a degree, not from any disagreement with Renu, who never wavers.</t>
        </is>
      </c>
      <c r="S6" s="20" t="n">
        <v>7</v>
      </c>
      <c r="T6" s="5" t="inlineStr">
        <is>
          <t>Family; Class</t>
        </is>
      </c>
      <c r="U6" s="19" t="inlineStr">
        <is>
          <t>Renu's foster brother Ravi objects to the attachment and quarrels with her over it. Behind that sits the real barrier: Vijay is a graduate working as a chauffeur, supporting a mother dying of cancer, and is in no position to marry into the Khanna household.</t>
        </is>
      </c>
      <c r="V6" s="20" t="n">
        <v>6</v>
      </c>
      <c r="W6" s="19" t="inlineStr">
        <is>
          <t>Vijay is the romantic one of the three brothers and the strand is built on devotion under economic humiliation, but the film's weight sits on the family's separation and reunion. His defining act is filial rather than romantic: he drives to pay for his mother's treatment.</t>
        </is>
      </c>
      <c r="X6" s="20" t="n">
        <v>5</v>
      </c>
      <c r="Y6" s="20" t="n">
        <v>7</v>
      </c>
      <c r="Z6" s="20" t="n">
        <v>7</v>
      </c>
      <c r="AA6" s="20" t="n">
        <v>5</v>
      </c>
      <c r="AB6" s="20" t="n">
        <v>7</v>
      </c>
      <c r="AC6" s="19" t="inlineStr">
        <is>
          <t>Interpretive reading; no fetched review assesses this pairing. Kapoor and Tagore play the ease of an established college attachment rather than the charge of a new one, and the warmth holds up against the film's much noisier strands; their scenes read as the least performed thing in a highly performed film.</t>
        </is>
      </c>
      <c r="AD6" s="5" t="inlineStr">
        <is>
          <t>Yes</t>
        </is>
      </c>
      <c r="AE6" s="5" t="inlineStr">
        <is>
          <t>No</t>
        </is>
      </c>
      <c r="AF6" s="5" t="inlineStr">
        <is>
          <t>No</t>
        </is>
      </c>
      <c r="AG6" s="5" t="inlineStr">
        <is>
          <t>No</t>
        </is>
      </c>
      <c r="AH6" s="5" t="inlineStr">
        <is>
          <t>Partial</t>
        </is>
      </c>
      <c r="AI6" s="5" t="inlineStr">
        <is>
          <t>Yes</t>
        </is>
      </c>
      <c r="AJ6" s="5" t="inlineStr">
        <is>
          <t>Partial</t>
        </is>
      </c>
      <c r="AK6" s="19" t="inlineStr">
        <is>
          <t>Little. Vijay is constant; what changes is his situation once the family is restored.</t>
        </is>
      </c>
      <c r="AL6" s="19" t="inlineStr">
        <is>
          <t>Renu holds to the attachment against her foster brother's objection, which is the extent of her arc.</t>
        </is>
      </c>
      <c r="AM6" s="5" t="inlineStr">
        <is>
          <t>Cleared to marry once the brothers are reunited and Vijay's circumstances change.</t>
        </is>
      </c>
      <c r="AN6" s="5" t="inlineStr">
        <is>
          <t>Yes</t>
        </is>
      </c>
      <c r="AO6" s="5" t="inlineStr">
        <is>
          <t>Happy</t>
        </is>
      </c>
      <c r="AP6" s="5" t="n"/>
      <c r="AQ6" s="19" t="inlineStr">
        <is>
          <t>In the film that established the Hindi multi-starrer, Kapoor's is the romantic strand and it is deliberately the quietest of the three. The pairing has almost no internal friction, which throws the entire dramatic load onto class and family, and makes it an early clear instance of the pattern that dominates his 1970s work: high external opposition, near-zero pair friction, and romance subordinated to a family plot.</t>
        </is>
      </c>
      <c r="AR6" s="19" t="inlineStr">
        <is>
          <t>The class obstacle is presented as a misunderstanding to be dissolved by the plot's coincidences rather than as a structural fact, and it is resolved by restoring Vijay to a wealthy family rather than by anyone accepting a chauffeur. Renu's constancy is admirable but entirely reactive; she waits, and the narrative rewards her for waiting.</t>
        </is>
      </c>
      <c r="AS6" s="5" t="inlineStr">
        <is>
          <t>SOURCE-001; SOURCE-012</t>
        </is>
      </c>
      <c r="AT6" s="5" t="inlineStr">
        <is>
          <t>Medium</t>
        </is>
      </c>
    </row>
    <row r="7" ht="139" customHeight="1">
      <c r="A7" s="15" t="inlineStr">
        <is>
          <t>PAIR-006</t>
        </is>
      </c>
      <c r="B7" s="18" t="inlineStr">
        <is>
          <t>FILM-018</t>
        </is>
      </c>
      <c r="C7" s="5" t="inlineStr">
        <is>
          <t>Jab Jab Phool Khile</t>
        </is>
      </c>
      <c r="D7" s="17" t="n">
        <v>1965</v>
      </c>
      <c r="E7" s="5" t="inlineStr">
        <is>
          <t>Raja (Rajkumar)</t>
        </is>
      </c>
      <c r="F7" s="5" t="inlineStr">
        <is>
          <t>Nanda</t>
        </is>
      </c>
      <c r="G7" s="5" t="inlineStr">
        <is>
          <t>Rita Khanna</t>
        </is>
      </c>
      <c r="H7" s="5" t="inlineStr">
        <is>
          <t>Female lead</t>
        </is>
      </c>
      <c r="I7" s="5" t="inlineStr">
        <is>
          <t>Yes</t>
        </is>
      </c>
      <c r="J7" s="19" t="inlineStr">
        <is>
          <t>United couple versus external world</t>
        </is>
      </c>
      <c r="K7" s="5" t="inlineStr">
        <is>
          <t>Houseboat owner and holidaying tenant</t>
        </is>
      </c>
      <c r="L7" s="5" t="inlineStr">
        <is>
          <t>Rita, a Bombay heiress on holiday in Kashmir, rents the houseboat Raja owns and lives on with his small sister.</t>
        </is>
      </c>
      <c r="M7" s="5" t="inlineStr">
        <is>
          <t>Raja, after a period of misunderstandings gives way to friendship</t>
        </is>
      </c>
      <c r="N7" s="19" t="inlineStr">
        <is>
          <t>Slow and deferential, conducted across a season on the water; she returns the following year as promised, and he declares himself only when she does.</t>
        </is>
      </c>
      <c r="O7" s="19" t="inlineStr">
        <is>
          <t>Unguarded devotion on his side and delighted recognition on hers, with the imbalance of wealth present but never weaponised between them.</t>
        </is>
      </c>
      <c r="P7" s="19" t="inlineStr">
        <is>
          <t>The makeover. Rita asks Raja to change his dress and manners for her father's world, and he cannot bear watching her dance with other men in it.</t>
        </is>
      </c>
      <c r="Q7" s="20" t="n">
        <v>5</v>
      </c>
      <c r="R7" s="19" t="inlineStr">
        <is>
          <t>For most of the film the couple are entirely aligned, but the quarrel at the Bombay party is a genuine interpersonal rupture rather than an external obstacle: she asks him to become someone else, he agrees, and he leaves when he finds he cannot. The friction is real, brief and decisive.</t>
        </is>
      </c>
      <c r="S7" s="20" t="n">
        <v>8</v>
      </c>
      <c r="T7" s="5" t="inlineStr">
        <is>
          <t>Family; Class</t>
        </is>
      </c>
      <c r="U7" s="19" t="inlineStr">
        <is>
          <t>Raj Bahadur engineers the separation deliberately. He tells his daughter that a Kashmiri boatman cannot adapt to their ways, stages the party at which the quarrel occurs, and is later overheard admitting he knew Raja would not tolerate it. The class barrier is not incidental; it is actively worked by her father.</t>
        </is>
      </c>
      <c r="V7" s="20" t="n">
        <v>9</v>
      </c>
      <c r="W7" s="19" t="inlineStr">
        <is>
          <t>This is the role that made Kapoor a romantic star. Raja's identity is entirely organised around loving Rita: he has no other plot, no rival ambition and no function in the film outside the courtship. He is emotionally open throughout, sacrifices his own terms and then refuses to, and the songs are built on him. It falls short of ten only because his final act is to leave rather than to pursue.</t>
        </is>
      </c>
      <c r="X7" s="20" t="n">
        <v>10</v>
      </c>
      <c r="Y7" s="20" t="n">
        <v>6</v>
      </c>
      <c r="Z7" s="20" t="n">
        <v>7</v>
      </c>
      <c r="AA7" s="20" t="n">
        <v>6</v>
      </c>
      <c r="AB7" s="20" t="n">
        <v>8</v>
      </c>
      <c r="AC7" s="19" t="inlineStr">
        <is>
          <t>Interpretive reading; no fetched review assesses this pairing. The pairing is the reason the film worked and the reason Kapoor became a star on it: his unpolished warmth against Nanda's poised amusement gives the class gap an affectionate rather than a pitying register, and the Kashmir songs are filmed as a two-hander.</t>
        </is>
      </c>
      <c r="AD7" s="5" t="inlineStr">
        <is>
          <t>Yes</t>
        </is>
      </c>
      <c r="AE7" s="5" t="inlineStr">
        <is>
          <t>Yes</t>
        </is>
      </c>
      <c r="AF7" s="5" t="inlineStr">
        <is>
          <t>Yes</t>
        </is>
      </c>
      <c r="AG7" s="5" t="inlineStr">
        <is>
          <t>No</t>
        </is>
      </c>
      <c r="AH7" s="5" t="inlineStr">
        <is>
          <t>Yes</t>
        </is>
      </c>
      <c r="AI7" s="5" t="inlineStr">
        <is>
          <t>Yes</t>
        </is>
      </c>
      <c r="AJ7" s="5" t="inlineStr">
        <is>
          <t>Yes</t>
        </is>
      </c>
      <c r="AK7" s="19" t="inlineStr">
        <is>
          <t>Raja submits to being remade for her world, discovers what it costs him, and takes himself back; the film endorses the refusal.</t>
        </is>
      </c>
      <c r="AL7" s="19" t="inlineStr">
        <is>
          <t>Rita moves from asking him to change to understanding that she was manoeuvred into asking, and then chooses his life over her father's.</t>
        </is>
      </c>
      <c r="AM7" s="5" t="inlineStr">
        <is>
          <t>She comes to the railway station and he pulls her onto the moving train.</t>
        </is>
      </c>
      <c r="AN7" s="5" t="inlineStr">
        <is>
          <t>Yes</t>
        </is>
      </c>
      <c r="AO7" s="5" t="inlineStr">
        <is>
          <t>Happy</t>
        </is>
      </c>
      <c r="AP7" s="5" t="inlineStr">
        <is>
          <t>Ye Samaa Samaa Hai Pyar Ka; Na Na Karte Pyar Tumhin Se; Pardesiyon Se Na Ankhiyan Milana; Ek Tha Gul Aur Ek Thi Bulbul; Affoo Khudaya</t>
        </is>
      </c>
      <c r="AQ7" s="19" t="inlineStr">
        <is>
          <t>The defining romance of Kapoor's early career and the template for the persona the rest of the filmography either extends or reacts against: a poor, guileless, entirely devoted man loved by a rich woman, with the obstacle placed squarely in her family and her class rather than between the couple. It is also, unusually for the period, a film that resolves the class problem by having the wealthy partner cross over rather than by elevating the poor one.</t>
        </is>
      </c>
      <c r="AR7" s="19" t="inlineStr">
        <is>
          <t>The makeover sequence reads differently now than it plays: the film treats Raja's refusal to be assimilated as integrity, but the quarrel is triggered by his objection to Rita dancing with other men, which the narrative endorses as wounded love rather than examining as possessiveness. Rita's final choice is genuine agency, though it is framed as a woman giving up her world for a man rather than as two people meeting.</t>
        </is>
      </c>
      <c r="AS7" s="5" t="inlineStr">
        <is>
          <t>SOURCE-001; SOURCE-013; SOURCE-128</t>
        </is>
      </c>
      <c r="AT7" s="5" t="inlineStr">
        <is>
          <t>Medium</t>
        </is>
      </c>
    </row>
    <row r="8" ht="109" customHeight="1">
      <c r="A8" s="15" t="inlineStr">
        <is>
          <t>PAIR-007</t>
        </is>
      </c>
      <c r="B8" s="18" t="inlineStr">
        <is>
          <t>FILM-019</t>
        </is>
      </c>
      <c r="C8" s="5" t="inlineStr">
        <is>
          <t>Pyar Kiye Jaa</t>
        </is>
      </c>
      <c r="D8" s="17" t="n">
        <v>1966</v>
      </c>
      <c r="E8" s="5" t="inlineStr">
        <is>
          <t>Ashok Verma</t>
        </is>
      </c>
      <c r="F8" s="5" t="inlineStr">
        <is>
          <t>Rajasree</t>
        </is>
      </c>
      <c r="G8" s="5" t="inlineStr">
        <is>
          <t>Nirmala</t>
        </is>
      </c>
      <c r="H8" s="5" t="inlineStr">
        <is>
          <t>One of two sisters sharing the female lead</t>
        </is>
      </c>
      <c r="I8" s="5" t="inlineStr">
        <is>
          <t>Partial</t>
        </is>
      </c>
      <c r="J8" s="19" t="inlineStr">
        <is>
          <t>Playful conflict masking attraction</t>
        </is>
      </c>
      <c r="K8" s="5" t="inlineStr">
        <is>
          <t>Employer's daughter and the assistant manager dismissed for misbehaving with her</t>
        </is>
      </c>
      <c r="L8" s="5" t="inlineStr">
        <is>
          <t>Ashok manages her father's property; he is fired for misbehaving with both daughters and pitches a tent in the front garden in protest.</t>
        </is>
      </c>
      <c r="M8" s="5" t="inlineStr">
        <is>
          <t>Ashok</t>
        </is>
      </c>
      <c r="N8" s="19" t="inlineStr">
        <is>
          <t>Farcical siege. Having been thrown out, he camps on the lawn, and the courtship proceeds through comic provocation and an elaborate imposture staged for her father's benefit.</t>
        </is>
      </c>
      <c r="O8" s="19" t="inlineStr">
        <is>
          <t>Teasing and broad, pitched for comedy rather than feeling.</t>
        </is>
      </c>
      <c r="P8" s="19" t="inlineStr">
        <is>
          <t>Little between them once the teasing resolves; the difficulty is entirely in getting her father's consent.</t>
        </is>
      </c>
      <c r="Q8" s="20" t="n">
        <v>3</v>
      </c>
      <c r="R8" s="19" t="inlineStr">
        <is>
          <t>The early antagonism is played as farce and dissolves quickly. What remains is mild and comic rather than a genuine incompatibility, and the couple are aligned for most of the film's running time.</t>
        </is>
      </c>
      <c r="S8" s="20" t="n">
        <v>6</v>
      </c>
      <c r="T8" s="5" t="inlineStr">
        <is>
          <t>Family; Class</t>
        </is>
      </c>
      <c r="U8" s="19" t="inlineStr">
        <is>
          <t>Ramlal intends both daughters to marry into wealthier families and dismisses Ashok, the son of a poor schoolteacher, as a prospect. The fraudulent billionaire father is invented to clear precisely this obstacle, and its exposure lands Ashok in police custody.</t>
        </is>
      </c>
      <c r="V8" s="20" t="n">
        <v>6</v>
      </c>
      <c r="W8" s="19" t="inlineStr">
        <is>
          <t>The courtship is Ashok's whole plot and he goes to elaborate lengths for it, but the register is comic rather than devotional, and he shares the film with two other couples and with Mehmood's comedy. He is a romantic lead in an ensemble farce rather than a romantic hero.</t>
        </is>
      </c>
      <c r="X8" s="20" t="n">
        <v>6</v>
      </c>
      <c r="Y8" s="20" t="n">
        <v>5</v>
      </c>
      <c r="Z8" s="20" t="n">
        <v>5</v>
      </c>
      <c r="AA8" s="20" t="n">
        <v>3</v>
      </c>
      <c r="AB8" s="20" t="n">
        <v>6</v>
      </c>
      <c r="AC8" s="19" t="inlineStr">
        <is>
          <t>Interpretive reading; no fetched review assesses this pairing. The film's energy sits with Kishore Kumar and Mehmood rather than with the romance, and Kapoor and Rajasree function as the straight couple around which the farce is built; the pairing is pleasant and lightly drawn rather than charged.</t>
        </is>
      </c>
      <c r="AD8" s="5" t="inlineStr">
        <is>
          <t>Yes</t>
        </is>
      </c>
      <c r="AE8" s="5" t="inlineStr">
        <is>
          <t>No</t>
        </is>
      </c>
      <c r="AF8" s="5" t="inlineStr">
        <is>
          <t>No</t>
        </is>
      </c>
      <c r="AG8" s="5" t="inlineStr">
        <is>
          <t>Yes</t>
        </is>
      </c>
      <c r="AH8" s="5" t="inlineStr">
        <is>
          <t>No</t>
        </is>
      </c>
      <c r="AI8" s="5" t="inlineStr">
        <is>
          <t>No</t>
        </is>
      </c>
      <c r="AJ8" s="5" t="inlineStr">
        <is>
          <t>Partial</t>
        </is>
      </c>
      <c r="AK8" s="19" t="inlineStr">
        <is>
          <t>None; the imposture is exposed and forgiven without changing him.</t>
        </is>
      </c>
      <c r="AL8" s="19" t="inlineStr">
        <is>
          <t>None recorded.</t>
        </is>
      </c>
      <c r="AM8" s="5" t="inlineStr">
        <is>
          <t>Married, in the general reconciliation that pairs off all three couples.</t>
        </is>
      </c>
      <c r="AN8" s="5" t="inlineStr">
        <is>
          <t>Yes</t>
        </is>
      </c>
      <c r="AO8" s="5" t="inlineStr">
        <is>
          <t>Happy</t>
        </is>
      </c>
      <c r="AP8" s="5" t="n"/>
      <c r="AQ8" s="19" t="inlineStr">
        <is>
          <t>A subordinate romance inside an ensemble comedy, and useful chiefly as a contrast with the same year's Jab Jab Phool Khile: the identical class obstacle, a poor suitor and a rich father, is resolved here by fraud and farce rather than by the woman crossing over. The deception is directed at the father rather than at Nirmala, which keeps the pairing's health score from falling further.</t>
        </is>
      </c>
      <c r="AR8" s="19" t="inlineStr">
        <is>
          <t>The premise that Ashok is dismissed for misbehaving with both daughters and then rewarded with marriage to one of them is the film's least defensible move, presented entirely as comedy. Nirmala has almost no part in her own courtship: the decisive manoeuvres are conducted between men, and her consent is assumed rather than sought.</t>
        </is>
      </c>
      <c r="AS8" s="5" t="inlineStr">
        <is>
          <t>SOURCE-001; SOURCE-014</t>
        </is>
      </c>
      <c r="AT8" s="5" t="inlineStr">
        <is>
          <t>Medium</t>
        </is>
      </c>
    </row>
    <row r="9" ht="124" customHeight="1">
      <c r="A9" s="15" t="inlineStr">
        <is>
          <t>PAIR-008</t>
        </is>
      </c>
      <c r="B9" s="18" t="inlineStr">
        <is>
          <t>FILM-020</t>
        </is>
      </c>
      <c r="C9" s="5" t="inlineStr">
        <is>
          <t>Neend Hamari Khwab Tumhare</t>
        </is>
      </c>
      <c r="D9" s="17" t="n">
        <v>1966</v>
      </c>
      <c r="E9" s="5" t="inlineStr">
        <is>
          <t>Anwar</t>
        </is>
      </c>
      <c r="F9" s="5" t="inlineStr">
        <is>
          <t>Nanda</t>
        </is>
      </c>
      <c r="G9" s="5" t="inlineStr">
        <is>
          <t>Nishat</t>
        </is>
      </c>
      <c r="H9" s="5" t="inlineStr">
        <is>
          <t>Female lead</t>
        </is>
      </c>
      <c r="I9" s="5" t="inlineStr">
        <is>
          <t>Yes</t>
        </is>
      </c>
      <c r="J9" s="19" t="inlineStr">
        <is>
          <t>United couple versus external world</t>
        </is>
      </c>
      <c r="K9" s="5" t="inlineStr">
        <is>
          <t>One of three suitors, initially rejected by her parents</t>
        </is>
      </c>
      <c r="L9" s="5" t="inlineStr">
        <is>
          <t>Anwar is presented as a suitor for Nishat, the daughter of a Delhi Khan Bahadur, and is approved once the family takes him for a Nawab's son.</t>
        </is>
      </c>
      <c r="M9" s="5" t="inlineStr">
        <is>
          <t>Anwar</t>
        </is>
      </c>
      <c r="N9" s="19" t="inlineStr">
        <is>
          <t>A formal suit conducted through the parents and then, after a few meetings, a genuine attachment between the couple themselves.</t>
        </is>
      </c>
      <c r="O9" s="19" t="inlineStr">
        <is>
          <t>Straightforward affection on both sides, shadowed by a secret he carries and she does not know.</t>
        </is>
      </c>
      <c r="P9" s="19" t="inlineStr">
        <is>
          <t>Nothing between them; the whole danger is the concealed fact of his father's origins.</t>
        </is>
      </c>
      <c r="Q9" s="20" t="n">
        <v>2</v>
      </c>
      <c r="R9" s="19" t="inlineStr">
        <is>
          <t>The couple are aligned throughout the synopsis. Such conflict as exists is between Anwar and his rivals, or between his family's pretensions and the truth, rather than between him and Nishat.</t>
        </is>
      </c>
      <c r="S9" s="20" t="n">
        <v>7</v>
      </c>
      <c r="T9" s="5" t="inlineStr">
        <is>
          <t>Family; Class; Community</t>
        </is>
      </c>
      <c r="U9" s="19" t="inlineStr">
        <is>
          <t>Two rival suitors with genuine noble pedigrees compete for Nishat, her parents assess suitors by birth, and the discovery that Anwar's father was a barber who bought the title of Nawab with lottery winnings reaches the family on the wedding day itself.</t>
        </is>
      </c>
      <c r="V9" s="20" t="n">
        <v>7</v>
      </c>
      <c r="W9" s="19" t="inlineStr">
        <is>
          <t>Anwar's function in the film is to win Nishat and he has no other plot; the courtship is his entire arc and the attachment is sincere. The score stops short of the Jab Jab Phool Khile register because the obstacle is an inherited imposture he is passively carrying rather than a devotion he actively proves.</t>
        </is>
      </c>
      <c r="X9" s="20" t="n">
        <v>9</v>
      </c>
      <c r="Y9" s="20" t="n">
        <v>6</v>
      </c>
      <c r="Z9" s="20" t="n">
        <v>6</v>
      </c>
      <c r="AA9" s="20" t="n">
        <v>4</v>
      </c>
      <c r="AB9" s="20" t="n">
        <v>7</v>
      </c>
      <c r="AC9" s="19" t="inlineStr">
        <is>
          <t>Interpretive reading; no fetched review assesses this pairing. Kapoor and Nanda were by this point a proven pairing and the film leans on that familiarity rather than building the attraction; the ease between them is the film's most reliable asset, in a synopsis that otherwise turns on plot mechanics.</t>
        </is>
      </c>
      <c r="AD9" s="5" t="inlineStr">
        <is>
          <t>Partial</t>
        </is>
      </c>
      <c r="AE9" s="5" t="inlineStr">
        <is>
          <t>No</t>
        </is>
      </c>
      <c r="AF9" s="5" t="inlineStr">
        <is>
          <t>No</t>
        </is>
      </c>
      <c r="AG9" s="5" t="inlineStr">
        <is>
          <t>Yes</t>
        </is>
      </c>
      <c r="AH9" s="5" t="inlineStr">
        <is>
          <t>Unclear</t>
        </is>
      </c>
      <c r="AI9" s="5" t="inlineStr">
        <is>
          <t>Unclear</t>
        </is>
      </c>
      <c r="AJ9" s="5" t="inlineStr">
        <is>
          <t>Partial</t>
        </is>
      </c>
      <c r="AK9" s="19" t="inlineStr">
        <is>
          <t>Not recorded; the synopsis stops before any resolution.</t>
        </is>
      </c>
      <c r="AL9" s="19" t="inlineStr">
        <is>
          <t>Not recorded.</t>
        </is>
      </c>
      <c r="AM9" s="5" t="inlineStr">
        <is>
          <t>Not stated. The article's synopsis is written as a teaser and breaks off at the wedding-day revelation, asking whether the marriage will proceed.</t>
        </is>
      </c>
      <c r="AN9" s="5" t="inlineStr">
        <is>
          <t>Unclear</t>
        </is>
      </c>
      <c r="AO9" s="5" t="n"/>
      <c r="AP9" s="5" t="n"/>
      <c r="AQ9" s="19" t="inlineStr">
        <is>
          <t>The second of three Kapoor and Nanda pairings in this batch and a near-inversion of Jab Jab Phool Khile: there the poor man is honest about what he is and the rich family manoeuvres against him, here the man passes as noble and the deception is his family's. The class barrier is identical; what changes is who is concealing what.</t>
        </is>
      </c>
      <c r="AR9" s="19" t="inlineStr">
        <is>
          <t>The film's anxiety is entirely about birth being discovered rather than about the dishonesty itself, and Nishat, who is the person actually deceived, is positioned as the prize whose reaction the film withholds rather than as the injured party. The synopsis's closing question is addressed to the audience's interest in the match, not to her.</t>
        </is>
      </c>
      <c r="AS9" s="5" t="inlineStr">
        <is>
          <t>SOURCE-001; SOURCE-015</t>
        </is>
      </c>
      <c r="AT9" s="5" t="inlineStr">
        <is>
          <t>Low</t>
        </is>
      </c>
    </row>
    <row r="10" ht="124" customHeight="1">
      <c r="A10" s="15" t="inlineStr">
        <is>
          <t>PAIR-009</t>
        </is>
      </c>
      <c r="B10" s="18" t="inlineStr">
        <is>
          <t>FILM-023</t>
        </is>
      </c>
      <c r="C10" s="5" t="inlineStr">
        <is>
          <t>Aamne Samne</t>
        </is>
      </c>
      <c r="D10" s="17" t="n">
        <v>1967</v>
      </c>
      <c r="E10" s="5" t="inlineStr">
        <is>
          <t>Deepak</t>
        </is>
      </c>
      <c r="F10" s="5" t="inlineStr">
        <is>
          <t>Sharmila Tagore</t>
        </is>
      </c>
      <c r="G10" s="5" t="inlineStr">
        <is>
          <t>Sapna Mathur</t>
        </is>
      </c>
      <c r="H10" s="5" t="inlineStr">
        <is>
          <t>Female lead</t>
        </is>
      </c>
      <c r="I10" s="5" t="inlineStr">
        <is>
          <t>Yes</t>
        </is>
      </c>
      <c r="J10" s="19" t="inlineStr">
        <is>
          <t>Relationship damaged by mistrust</t>
        </is>
      </c>
      <c r="K10" s="5" t="inlineStr">
        <is>
          <t>Neighbours; she believes he is stalking her</t>
        </is>
      </c>
      <c r="L10" s="5" t="inlineStr">
        <is>
          <t>Sapna is the wealthy neighbour of the man calling himself Gopal Mittal, and finds him annoying and intrusive before she is charmed by him.</t>
        </is>
      </c>
      <c r="M10" s="5" t="inlineStr">
        <is>
          <t>Gopal, by a persistent attention she initially reads as harassment</t>
        </is>
      </c>
      <c r="N10" s="19" t="inlineStr">
        <is>
          <t>Pursuit against resistance, converted into marriage quickly, with the real relationship conducted afterwards under the shadow of what she learns.</t>
        </is>
      </c>
      <c r="O10" s="19" t="inlineStr">
        <is>
          <t>Charm on his side and a mounting, rational terror on hers once she knows what he was tried for.</t>
        </is>
      </c>
      <c r="P10" s="19" t="inlineStr">
        <is>
          <t>Sapna cannot establish whether the man she has married murdered his first wife and intends to murder her.</t>
        </is>
      </c>
      <c r="Q10" s="20" t="n">
        <v>6</v>
      </c>
      <c r="R10" s="19" t="inlineStr">
        <is>
          <t>Substantial and sustained mistrust, and unlike most of Kapoor's pairings in this period it sits squarely between the couple rather than outside them. Her suspicion is the film's engine, and his changeable behaviour feeds it deliberately.</t>
        </is>
      </c>
      <c r="S10" s="20" t="n">
        <v>7</v>
      </c>
      <c r="T10" s="5" t="inlineStr">
        <is>
          <t>Family; Villain; Crime</t>
        </is>
      </c>
      <c r="U10" s="19" t="inlineStr">
        <is>
          <t>Sapna's brother Pran wants her married to Prem, and both men threaten to kill her when she chooses otherwise. An actual attempt is made on her life during the honeymoon, and the conspiracy against her is external to the marriage even though the film arranges every clue to point at her husband.</t>
        </is>
      </c>
      <c r="V10" s="20" t="n">
        <v>5</v>
      </c>
      <c r="W10" s="19" t="inlineStr">
        <is>
          <t>Kapoor is the romantic lead and the courtship drives the first act, but the role's function is suspicion rather than devotion: the performance is built to keep the audience uncertain about him. Romantic heroism is displaced by ambiguity, which is the opposite of the lover-boy contract.</t>
        </is>
      </c>
      <c r="X10" s="20" t="n">
        <v>8</v>
      </c>
      <c r="Y10" s="20" t="n">
        <v>4</v>
      </c>
      <c r="Z10" s="20" t="n">
        <v>5</v>
      </c>
      <c r="AA10" s="20" t="n">
        <v>5</v>
      </c>
      <c r="AB10" s="20" t="n">
        <v>6</v>
      </c>
      <c r="AC10" s="19" t="inlineStr">
        <is>
          <t>Interpretive reading; no fetched review assesses this pairing. The pairing is deliberately uncomfortable: Kapoor plays charm as something that might be a mask, and Tagore plays attraction curdling into fear, so what the film wants is unease rather than warmth, and the two register it well enough that the suspicion holds.</t>
        </is>
      </c>
      <c r="AD10" s="5" t="inlineStr">
        <is>
          <t>Partial</t>
        </is>
      </c>
      <c r="AE10" s="5" t="inlineStr">
        <is>
          <t>Yes</t>
        </is>
      </c>
      <c r="AF10" s="5" t="inlineStr">
        <is>
          <t>No</t>
        </is>
      </c>
      <c r="AG10" s="5" t="inlineStr">
        <is>
          <t>Yes</t>
        </is>
      </c>
      <c r="AH10" s="5" t="inlineStr">
        <is>
          <t>No</t>
        </is>
      </c>
      <c r="AI10" s="5" t="inlineStr">
        <is>
          <t>No</t>
        </is>
      </c>
      <c r="AJ10" s="5" t="inlineStr">
        <is>
          <t>No</t>
        </is>
      </c>
      <c r="AK10" s="19" t="inlineStr">
        <is>
          <t>Moves from a man hiding an acquittal under an alias to one publicly cleared, which permits the marriage to stand.</t>
        </is>
      </c>
      <c r="AL10" s="19" t="inlineStr">
        <is>
          <t>Sapna goes from a woman who dismisses him to one who marries him to one who must decide whether to believe him, and survives the attempt on her life.</t>
        </is>
      </c>
      <c r="AM10" s="5" t="inlineStr">
        <is>
          <t>The conspiracy is exposed, Gopal is cleared and the marriage holds.</t>
        </is>
      </c>
      <c r="AN10" s="5" t="inlineStr">
        <is>
          <t>Yes</t>
        </is>
      </c>
      <c r="AO10" s="5" t="inlineStr">
        <is>
          <t>Happy</t>
        </is>
      </c>
      <c r="AP10" s="5" t="n"/>
      <c r="AQ10" s="19" t="inlineStr">
        <is>
          <t>The most internally conflicted pairing in this batch and a marked departure from the Kapoor template: here the friction score exceeds most of his 1960s romances because the doubt is between husband and wife rather than imposed by a father. It is also the first of several films in which he plays charm as potentially sinister, a register the industry rarely asked of him again.</t>
        </is>
      </c>
      <c r="AR10" s="19" t="inlineStr">
        <is>
          <t>The film's treatment of Sapna's initial reading of him as a stalker is instructive: her discomfort is played as a misunderstanding she must be talked out of, and the narrative rewards persistence that it has already shown her experiencing as intrusion. That her later fear turns out to be misdirected does not entirely settle the earlier pattern.</t>
        </is>
      </c>
      <c r="AS10" s="5" t="inlineStr">
        <is>
          <t>SOURCE-001; SOURCE-017</t>
        </is>
      </c>
      <c r="AT10" s="5" t="inlineStr">
        <is>
          <t>Medium</t>
        </is>
      </c>
    </row>
    <row r="11" ht="124" customHeight="1">
      <c r="A11" s="15" t="inlineStr">
        <is>
          <t>PAIR-010</t>
        </is>
      </c>
      <c r="B11" s="18" t="inlineStr">
        <is>
          <t>FILM-024</t>
        </is>
      </c>
      <c r="C11" s="5" t="inlineStr">
        <is>
          <t>Pretty Polly</t>
        </is>
      </c>
      <c r="D11" s="17" t="n">
        <v>1967</v>
      </c>
      <c r="E11" s="5" t="inlineStr">
        <is>
          <t>Amaz Hudeen</t>
        </is>
      </c>
      <c r="F11" s="5" t="inlineStr">
        <is>
          <t>Hayley Mills</t>
        </is>
      </c>
      <c r="G11" s="5" t="inlineStr">
        <is>
          <t>Polly Barlow</t>
        </is>
      </c>
      <c r="H11" s="5" t="inlineStr">
        <is>
          <t>Female lead</t>
        </is>
      </c>
      <c r="I11" s="5" t="inlineStr">
        <is>
          <t>Yes</t>
        </is>
      </c>
      <c r="J11" s="19" t="inlineStr">
        <is>
          <t>Friendship to love</t>
        </is>
      </c>
      <c r="K11" s="5" t="inlineStr">
        <is>
          <t>Tourist and hired guide</t>
        </is>
      </c>
      <c r="L11" s="5" t="inlineStr">
        <is>
          <t>Polly, stranded in Singapore by the sudden death of the aunt she was companion to, takes up with Amaz, a local tour guide.</t>
        </is>
      </c>
      <c r="M11" s="5" t="inlineStr">
        <is>
          <t>Mutual, and tentatively</t>
        </is>
      </c>
      <c r="N11" s="19" t="inlineStr">
        <is>
          <t>Deliberately kept at arm's length. The film describes the romance in those terms itself: an attachment explored rather than consummated, inside a few weeks of unexpected freedom.</t>
        </is>
      </c>
      <c r="O11" s="19" t="inlineStr">
        <is>
          <t>Gentle and exploratory, with the emotional weight falling on her emergence rather than on the couple.</t>
        </is>
      </c>
      <c r="P11" s="19" t="inlineStr">
        <is>
          <t>Almost none; the limit on the relationship is circumstance and Polly's inexperience rather than any conflict between them.</t>
        </is>
      </c>
      <c r="Q11" s="20" t="n">
        <v>2</v>
      </c>
      <c r="R11" s="19" t="inlineStr">
        <is>
          <t>No antagonism is recorded between the pair. The relationship is constrained rather than contested, and the constraint is situational.</t>
        </is>
      </c>
      <c r="S11" s="20" t="n">
        <v>4</v>
      </c>
      <c r="T11" s="5" t="inlineStr">
        <is>
          <t>Community; Distance</t>
        </is>
      </c>
      <c r="U11" s="19" t="inlineStr">
        <is>
          <t>The obstacles are the proprieties surrounding a young Englishwoman abroad, the temporary nature of her stay and the social distance between a tourist and a local guide, none of them dramatised as active opposition by a named party.</t>
        </is>
      </c>
      <c r="V11" s="20" t="n">
        <v>5</v>
      </c>
      <c r="W11" s="19" t="inlineStr">
        <is>
          <t>Amaz is charming, attentive and the film's romantic interest, but the part is a supporting function in someone else's coming-of-age: he neither pursues nor sacrifices, and the film ends with him left behind rather than chosen.</t>
        </is>
      </c>
      <c r="X11" s="20" t="n">
        <v>7</v>
      </c>
      <c r="Y11" s="20" t="n">
        <v>6</v>
      </c>
      <c r="Z11" s="20" t="n">
        <v>6</v>
      </c>
      <c r="AA11" s="20" t="n">
        <v>7</v>
      </c>
      <c r="AB11" s="20" t="n">
        <v>5</v>
      </c>
      <c r="AC11" s="19" t="inlineStr">
        <is>
          <t>A contemporary notice quoted in the film article found Kapoor to have plenty of charm but to be altogether too wholesome for Amaz, and judged Mills unable to supply Polly's necessary touch of malice, concluding that the whole had the air of glossy magazine romance. The score follows that assessment rather than an interpretive reading.</t>
        </is>
      </c>
      <c r="AD11" s="5" t="inlineStr">
        <is>
          <t>Yes</t>
        </is>
      </c>
      <c r="AE11" s="5" t="inlineStr">
        <is>
          <t>No</t>
        </is>
      </c>
      <c r="AF11" s="5" t="inlineStr">
        <is>
          <t>No</t>
        </is>
      </c>
      <c r="AG11" s="5" t="inlineStr">
        <is>
          <t>No</t>
        </is>
      </c>
      <c r="AH11" s="5" t="inlineStr">
        <is>
          <t>Yes</t>
        </is>
      </c>
      <c r="AI11" s="5" t="inlineStr">
        <is>
          <t>No</t>
        </is>
      </c>
      <c r="AJ11" s="5" t="inlineStr">
        <is>
          <t>Partial</t>
        </is>
      </c>
      <c r="AK11" s="19" t="inlineStr">
        <is>
          <t>None recorded.</t>
        </is>
      </c>
      <c r="AL11" s="19" t="inlineStr">
        <is>
          <t>Polly moves from a repressed paid companion to a young woman with some sense of her own appetites; the film is named for that change.</t>
        </is>
      </c>
      <c r="AM11" s="5" t="inlineStr">
        <is>
          <t>Ends with her departure; the romance is a passage in her life rather than a destination.</t>
        </is>
      </c>
      <c r="AN11" s="5" t="inlineStr">
        <is>
          <t>No</t>
        </is>
      </c>
      <c r="AO11" s="5" t="inlineStr">
        <is>
          <t>Unresolved</t>
        </is>
      </c>
      <c r="AP11" s="5" t="n"/>
      <c r="AQ11" s="19" t="inlineStr">
        <is>
          <t>One of the few pairings in the filmography where Kapoor is the romantic object rather than the romantic agent, and where the woman's development is the subject. The arm's-length quality is structural, not a failure of the writing: the film requires Amaz to be an opportunity Polly takes rather than a man who takes her.</t>
        </is>
      </c>
      <c r="AR11" s="19" t="inlineStr">
        <is>
          <t>The casting of an Indian actor as the sexually suggestive local attachment for a young Englishwoman abroad carries the period's exoticising conventions, and the review quoted in the article effectively concedes the point by complaining that Kapoor is too wholesome for a part written to be faintly dangerous. The film wants the frisson of transgression without committing to it.</t>
        </is>
      </c>
      <c r="AS11" s="5" t="inlineStr">
        <is>
          <t>SOURCE-001; SOURCE-016</t>
        </is>
      </c>
      <c r="AT11" s="5" t="inlineStr">
        <is>
          <t>Medium</t>
        </is>
      </c>
    </row>
    <row r="12" ht="124" customHeight="1">
      <c r="A12" s="15" t="inlineStr">
        <is>
          <t>PAIR-011</t>
        </is>
      </c>
      <c r="B12" s="18" t="inlineStr">
        <is>
          <t>FILM-025</t>
        </is>
      </c>
      <c r="C12" s="5" t="inlineStr">
        <is>
          <t>Haseena Maan Jayegi</t>
        </is>
      </c>
      <c r="D12" s="17" t="n">
        <v>1968</v>
      </c>
      <c r="E12" s="5" t="inlineStr">
        <is>
          <t>Rakesh</t>
        </is>
      </c>
      <c r="F12" s="5" t="inlineStr">
        <is>
          <t>Babita</t>
        </is>
      </c>
      <c r="G12" s="5" t="inlineStr">
        <is>
          <t>Archana</t>
        </is>
      </c>
      <c r="H12" s="5" t="inlineStr">
        <is>
          <t>Female lead</t>
        </is>
      </c>
      <c r="I12" s="5" t="inlineStr">
        <is>
          <t>Yes</t>
        </is>
      </c>
      <c r="J12" s="19" t="inlineStr">
        <is>
          <t>Relationship manipulated by outsiders</t>
        </is>
      </c>
      <c r="K12" s="5" t="inlineStr">
        <is>
          <t>Strangers, introduced by a case of mistaken identity</t>
        </is>
      </c>
      <c r="L12" s="5" t="inlineStr">
        <is>
          <t>Archana means to complain to the principal about Rakesh, who has been tormenting her, and complains about Kamal by mistake, the two being identical.</t>
        </is>
      </c>
      <c r="M12" s="5" t="inlineStr">
        <is>
          <t>Archana, through the error that brings them together, and then Kamal</t>
        </is>
      </c>
      <c r="N12" s="19" t="inlineStr">
        <is>
          <t>An apology that turns into an attachment, conducted under continual sabotage from his double.</t>
        </is>
      </c>
      <c r="O12" s="19" t="inlineStr">
        <is>
          <t>Straightforward warmth between the couple, set against a persistent external threat wearing her husband's face.</t>
        </is>
      </c>
      <c r="P12" s="19" t="inlineStr">
        <is>
          <t>Not between them by choice: the crisis is Archana's inability to know whether the man in her house is her husband.</t>
        </is>
      </c>
      <c r="Q12" s="20" t="n">
        <v>3</v>
      </c>
      <c r="R12" s="19" t="inlineStr">
        <is>
          <t>Kamal and Archana are aligned whenever they are actually dealing with each other. The mistrust that dominates the last act is manufactured by the double and by a superior officer's report of Kamal's death, not by anything either of them does.</t>
        </is>
      </c>
      <c r="S12" s="20" t="n">
        <v>8</v>
      </c>
      <c r="T12" s="5" t="inlineStr">
        <is>
          <t>Existing relationship; Villain; War or politics</t>
        </is>
      </c>
      <c r="U12" s="19" t="inlineStr">
        <is>
          <t>Rakesh plots to kidnap Kamal and marry Archana in his place, is seized by his own men by mistake, follows Kamal into the army, and fights him on a riverbank. The war separates the couple, a death notice is delivered, and Kamal is arrested and faces ten years for impersonation and rape before Rakesh appears to testify.</t>
        </is>
      </c>
      <c r="V12" s="20" t="n">
        <v>6</v>
      </c>
      <c r="W12" s="19" t="inlineStr">
        <is>
          <t>Kamal is decent, devoted and defined by the marriage, but the film's second half converts him from a lover into a man trying to prove his own identity. The romantic content is displaced by the impersonation thriller, and the double role splits the audience's attention between courtship and menace.</t>
        </is>
      </c>
      <c r="X12" s="20" t="n">
        <v>8</v>
      </c>
      <c r="Y12" s="20" t="n">
        <v>5</v>
      </c>
      <c r="Z12" s="20" t="n">
        <v>5</v>
      </c>
      <c r="AA12" s="20" t="n">
        <v>5</v>
      </c>
      <c r="AB12" s="20" t="n">
        <v>6</v>
      </c>
      <c r="AC12" s="19" t="inlineStr">
        <is>
          <t>Interpretive reading; no fetched review assesses this pairing. Kapoor carries most of the film's charge against himself rather than opposite Babita, and the pairing is warm but conventional; its best stretch is the testing sequence, where her wariness gives the relationship more to play than the courtship did.</t>
        </is>
      </c>
      <c r="AD12" s="5" t="inlineStr">
        <is>
          <t>Yes</t>
        </is>
      </c>
      <c r="AE12" s="5" t="inlineStr">
        <is>
          <t>Partial</t>
        </is>
      </c>
      <c r="AF12" s="5" t="inlineStr">
        <is>
          <t>No</t>
        </is>
      </c>
      <c r="AG12" s="5" t="inlineStr">
        <is>
          <t>Yes</t>
        </is>
      </c>
      <c r="AH12" s="5" t="inlineStr">
        <is>
          <t>Yes</t>
        </is>
      </c>
      <c r="AI12" s="5" t="inlineStr">
        <is>
          <t>Partial</t>
        </is>
      </c>
      <c r="AJ12" s="5" t="inlineStr">
        <is>
          <t>Partial</t>
        </is>
      </c>
      <c r="AK12" s="19" t="inlineStr">
        <is>
          <t>Kamal moves from an orphan with no standing to a husband, and then to a man who must prove he is himself.</t>
        </is>
      </c>
      <c r="AL12" s="19" t="inlineStr">
        <is>
          <t>Archana moves from a student lodging a complaint to a wife who devises tests to establish who is living in her house, which is the most active thing anyone does in the last act.</t>
        </is>
      </c>
      <c r="AM12" s="5" t="inlineStr">
        <is>
          <t>Vindicated when the real Rakesh appears and testifies; the couple reconcile and forgive him.</t>
        </is>
      </c>
      <c r="AN12" s="5" t="inlineStr">
        <is>
          <t>Yes</t>
        </is>
      </c>
      <c r="AO12" s="5" t="inlineStr">
        <is>
          <t>Happy</t>
        </is>
      </c>
      <c r="AP12" s="5" t="n"/>
      <c r="AQ12" s="19" t="inlineStr">
        <is>
          <t>The interest of the pairing is that the antagonist is played by the same actor, so the threat to the marriage is literally the husband's face used against it. Archana's testing of the man in her house is a rare instance in this period of Kapoor's filmography where the woman holds the investigative function, and it lifts an otherwise conventional romance.</t>
        </is>
      </c>
      <c r="AR12" s="19" t="inlineStr">
        <is>
          <t>The plot turns on Rakesh's plan to obtain a wife by impersonation, and on a charge of rape by deception that the film raises and then disposes of as a misunderstanding once the double reappears. The resolution has the couple forgive him, which reads now as a considerable indulgence of a man whose scheme was to take Archana's consent under false pretences.</t>
        </is>
      </c>
      <c r="AS12" s="5" t="inlineStr">
        <is>
          <t>SOURCE-001; SOURCE-018</t>
        </is>
      </c>
      <c r="AT12" s="5" t="inlineStr">
        <is>
          <t>Medium</t>
        </is>
      </c>
    </row>
    <row r="13" ht="109" customHeight="1">
      <c r="A13" s="15" t="inlineStr">
        <is>
          <t>PAIR-012</t>
        </is>
      </c>
      <c r="B13" s="18" t="inlineStr">
        <is>
          <t>FILM-026</t>
        </is>
      </c>
      <c r="C13" s="5" t="inlineStr">
        <is>
          <t>Kanyadaan</t>
        </is>
      </c>
      <c r="D13" s="17" t="n">
        <v>1968</v>
      </c>
      <c r="E13" s="5" t="inlineStr">
        <is>
          <t>Amar Kumar</t>
        </is>
      </c>
      <c r="F13" s="5" t="inlineStr">
        <is>
          <t>Asha Parekh</t>
        </is>
      </c>
      <c r="G13" s="5" t="inlineStr">
        <is>
          <t>Rekha</t>
        </is>
      </c>
      <c r="H13" s="5" t="inlineStr">
        <is>
          <t>Female lead</t>
        </is>
      </c>
      <c r="I13" s="5" t="inlineStr">
        <is>
          <t>Yes</t>
        </is>
      </c>
      <c r="J13" s="19" t="inlineStr">
        <is>
          <t>Relationship damaged by mistrust</t>
        </is>
      </c>
      <c r="K13" s="5" t="inlineStr">
        <is>
          <t>Strangers; a stranded traveller and the village girl who shelters him</t>
        </is>
      </c>
      <c r="L13" s="5" t="inlineStr">
        <is>
          <t>Kumar's car breaks down near her village and Rekha invites him to stay at her house, having nowhere else to offer him.</t>
        </is>
      </c>
      <c r="M13" s="5" t="inlineStr">
        <is>
          <t>Kumar, who contrives to stop at her village again on his way back</t>
        </is>
      </c>
      <c r="N13" s="19" t="inlineStr">
        <is>
          <t>A hospitable acquaintance that becomes mutual attraction, then a formal approach to her mother, and finally a courtship resumed on a false premise.</t>
        </is>
      </c>
      <c r="O13" s="19" t="inlineStr">
        <is>
          <t>Genuine attachment on both sides, poisoned by his decision to let her believe something untrue rather than lose her.</t>
        </is>
      </c>
      <c r="P13" s="19" t="inlineStr">
        <is>
          <t>Kumar allows Rekha to believe he is the Amar she was married to as a child, then tells her the truth and asks her to accept him anyway.</t>
        </is>
      </c>
      <c r="Q13" s="20" t="n">
        <v>6</v>
      </c>
      <c r="R13" s="19" t="inlineStr">
        <is>
          <t>The central breach is his, and it is deliberate: he produces a driving licence showing his full name is Amar Kumar to let a false conclusion stand. When he admits it, she is enraged and leaves intending to kill herself. This is interpersonal damage, not external obstruction.</t>
        </is>
      </c>
      <c r="S13" s="20" t="n">
        <v>7</v>
      </c>
      <c r="T13" s="5" t="inlineStr">
        <is>
          <t>Family; Community; Fate</t>
        </is>
      </c>
      <c r="U13" s="19" t="inlineStr">
        <is>
          <t>Rekha was married in childhood to a man she has never seen, a custom she regards as binding absolutely; the real Amar is already happily married to Lata, whose household Rekha then enters; and tensions build there over her presence. The obstacle is a social institution rather than a person opposing the match.</t>
        </is>
      </c>
      <c r="V13" s="20" t="n">
        <v>6</v>
      </c>
      <c r="W13" s="19" t="inlineStr">
        <is>
          <t>The courtship is the film and Kumar is a poet whose attachment is sincere, but the role's defining act is a deception committed to secure the woman, followed by collapse into drink. That is romantic obsession shading into self-interest rather than the devotional register of the archetype.</t>
        </is>
      </c>
      <c r="X13" s="20" t="n">
        <v>9</v>
      </c>
      <c r="Y13" s="20" t="n">
        <v>4</v>
      </c>
      <c r="Z13" s="20" t="n">
        <v>5</v>
      </c>
      <c r="AA13" s="20" t="n">
        <v>4</v>
      </c>
      <c r="AB13" s="20" t="n">
        <v>7</v>
      </c>
      <c r="AC13" s="19" t="inlineStr">
        <is>
          <t>Interpretive reading; no fetched review assesses this pairing. Kapoor and Asha Parekh play the early village scenes with a lightness that makes the later betrayal land, and her enactment of a woman bound by a marriage she cannot remember gives the pairing a weight the courtship alone would not carry.</t>
        </is>
      </c>
      <c r="AD13" s="5" t="inlineStr">
        <is>
          <t>Partial</t>
        </is>
      </c>
      <c r="AE13" s="5" t="inlineStr">
        <is>
          <t>Yes</t>
        </is>
      </c>
      <c r="AF13" s="5" t="inlineStr">
        <is>
          <t>No</t>
        </is>
      </c>
      <c r="AG13" s="5" t="inlineStr">
        <is>
          <t>Yes</t>
        </is>
      </c>
      <c r="AH13" s="5" t="inlineStr">
        <is>
          <t>Yes</t>
        </is>
      </c>
      <c r="AI13" s="5" t="inlineStr">
        <is>
          <t>Partial</t>
        </is>
      </c>
      <c r="AJ13" s="5" t="inlineStr">
        <is>
          <t>No</t>
        </is>
      </c>
      <c r="AK13" s="19" t="inlineStr">
        <is>
          <t>From a man who arranges his friend's marriage honourably and promises to stand as the bride's family, to one who deceives the woman he loves, to one drinking in self-reproach.</t>
        </is>
      </c>
      <c r="AL13" s="19" t="inlineStr">
        <is>
          <t>Rekha moves from accepting her fate, to believing she has found her childhood husband, to discovering the deception and leaving with the intention of ending her life.</t>
        </is>
      </c>
      <c r="AM13" s="5" t="inlineStr">
        <is>
          <t>Not stated. The cached plot summary breaks off mid-sentence as Rekha leaves the house.</t>
        </is>
      </c>
      <c r="AN13" s="5" t="inlineStr">
        <is>
          <t>Unclear</t>
        </is>
      </c>
      <c r="AO13" s="5" t="n"/>
      <c r="AP13" s="5" t="n"/>
      <c r="AQ13" s="19" t="inlineStr">
        <is>
          <t>The most ethically compromised of Kapoor's 1960s romances, and the one where the pair friction score is driven almost entirely by his own conduct rather than by an opposing family. The film's title refers to the giving away of a daughter, and its subject is what child marriage does to a woman who takes the obligation seriously; the romance is the instrument for examining that rather than the point.</t>
        </is>
      </c>
      <c r="AR13" s="19" t="inlineStr">
        <is>
          <t>The film frames Kumar's deception as the desperation of a man in love and reserves its moral attention for Rekha's fidelity to a marriage contracted for her in infancy. A modern reading reverses the emphasis: the woman's consent is manipulated twice, once by the custom and once by the man who exploits a coincidence of names, and the narrative punishes her with attempted suicide while his penalty is drink.</t>
        </is>
      </c>
      <c r="AS13" s="5" t="inlineStr">
        <is>
          <t>SOURCE-001; SOURCE-019</t>
        </is>
      </c>
      <c r="AT13" s="5" t="inlineStr">
        <is>
          <t>Medium</t>
        </is>
      </c>
    </row>
    <row r="14" ht="124" customHeight="1">
      <c r="A14" s="15" t="inlineStr">
        <is>
          <t>PAIR-013</t>
        </is>
      </c>
      <c r="B14" s="18" t="inlineStr">
        <is>
          <t>FILM-028</t>
        </is>
      </c>
      <c r="C14" s="5" t="inlineStr">
        <is>
          <t>Pyar Ka Mausam</t>
        </is>
      </c>
      <c r="D14" s="17" t="n">
        <v>1969</v>
      </c>
      <c r="E14" s="5" t="inlineStr">
        <is>
          <t>Sunder</t>
        </is>
      </c>
      <c r="F14" s="5" t="inlineStr">
        <is>
          <t>Asha Parekh</t>
        </is>
      </c>
      <c r="G14" s="5" t="inlineStr">
        <is>
          <t>Seema Kumar</t>
        </is>
      </c>
      <c r="H14" s="5" t="inlineStr">
        <is>
          <t>Female lead</t>
        </is>
      </c>
      <c r="I14" s="5" t="inlineStr">
        <is>
          <t>Yes</t>
        </is>
      </c>
      <c r="J14" s="19" t="inlineStr">
        <is>
          <t>Playful conflict masking attraction</t>
        </is>
      </c>
      <c r="K14" s="5" t="inlineStr">
        <is>
          <t>Strangers who meet repeatedly under different names he gives her</t>
        </is>
      </c>
      <c r="L14" s="5" t="inlineStr">
        <is>
          <t>Seema meets him in Ooty as Pyarelal, meets him again a year later when he introduces himself as Jhatpat Singh, the man she was betrothed to in childhood, and encounters him a third time as her grandfather's estate manager.</t>
        </is>
      </c>
      <c r="M14" s="5" t="inlineStr">
        <is>
          <t>Sunder</t>
        </is>
      </c>
      <c r="N14" s="19" t="inlineStr">
        <is>
          <t>A courtship conducted across three identities, in which each new meeting requires her to revise who he is.</t>
        </is>
      </c>
      <c r="O14" s="19" t="inlineStr">
        <is>
          <t>Teasing and musical, with real feeling surviving the succession of impostures.</t>
        </is>
      </c>
      <c r="P14" s="19" t="inlineStr">
        <is>
          <t>She changes her mind about him when the real Jhatpat Singh appears and exposes the second identity as false.</t>
        </is>
      </c>
      <c r="Q14" s="20" t="n">
        <v>4</v>
      </c>
      <c r="R14" s="19" t="inlineStr">
        <is>
          <t>Recurring misunderstandings, all of them generated by his aliases, and a period in which she withdraws after the imposture is exposed. The conflict is real but comic in register and is never a fundamental incompatibility.</t>
        </is>
      </c>
      <c r="S14" s="20" t="n">
        <v>6</v>
      </c>
      <c r="T14" s="5" t="inlineStr">
        <is>
          <t>Family; Villain</t>
        </is>
      </c>
      <c r="U14" s="19" t="inlineStr">
        <is>
          <t>Shankar plants his own son as Ranjit Singh's lost grandson to take the estate, and Ranjit Singh, persuaded, intends Seema to marry that impostor. The family's estrangement from Jamuna and the fire that killed Sunder's father set the whole obstruction in motion.</t>
        </is>
      </c>
      <c r="V14" s="20" t="n">
        <v>7</v>
      </c>
      <c r="W14" s="19" t="inlineStr">
        <is>
          <t>A Nasir Hussain musical romance built to the pattern of Tumsa Nahin Dekha, in which the hero's charm, the songs and the courtship carry the film. Sunder is emotionally open and persistent and the romance is his principal plot, though it shares the film with a substantial inheritance intrigue and the recovery of his mother's sanity.</t>
        </is>
      </c>
      <c r="X14" s="20" t="n">
        <v>8</v>
      </c>
      <c r="Y14" s="20" t="n">
        <v>6</v>
      </c>
      <c r="Z14" s="20" t="n">
        <v>6</v>
      </c>
      <c r="AA14" s="20" t="n">
        <v>4</v>
      </c>
      <c r="AB14" s="20" t="n">
        <v>7</v>
      </c>
      <c r="AC14" s="19" t="inlineStr">
        <is>
          <t>Interpretive reading; no fetched review assesses this pairing. The film is constructed around R. D. Burman's songs and the pairing is at its best inside them; Kapoor's lightness suits the alias comedy, and Asha Parekh gives Seema enough scepticism that the repeated deceptions do not make her look foolish.</t>
        </is>
      </c>
      <c r="AD14" s="5" t="inlineStr">
        <is>
          <t>Yes</t>
        </is>
      </c>
      <c r="AE14" s="5" t="inlineStr">
        <is>
          <t>No</t>
        </is>
      </c>
      <c r="AF14" s="5" t="inlineStr">
        <is>
          <t>No</t>
        </is>
      </c>
      <c r="AG14" s="5" t="inlineStr">
        <is>
          <t>Yes</t>
        </is>
      </c>
      <c r="AH14" s="5" t="inlineStr">
        <is>
          <t>Partial</t>
        </is>
      </c>
      <c r="AI14" s="5" t="inlineStr">
        <is>
          <t>No</t>
        </is>
      </c>
      <c r="AJ14" s="5" t="inlineStr">
        <is>
          <t>Partial</t>
        </is>
      </c>
      <c r="AK14" s="19" t="inlineStr">
        <is>
          <t>From a man with no known parentage passing under borrowed names to an acknowledged heir marrying under his own.</t>
        </is>
      </c>
      <c r="AL14" s="19" t="inlineStr">
        <is>
          <t>Seema moves between suitors as the identities resolve, and is finally married to the man she first met.</t>
        </is>
      </c>
      <c r="AM14" s="5" t="inlineStr">
        <is>
          <t>Married, as the family reunites and Jamuna's sanity returns.</t>
        </is>
      </c>
      <c r="AN14" s="5" t="inlineStr">
        <is>
          <t>Yes</t>
        </is>
      </c>
      <c r="AO14" s="5" t="inlineStr">
        <is>
          <t>Happy</t>
        </is>
      </c>
      <c r="AP14" s="5" t="n"/>
      <c r="AQ14" s="19" t="inlineStr">
        <is>
          <t>The deception here is structurally different from Kanyadaan's, though both involve Kapoor letting a woman believe he is someone else: this one is played entirely for comedy and costs her nothing, because the identity he eventually claims is his own by right. It is the lighter treatment of a device the filmography returns to repeatedly in this decade.</t>
        </is>
      </c>
      <c r="AR14" s="19" t="inlineStr">
        <is>
          <t>Seema is moved between three men by other people's schemes and her own information problem, and the film treats her successive reassignments as comic reversals rather than as anything she has a stake in. The resolution restores the patriarchal estate and delivers her to the legitimate heir, which is the outcome the plot was always arranging.</t>
        </is>
      </c>
      <c r="AS14" s="5" t="inlineStr">
        <is>
          <t>SOURCE-001; SOURCE-021</t>
        </is>
      </c>
      <c r="AT14" s="5" t="inlineStr">
        <is>
          <t>Medium</t>
        </is>
      </c>
    </row>
    <row r="15" ht="109" customHeight="1">
      <c r="A15" s="15" t="inlineStr">
        <is>
          <t>PAIR-014</t>
        </is>
      </c>
      <c r="B15" s="18" t="inlineStr">
        <is>
          <t>FILM-029</t>
        </is>
      </c>
      <c r="C15" s="5" t="inlineStr">
        <is>
          <t>Ek Shrimaan Ek Shrimati</t>
        </is>
      </c>
      <c r="D15" s="17" t="n">
        <v>1969</v>
      </c>
      <c r="E15" s="5" t="inlineStr">
        <is>
          <t>Preetam</t>
        </is>
      </c>
      <c r="F15" s="5" t="inlineStr">
        <is>
          <t>Babita</t>
        </is>
      </c>
      <c r="G15" s="5" t="inlineStr">
        <is>
          <t>Deepali Lakhanpal</t>
        </is>
      </c>
      <c r="H15" s="5" t="inlineStr">
        <is>
          <t>Female lead</t>
        </is>
      </c>
      <c r="I15" s="5" t="inlineStr">
        <is>
          <t>Yes</t>
        </is>
      </c>
      <c r="J15" s="19" t="inlineStr">
        <is>
          <t>Love triangle</t>
        </is>
      </c>
      <c r="K15" s="5" t="inlineStr">
        <is>
          <t>He loves her; she has already chosen another man</t>
        </is>
      </c>
      <c r="L15" s="5" t="inlineStr">
        <is>
          <t>Not detailed by the article's brief plot section, which opens with Pritam already in love with Deepali.</t>
        </is>
      </c>
      <c r="M15" s="5" t="inlineStr">
        <is>
          <t>Pritam</t>
        </is>
      </c>
      <c r="N15" s="19" t="inlineStr">
        <is>
          <t>Indirect. Rather than court Deepali against her existing choice, Pritam wins over her uncle through a series of comic encounters and uses that backing to win her.</t>
        </is>
      </c>
      <c r="O15" s="19" t="inlineStr">
        <is>
          <t>Light comic pursuit; the film is brief and pitched throughout for amusement.</t>
        </is>
      </c>
      <c r="P15" s="19" t="inlineStr">
        <is>
          <t>Her prior commitment to Ajit is the only thing standing between them.</t>
        </is>
      </c>
      <c r="Q15" s="20" t="n">
        <v>4</v>
      </c>
      <c r="R15" s="19" t="inlineStr">
        <is>
          <t>The obstacle is her preference for another man rather than hostility toward Pritam, and it is dissolved by comedy rather than confrontation. Nothing in the article's summary suggests antagonism between the two.</t>
        </is>
      </c>
      <c r="S15" s="20" t="n">
        <v>5</v>
      </c>
      <c r="T15" s="5" t="inlineStr">
        <is>
          <t>Existing relationship; Family</t>
        </is>
      </c>
      <c r="U15" s="19" t="inlineStr">
        <is>
          <t>Ajit is the established suitor Deepali has chosen as her life partner, and her uncle's approval is the gate through which any rival must pass. Both are obstacles outside the couple, and Pritam addresses the second in order to defeat the first.</t>
        </is>
      </c>
      <c r="V15" s="20" t="n">
        <v>7</v>
      </c>
      <c r="W15" s="19" t="inlineStr">
        <is>
          <t>Pritam has no function in the film other than to win Deepali; the entire running time is courtship and the persistence is the character. The score is held below the top band because the pursuit is comic rather than devotional and involves no sacrifice or rebellion.</t>
        </is>
      </c>
      <c r="X15" s="20" t="n">
        <v>9</v>
      </c>
      <c r="Y15" s="20" t="n">
        <v>5</v>
      </c>
      <c r="Z15" s="20" t="n">
        <v>4</v>
      </c>
      <c r="AA15" s="20" t="n">
        <v>3</v>
      </c>
      <c r="AB15" s="20" t="n">
        <v>6</v>
      </c>
      <c r="AC15" s="19" t="inlineStr">
        <is>
          <t>Interpretive reading; no fetched review assesses this pairing. The second Kapoor and Babita pairing in two years, played in a lighter key than Haseena Maan Jayegi and with less for either to do; the film's comedy runs through Om Prakash and Rajendra Nath rather than through the couple.</t>
        </is>
      </c>
      <c r="AD15" s="5" t="inlineStr">
        <is>
          <t>Yes</t>
        </is>
      </c>
      <c r="AE15" s="5" t="inlineStr">
        <is>
          <t>No</t>
        </is>
      </c>
      <c r="AF15" s="5" t="inlineStr">
        <is>
          <t>Partial</t>
        </is>
      </c>
      <c r="AG15" s="5" t="inlineStr">
        <is>
          <t>No</t>
        </is>
      </c>
      <c r="AH15" s="5" t="inlineStr">
        <is>
          <t>No</t>
        </is>
      </c>
      <c r="AI15" s="5" t="inlineStr">
        <is>
          <t>No</t>
        </is>
      </c>
      <c r="AJ15" s="5" t="inlineStr">
        <is>
          <t>No</t>
        </is>
      </c>
      <c r="AK15" s="19" t="inlineStr">
        <is>
          <t>None; persistence is rewarded without requiring him to change.</t>
        </is>
      </c>
      <c r="AL15" s="19" t="inlineStr">
        <is>
          <t>Deepali transfers her choice from Ajit to Pritam, which the summary presents as an outcome rather than a decision.</t>
        </is>
      </c>
      <c r="AM15" s="5" t="inlineStr">
        <is>
          <t>Pritam wins Deepali's love with her uncle's help.</t>
        </is>
      </c>
      <c r="AN15" s="5" t="inlineStr">
        <is>
          <t>Yes</t>
        </is>
      </c>
      <c r="AO15" s="5" t="inlineStr">
        <is>
          <t>Happy</t>
        </is>
      </c>
      <c r="AP15" s="5" t="n"/>
      <c r="AQ15" s="19" t="inlineStr">
        <is>
          <t>A slight film, and its interest for this project is structural: the courtship is routed through a male relative rather than conducted with the woman, so the romance is settled between men and delivered to her. Female agency is scored low for exactly that reason, and the pattern recurs across the lighter comedies of this period.</t>
        </is>
      </c>
      <c r="AR15" s="19" t="inlineStr">
        <is>
          <t>Deepali has made a choice before the film begins and the plot's business is overturning it without ever treating that choice as having weight. The uncle's endorsement functions as the real consent, which is a fair summary of how the period's romantic comedies distribute authority over a woman's marriage.</t>
        </is>
      </c>
      <c r="AS15" s="5" t="inlineStr">
        <is>
          <t>SOURCE-001; SOURCE-023</t>
        </is>
      </c>
      <c r="AT15" s="5" t="inlineStr">
        <is>
          <t>Low</t>
        </is>
      </c>
    </row>
    <row r="16" ht="109" customHeight="1">
      <c r="A16" s="15" t="inlineStr">
        <is>
          <t>PAIR-015</t>
        </is>
      </c>
      <c r="B16" s="18" t="inlineStr">
        <is>
          <t>FILM-030</t>
        </is>
      </c>
      <c r="C16" s="5" t="inlineStr">
        <is>
          <t>Raja Saab</t>
        </is>
      </c>
      <c r="D16" s="17" t="n">
        <v>1969</v>
      </c>
      <c r="E16" s="5" t="inlineStr">
        <is>
          <t>Raju</t>
        </is>
      </c>
      <c r="F16" s="5" t="inlineStr">
        <is>
          <t>Nanda</t>
        </is>
      </c>
      <c r="G16" s="5" t="inlineStr">
        <is>
          <t>Poonam</t>
        </is>
      </c>
      <c r="H16" s="5" t="inlineStr">
        <is>
          <t>Female lead</t>
        </is>
      </c>
      <c r="I16" s="5" t="inlineStr">
        <is>
          <t>Yes</t>
        </is>
      </c>
      <c r="J16" s="19" t="inlineStr">
        <is>
          <t>Forbidden love</t>
        </is>
      </c>
      <c r="K16" s="5" t="inlineStr">
        <is>
          <t>A princess and a servant impersonating his princely employer</t>
        </is>
      </c>
      <c r="L16" s="5" t="inlineStr">
        <is>
          <t>Raju is made by his employer, Prince Pratap Singh, to impersonate him in front of Princess Poonam.</t>
        </is>
      </c>
      <c r="M16" s="5" t="inlineStr">
        <is>
          <t>Raju, though inside a deception imposed on him</t>
        </is>
      </c>
      <c r="N16" s="19" t="inlineStr">
        <is>
          <t>A courtship conducted entirely in a borrowed identity, with the man unable to be loved as himself for as long as it lasts.</t>
        </is>
      </c>
      <c r="O16" s="19" t="inlineStr">
        <is>
          <t>Sincere attachment on his side under an assumed name, and hesitant then genuine feeling on hers for a man who does not exist.</t>
        </is>
      </c>
      <c r="P16" s="19" t="inlineStr">
        <is>
          <t>The impersonation, which makes every exchange between them false in a way only he knows.</t>
        </is>
      </c>
      <c r="Q16" s="20" t="n">
        <v>4</v>
      </c>
      <c r="R16" s="19" t="inlineStr">
        <is>
          <t>No hostility between the pair, but a structural deceit that sits between them throughout and which the article's summary treats as the film's central question. The friction is the lie rather than any incompatibility.</t>
        </is>
      </c>
      <c r="S16" s="20" t="n">
        <v>7</v>
      </c>
      <c r="T16" s="5" t="inlineStr">
        <is>
          <t>Class; Family</t>
        </is>
      </c>
      <c r="U16" s="19" t="inlineStr">
        <is>
          <t>Raju was raised in an orphanage and has no birth, standing or money; Poonam is a princess. The employer who ordered the impersonation and the royal household around her constitute the barrier, and the summary poses the class question directly as the film's unresolved problem.</t>
        </is>
      </c>
      <c r="V16" s="20" t="n">
        <v>7</v>
      </c>
      <c r="W16" s="19" t="inlineStr">
        <is>
          <t>The courtship is the whole film and Raju's dream of living like a king is fulfilled in the form of being loved by a princess. The role is squarely romantic, but the devotion is compromised by the imposture at its centre, which keeps it below the Jab Jab Phool Khile register of transparent constancy.</t>
        </is>
      </c>
      <c r="X16" s="20" t="n">
        <v>9</v>
      </c>
      <c r="Y16" s="20" t="n">
        <v>5</v>
      </c>
      <c r="Z16" s="20" t="n">
        <v>5</v>
      </c>
      <c r="AA16" s="20" t="n">
        <v>4</v>
      </c>
      <c r="AB16" s="20" t="n">
        <v>7</v>
      </c>
      <c r="AC16" s="19" t="inlineStr">
        <is>
          <t>Interpretive reading; no fetched review assesses this pairing. The third Kapoor and Nanda pairing in five years and the one that leans hardest on their established rapport, since the plot gives Poonam little to do but respond; the familiarity does most of the work the writing does not.</t>
        </is>
      </c>
      <c r="AD16" s="5" t="inlineStr">
        <is>
          <t>Yes</t>
        </is>
      </c>
      <c r="AE16" s="5" t="inlineStr">
        <is>
          <t>Partial</t>
        </is>
      </c>
      <c r="AF16" s="5" t="inlineStr">
        <is>
          <t>No</t>
        </is>
      </c>
      <c r="AG16" s="5" t="inlineStr">
        <is>
          <t>Yes</t>
        </is>
      </c>
      <c r="AH16" s="5" t="inlineStr">
        <is>
          <t>Unclear</t>
        </is>
      </c>
      <c r="AI16" s="5" t="inlineStr">
        <is>
          <t>Partial</t>
        </is>
      </c>
      <c r="AJ16" s="5" t="inlineStr">
        <is>
          <t>Partial</t>
        </is>
      </c>
      <c r="AK16" s="19" t="inlineStr">
        <is>
          <t>From an orphan playing at royalty to a man who must be accepted, if he is accepted, without the disguise.</t>
        </is>
      </c>
      <c r="AL16" s="19" t="inlineStr">
        <is>
          <t>Poonam moves from hesitation to love, and is left facing the question of whether that love survives the truth.</t>
        </is>
      </c>
      <c r="AM16" s="5" t="inlineStr">
        <is>
          <t>Not stated. The article's plot section ends on the rhetorical question of whether Poonam will still love Raju once she knows he is a pauper.</t>
        </is>
      </c>
      <c r="AN16" s="5" t="inlineStr">
        <is>
          <t>Unclear</t>
        </is>
      </c>
      <c r="AO16" s="5" t="n"/>
      <c r="AP16" s="5" t="n"/>
      <c r="AQ16" s="19" t="inlineStr">
        <is>
          <t>The third Kapoor and Nanda film in this batch and the clearest statement of the class romance in its deceptive variant: where Jab Jab Phool Khile put a poor man honestly before a rich family and let the woman cross to him, this one hides the poverty inside a borrowed title and makes the revelation the climax. Taken together the three films map most of the positions available to the period's class romance.</t>
        </is>
      </c>
      <c r="AR16" s="19" t="inlineStr">
        <is>
          <t>The film's question, whether a princess will love a pauper, is posed as a test of her character rather than as a problem with the arrangement that made him impersonate someone else in the first place. Poonam is courted under false pretences on her own estate and the narrative's interest is in her reaction to the disclosure rather than in the wrong done to her.</t>
        </is>
      </c>
      <c r="AS16" s="5" t="inlineStr">
        <is>
          <t>SOURCE-001; SOURCE-020</t>
        </is>
      </c>
      <c r="AT16" s="5" t="inlineStr">
        <is>
          <t>Low</t>
        </is>
      </c>
    </row>
    <row r="17" ht="109" customHeight="1">
      <c r="A17" s="15" t="inlineStr">
        <is>
          <t>PAIR-016</t>
        </is>
      </c>
      <c r="B17" s="18" t="inlineStr">
        <is>
          <t>FILM-031</t>
        </is>
      </c>
      <c r="C17" s="5" t="inlineStr">
        <is>
          <t>Rootha Na Karo</t>
        </is>
      </c>
      <c r="D17" s="17" t="n">
        <v>1970</v>
      </c>
      <c r="E17" s="5" t="inlineStr">
        <is>
          <t>Sudhir</t>
        </is>
      </c>
      <c r="F17" s="5" t="inlineStr">
        <is>
          <t>Nanda</t>
        </is>
      </c>
      <c r="G17" s="5" t="inlineStr">
        <is>
          <t>Neeta</t>
        </is>
      </c>
      <c r="H17" s="5" t="inlineStr">
        <is>
          <t>Female lead</t>
        </is>
      </c>
      <c r="I17" s="5" t="inlineStr">
        <is>
          <t>Yes</t>
        </is>
      </c>
      <c r="J17" s="19" t="inlineStr">
        <is>
          <t>Relationship manipulated by outsiders</t>
        </is>
      </c>
      <c r="K17" s="5" t="inlineStr">
        <is>
          <t>Long-standing friends, now engaged with her mother's consent</t>
        </is>
      </c>
      <c r="L17" s="5" t="inlineStr">
        <is>
          <t>They are old friends when the film opens; no meeting is dramatised.</t>
        </is>
      </c>
      <c r="M17" s="5" t="inlineStr">
        <is>
          <t>Neither; the attachment predates the story and the engagement is already settled</t>
        </is>
      </c>
      <c r="N17" s="19" t="inlineStr">
        <is>
          <t>No courtship. The film is about an engagement being undermined rather than a romance being formed.</t>
        </is>
      </c>
      <c r="O17" s="19" t="inlineStr">
        <is>
          <t>Deep mutual trust, deliberately eroded from outside until Neeta repeats the accusation to his face.</t>
        </is>
      </c>
      <c r="P17" s="19" t="inlineStr">
        <is>
          <t>Neeta's single confrontation over the property documents, and Sudhir's refusal to stay once she has made it.</t>
        </is>
      </c>
      <c r="Q17" s="20" t="n">
        <v>4</v>
      </c>
      <c r="R17" s="19" t="inlineStr">
        <is>
          <t>For most of the film the couple are entirely aligned and Neeta actively resists the poison being fed to her. The friction is concentrated in one scene and its aftermath: she accuses him, he is proved innocent immediately, and his wounded withdrawal is what keeps them apart rather than any continuing quarrel.</t>
        </is>
      </c>
      <c r="S17" s="20" t="n">
        <v>8</v>
      </c>
      <c r="T17" s="5" t="inlineStr">
        <is>
          <t>Family; Existing relationship</t>
        </is>
      </c>
      <c r="U17" s="19" t="inlineStr">
        <is>
          <t>Naina, Neeta's cousin, wants Sudhir for herself and conducts a sustained campaign to convince Neeta that he is a fortune hunter, culminating in staging the visit to the lawyer. It is the entire obstacle, and it ends only with her suicide and confession.</t>
        </is>
      </c>
      <c r="V17" s="20" t="n">
        <v>7</v>
      </c>
      <c r="W17" s="19" t="inlineStr">
        <is>
          <t>Sudhir's defining act is refusing to touch Neeta's money and quietly signing it to her cousin, which is devotion demonstrated rather than declared. The courtship is already complete when the film starts, which holds the score below the pursuing-hero register, but the role is organised entirely around the relationship.</t>
        </is>
      </c>
      <c r="X17" s="20" t="n">
        <v>9</v>
      </c>
      <c r="Y17" s="20" t="n">
        <v>7</v>
      </c>
      <c r="Z17" s="20" t="n">
        <v>7</v>
      </c>
      <c r="AA17" s="20" t="n">
        <v>5</v>
      </c>
      <c r="AB17" s="20" t="n">
        <v>6</v>
      </c>
      <c r="AC17" s="19" t="inlineStr">
        <is>
          <t>Interpretive reading; no fetched review assesses this pairing. The fourth Kapoor and Nanda pairing and the most domestic; there is little for either to play beyond steady affection, and the film's energy belongs to Kumari Naaz's Naina, whose scheming drives every scene of consequence.</t>
        </is>
      </c>
      <c r="AD17" s="5" t="inlineStr">
        <is>
          <t>Partial</t>
        </is>
      </c>
      <c r="AE17" s="5" t="inlineStr">
        <is>
          <t>Partial</t>
        </is>
      </c>
      <c r="AF17" s="5" t="inlineStr">
        <is>
          <t>No</t>
        </is>
      </c>
      <c r="AG17" s="5" t="inlineStr">
        <is>
          <t>Yes</t>
        </is>
      </c>
      <c r="AH17" s="5" t="inlineStr">
        <is>
          <t>Yes</t>
        </is>
      </c>
      <c r="AI17" s="5" t="inlineStr">
        <is>
          <t>Yes</t>
        </is>
      </c>
      <c r="AJ17" s="5" t="inlineStr">
        <is>
          <t>Partial</t>
        </is>
      </c>
      <c r="AK17" s="19" t="inlineStr">
        <is>
          <t>None; Sudhir is the fixed point the film tests.</t>
        </is>
      </c>
      <c r="AL17" s="19" t="inlineStr">
        <is>
          <t>Neeta moves from unshakeable trust through one failure of it to remorse and an apology.</t>
        </is>
      </c>
      <c r="AM17" s="5" t="inlineStr">
        <is>
          <t>Reconciled after Naina's dying confession and Anil's account of the manipulation.</t>
        </is>
      </c>
      <c r="AN17" s="5" t="inlineStr">
        <is>
          <t>Yes</t>
        </is>
      </c>
      <c r="AO17" s="5" t="inlineStr">
        <is>
          <t>Happy</t>
        </is>
      </c>
      <c r="AP17" s="5" t="n"/>
      <c r="AQ17" s="19" t="inlineStr">
        <is>
          <t>A pure instance of the manipulated-couple structure: the pair have no incompatibility at all, and the whole drama is imported by a third party with a motive. It also shows the period's standard treatment of a poor man engaged to a propertied woman, where the plot must prove his disinterest in her money explicitly and on paper before the marriage can proceed.</t>
        </is>
      </c>
      <c r="AR17" s="19" t="inlineStr">
        <is>
          <t>The film resolves its problem by killing the rival woman, who is given a motive, a confession and a suicide inside a few minutes so that the couple can be restored without anyone else bearing responsibility. Neeta's one moment of doubt is treated as a wrong requiring apology, rather than as a reasonable response to evidence she had been shown deliberately.</t>
        </is>
      </c>
      <c r="AS17" s="5" t="inlineStr">
        <is>
          <t>SOURCE-001; SOURCE-025</t>
        </is>
      </c>
      <c r="AT17" s="5" t="inlineStr">
        <is>
          <t>Medium</t>
        </is>
      </c>
    </row>
    <row r="18" ht="154" customHeight="1">
      <c r="A18" s="15" t="inlineStr">
        <is>
          <t>PAIR-017</t>
        </is>
      </c>
      <c r="B18" s="18" t="inlineStr">
        <is>
          <t>FILM-032</t>
        </is>
      </c>
      <c r="C18" s="5" t="inlineStr">
        <is>
          <t>Abhinetri</t>
        </is>
      </c>
      <c r="D18" s="17" t="n">
        <v>1970</v>
      </c>
      <c r="E18" s="5" t="inlineStr">
        <is>
          <t>Shekhar</t>
        </is>
      </c>
      <c r="F18" s="5" t="inlineStr">
        <is>
          <t>Hema Malini</t>
        </is>
      </c>
      <c r="G18" s="5" t="inlineStr">
        <is>
          <t>Anjana</t>
        </is>
      </c>
      <c r="H18" s="5" t="inlineStr">
        <is>
          <t>Female lead</t>
        </is>
      </c>
      <c r="I18" s="5" t="inlineStr">
        <is>
          <t>Yes</t>
        </is>
      </c>
      <c r="J18" s="19" t="inlineStr">
        <is>
          <t>Marriage under strain</t>
        </is>
      </c>
      <c r="K18" s="5" t="inlineStr">
        <is>
          <t>Strangers who meet by chance</t>
        </is>
      </c>
      <c r="L18" s="5" t="inlineStr">
        <is>
          <t>A chance meeting between an assistant scientist and an established stage dancer and singer.</t>
        </is>
      </c>
      <c r="M18" s="5" t="inlineStr">
        <is>
          <t>Mutual</t>
        </is>
      </c>
      <c r="N18" s="19" t="inlineStr">
        <is>
          <t>Brief and uncontested: they meet, fall in love, his mother approves and they marry. The film's interest begins afterwards.</t>
        </is>
      </c>
      <c r="O18" s="19" t="inlineStr">
        <is>
          <t>Harmonious for several months, then a slow accumulation of grievance on both sides as his laboratory and her stage compete for the marriage.</t>
        </is>
      </c>
      <c r="P18" s="19" t="inlineStr">
        <is>
          <t>Anjana gives up performing for the marriage, takes it up again when Shekhar's work absorbs him, and he resents her doing so.</t>
        </is>
      </c>
      <c r="Q18" s="20" t="n">
        <v>6</v>
      </c>
      <c r="R18" s="19" t="inlineStr">
        <is>
          <t>Sustained and entirely internal: recurring arguments over her return to the stage that escalate to a decision to live separately. There is no villain, no family objection after the mother's approval and no external obstacle at all, which makes this one of the few pairings in the filmography where the friction score exceeds the opposition score.</t>
        </is>
      </c>
      <c r="S18" s="20" t="n">
        <v>2</v>
      </c>
      <c r="T18" s="5" t="inlineStr">
        <is>
          <t>Family</t>
        </is>
      </c>
      <c r="U18" s="19" t="inlineStr">
        <is>
          <t>Almost none. Shekhar's mother approves the match at the outset and later provides the occasion for the reconciliation; the pressure on the marriage is generated inside it.</t>
        </is>
      </c>
      <c r="V18" s="20" t="n">
        <v>4</v>
      </c>
      <c r="W18" s="19" t="inlineStr">
        <is>
          <t>The courtship is over within minutes and what follows is a study of a husband who takes his wife's sacrifice as settled. There is no pursuit, no devotion under obstacle and no romantic heroism; the register is domestic, as in The Householder.</t>
        </is>
      </c>
      <c r="X18" s="20" t="n">
        <v>9</v>
      </c>
      <c r="Y18" s="20" t="n">
        <v>5</v>
      </c>
      <c r="Z18" s="20" t="n">
        <v>6</v>
      </c>
      <c r="AA18" s="20" t="n">
        <v>7</v>
      </c>
      <c r="AB18" s="20" t="n">
        <v>3</v>
      </c>
      <c r="AC18" s="19" t="inlineStr">
        <is>
          <t>A. P. S. Malhotra's retrospective notice for The Hindu states it outright: the so-called chemistry between Kapoor and Malini is missing, although they look fabulous together. He holds that the lead pair's star power makes the film worth watching but that it fails to create the magic of Abhimaan or Aavishkaar. Lowered from an interpretive 6 to 3 on that reading: decorative together, unconvincing as a couple.</t>
        </is>
      </c>
      <c r="AD18" s="5" t="inlineStr">
        <is>
          <t>Partial</t>
        </is>
      </c>
      <c r="AE18" s="5" t="inlineStr">
        <is>
          <t>Yes</t>
        </is>
      </c>
      <c r="AF18" s="5" t="inlineStr">
        <is>
          <t>Partial</t>
        </is>
      </c>
      <c r="AG18" s="5" t="inlineStr">
        <is>
          <t>No</t>
        </is>
      </c>
      <c r="AH18" s="5" t="inlineStr">
        <is>
          <t>Yes</t>
        </is>
      </c>
      <c r="AI18" s="5" t="inlineStr">
        <is>
          <t>Yes</t>
        </is>
      </c>
      <c r="AJ18" s="5" t="inlineStr">
        <is>
          <t>Partial</t>
        </is>
      </c>
      <c r="AK18" s="19" t="inlineStr">
        <is>
          <t>Shekhar comes to see that his absence, not her career, was the problem.</t>
        </is>
      </c>
      <c r="AL18" s="19" t="inlineStr">
        <is>
          <t>Anjana gives up her work, takes it back, and ends with both the marriage and the stage.</t>
        </is>
      </c>
      <c r="AM18" s="5" t="inlineStr">
        <is>
          <t>They resume living together for his mother's sake and rediscover what the marriage was missing.</t>
        </is>
      </c>
      <c r="AN18" s="5" t="inlineStr">
        <is>
          <t>Yes</t>
        </is>
      </c>
      <c r="AO18" s="5" t="inlineStr">
        <is>
          <t>Happy</t>
        </is>
      </c>
      <c r="AP18" s="5" t="n"/>
      <c r="AQ18" s="19" t="inlineStr">
        <is>
          <t>The clearest early example of a pattern worth tracking: when Kapoor plays a husband rather than a suitor, pair friction rises sharply and external opposition collapses to almost nothing. Abhinetri and The Householder are structurally the same film, and both score female agency high because the wife's decision to leave or to resume her work is the pivot.</t>
        </is>
      </c>
      <c r="AR18" s="19" t="inlineStr">
        <is>
          <t>The film's framing treats Anjana's return to the stage as the provocation and Shekhar's absorption in work as ordinary, and the reconciliation is motivated by duty to his mother rather than by either of them conceding the argument. That said, it does let her keep the career, which many contemporaries would not have.</t>
        </is>
      </c>
      <c r="AS18" s="5" t="inlineStr">
        <is>
          <t>SOURCE-001; SOURCE-026; SOURCE-355</t>
        </is>
      </c>
      <c r="AT18" s="5" t="inlineStr">
        <is>
          <t>Medium</t>
        </is>
      </c>
    </row>
    <row r="19" ht="124" customHeight="1">
      <c r="A19" s="15" t="inlineStr">
        <is>
          <t>PAIR-018</t>
        </is>
      </c>
      <c r="B19" s="18" t="inlineStr">
        <is>
          <t>FILM-033</t>
        </is>
      </c>
      <c r="C19" s="5" t="inlineStr">
        <is>
          <t>Suhana Safar</t>
        </is>
      </c>
      <c r="D19" s="17" t="n">
        <v>1970</v>
      </c>
      <c r="E19" s="5" t="inlineStr">
        <is>
          <t>Sunil</t>
        </is>
      </c>
      <c r="F19" s="5" t="inlineStr">
        <is>
          <t>Sharmila Tagore</t>
        </is>
      </c>
      <c r="G19" s="5" t="inlineStr">
        <is>
          <t>Sapna</t>
        </is>
      </c>
      <c r="H19" s="5" t="inlineStr">
        <is>
          <t>Female lead</t>
        </is>
      </c>
      <c r="I19" s="5" t="inlineStr">
        <is>
          <t>Yes</t>
        </is>
      </c>
      <c r="J19" s="19" t="inlineStr">
        <is>
          <t>Unrequited love</t>
        </is>
      </c>
      <c r="K19" s="5" t="inlineStr">
        <is>
          <t>Strangers thrown together by a road accident</t>
        </is>
      </c>
      <c r="L19" s="5" t="inlineStr">
        <is>
          <t>Sapna, having run away from her father in a red MG, collides with Sunil, who is working on his Jeep.</t>
        </is>
      </c>
      <c r="M19" s="5" t="inlineStr">
        <is>
          <t>Sunil</t>
        </is>
      </c>
      <c r="N19" s="19" t="inlineStr">
        <is>
          <t>A journey rather than a courtship: he escorts her across the country toward the poet she is chasing, loving her the whole way without saying so to any effect.</t>
        </is>
      </c>
      <c r="O19" s="19" t="inlineStr">
        <is>
          <t>Warm companionship on her side, unreturned love on his, with the imbalance known to him alone.</t>
        </is>
      </c>
      <c r="P19" s="19" t="inlineStr">
        <is>
          <t>She is in love with an idea of a man she has never met, and Sunil is the one delivering her to him.</t>
        </is>
      </c>
      <c r="Q19" s="20" t="n">
        <v>3</v>
      </c>
      <c r="R19" s="19" t="inlineStr">
        <is>
          <t>Comic scrapes and the friction of the road rather than genuine antagonism. The obstacle is not conflict between them but the fact that her attachment is elsewhere.</t>
        </is>
      </c>
      <c r="S19" s="20" t="n">
        <v>6</v>
      </c>
      <c r="T19" s="5" t="inlineStr">
        <is>
          <t>Family; Existing relationship; Fate</t>
        </is>
      </c>
      <c r="U19" s="19" t="inlineStr">
        <is>
          <t>Sapna's father posts a reward that turns greedy strangers into pursuers, and has a psychiatrist pronounce her in need of confinement. The poet Ujjwala, whom she has met only through his verse, occupies the place Sunil wants.</t>
        </is>
      </c>
      <c r="V19" s="20" t="n">
        <v>8</v>
      </c>
      <c r="W19" s="19" t="inlineStr">
        <is>
          <t>Sunil's entire function is to love a woman who is pursuing someone else and to help her do it anyway. Devotion without return, sustained across the whole film and expressed through service rather than claim, is close to the centre of the archetype; it falls short of the top only because the film is a comedy and the feeling is largely unspoken.</t>
        </is>
      </c>
      <c r="X19" s="20" t="n">
        <v>9</v>
      </c>
      <c r="Y19" s="20" t="n">
        <v>7</v>
      </c>
      <c r="Z19" s="20" t="n">
        <v>3</v>
      </c>
      <c r="AA19" s="20" t="n">
        <v>7</v>
      </c>
      <c r="AB19" s="20" t="n">
        <v>7</v>
      </c>
      <c r="AC19" s="19" t="inlineStr">
        <is>
          <t>Interpretive reading; no fetched review assesses this pairing. The road-movie format gives Kapoor and Tagore more incidental playing than most of his 1970s pairings, and his unspoken attachment reads clearly against her preoccupation; the songs carry what the dialogue leaves unsaid.</t>
        </is>
      </c>
      <c r="AD19" s="5" t="inlineStr">
        <is>
          <t>Yes</t>
        </is>
      </c>
      <c r="AE19" s="5" t="inlineStr">
        <is>
          <t>No</t>
        </is>
      </c>
      <c r="AF19" s="5" t="inlineStr">
        <is>
          <t>Partial</t>
        </is>
      </c>
      <c r="AG19" s="5" t="inlineStr">
        <is>
          <t>No</t>
        </is>
      </c>
      <c r="AH19" s="5" t="inlineStr">
        <is>
          <t>No</t>
        </is>
      </c>
      <c r="AI19" s="5" t="inlineStr">
        <is>
          <t>Yes</t>
        </is>
      </c>
      <c r="AJ19" s="5" t="inlineStr">
        <is>
          <t>Yes</t>
        </is>
      </c>
      <c r="AK19" s="19" t="inlineStr">
        <is>
          <t>None recorded; Sunil's constancy is the fixed quantity.</t>
        </is>
      </c>
      <c r="AL19" s="19" t="inlineStr">
        <is>
          <t>Sapna moves from a literary infatuation toward the recognition the film's ending turns on.</t>
        </is>
      </c>
      <c r="AM19" s="5" t="inlineStr">
        <is>
          <t>Left at the denouement, where Sapna must reconcile the poet she loves with the man beside her.</t>
        </is>
      </c>
      <c r="AN19" s="5" t="inlineStr">
        <is>
          <t>Unclear</t>
        </is>
      </c>
      <c r="AO19" s="5" t="inlineStr">
        <is>
          <t>Unresolved</t>
        </is>
      </c>
      <c r="AP19" s="5" t="n"/>
      <c r="AQ19" s="19" t="inlineStr">
        <is>
          <t>One of the highest lover-boy scores in the early filmography attached to one of the lowest mutuality scores, which is the point: the role is built on devotion that is not returned for almost the entire running time. It anticipates the structure of Muqaddar Ka Sikandar-style unrequited devotion that the period's male stars increasingly took on.</t>
        </is>
      </c>
      <c r="AR19" s="19" t="inlineStr">
        <is>
          <t>Sapna's father has her declared in need of psychiatric confinement for an enthusiasm, which the film uses as comic pressure rather than examining; a modern reading finds the casual medicalising of a young woman's independence harder to pass over than the film intends. Sunil's decision to take her where she wants to go, rather than where he wants her, is the pairing's most creditable feature.</t>
        </is>
      </c>
      <c r="AS19" s="5" t="inlineStr">
        <is>
          <t>SOURCE-001; SOURCE-024</t>
        </is>
      </c>
      <c r="AT19" s="5" t="inlineStr">
        <is>
          <t>Medium</t>
        </is>
      </c>
    </row>
    <row r="20" ht="109" customHeight="1">
      <c r="A20" s="15" t="inlineStr">
        <is>
          <t>PAIR-019</t>
        </is>
      </c>
      <c r="B20" s="18" t="inlineStr">
        <is>
          <t>FILM-034</t>
        </is>
      </c>
      <c r="C20" s="5" t="inlineStr">
        <is>
          <t>My Love</t>
        </is>
      </c>
      <c r="D20" s="17" t="n">
        <v>1970</v>
      </c>
      <c r="E20" s="5" t="inlineStr">
        <is>
          <t>Raj Kumar</t>
        </is>
      </c>
      <c r="F20" s="5" t="inlineStr">
        <is>
          <t>Sharmila Tagore</t>
        </is>
      </c>
      <c r="G20" s="5" t="inlineStr">
        <is>
          <t>Sangeeta Thakur</t>
        </is>
      </c>
      <c r="H20" s="5" t="inlineStr">
        <is>
          <t>Female lead</t>
        </is>
      </c>
      <c r="I20" s="5" t="inlineStr">
        <is>
          <t>Yes</t>
        </is>
      </c>
      <c r="J20" s="19" t="inlineStr">
        <is>
          <t>Love triangle</t>
        </is>
      </c>
      <c r="K20" s="5" t="inlineStr">
        <is>
          <t>Strangers</t>
        </is>
      </c>
      <c r="L20" s="5" t="inlineStr">
        <is>
          <t>Raj Kumar, a musician in Nairobi, meets Sangeeta at a function and falls in love with her.</t>
        </is>
      </c>
      <c r="M20" s="5" t="inlineStr">
        <is>
          <t>Raj Kumar</t>
        </is>
      </c>
      <c r="N20" s="19" t="inlineStr">
        <is>
          <t>Not documented; the article's plot section is three sentences long.</t>
        </is>
      </c>
      <c r="O20" s="19" t="inlineStr">
        <is>
          <t>Not documented.</t>
        </is>
      </c>
      <c r="P20" s="19" t="inlineStr">
        <is>
          <t>Not documented. The only complication the summary records is that Rani Mehta also loves him.</t>
        </is>
      </c>
      <c r="Q20" s="20" t="n">
        <v>2</v>
      </c>
      <c r="R20" s="19" t="inlineStr">
        <is>
          <t>No conflict between the pair is recorded anywhere in the sources consulted; the score reflects an attachment the summary presents as straightforward rather than any positive evidence of harmony.</t>
        </is>
      </c>
      <c r="S20" s="20" t="n">
        <v>4</v>
      </c>
      <c r="T20" s="5" t="inlineStr">
        <is>
          <t>Existing relationship</t>
        </is>
      </c>
      <c r="U20" s="19" t="inlineStr">
        <is>
          <t>Rani Mehta's love for Raj Kumar is the only obstacle the plot summary names, and it is not described as acting on the couple in any particular way.</t>
        </is>
      </c>
      <c r="V20" s="20" t="n">
        <v>6</v>
      </c>
      <c r="W20" s="19" t="inlineStr">
        <is>
          <t>The character is a musician who falls in love at a function and is loved by a second woman, which is the romantic-lead function, but with three sentences of plot there is no evidence of devotion, sacrifice or pursuit on which to base a higher score.</t>
        </is>
      </c>
      <c r="X20" s="20" t="n">
        <v>9</v>
      </c>
      <c r="Y20" s="20" t="n">
        <v>6</v>
      </c>
      <c r="Z20" s="20" t="n">
        <v>6</v>
      </c>
      <c r="AA20" s="20" t="n">
        <v>4</v>
      </c>
      <c r="AB20" s="20" t="n">
        <v>5</v>
      </c>
      <c r="AC20" s="19" t="inlineStr">
        <is>
          <t>Interpretive reading; no fetched review assesses this pairing. The Indian Express notice praised Kapoor's performance while calling the film lifeless, which suggests the pairing was not what carried it; the third Kapoor and Tagore film in a year, and the least regarded.</t>
        </is>
      </c>
      <c r="AD20" s="5" t="inlineStr">
        <is>
          <t>Unclear</t>
        </is>
      </c>
      <c r="AE20" s="5" t="inlineStr">
        <is>
          <t>Unclear</t>
        </is>
      </c>
      <c r="AF20" s="5" t="inlineStr">
        <is>
          <t>Partial</t>
        </is>
      </c>
      <c r="AG20" s="5" t="inlineStr">
        <is>
          <t>Unclear</t>
        </is>
      </c>
      <c r="AH20" s="5" t="inlineStr">
        <is>
          <t>Unclear</t>
        </is>
      </c>
      <c r="AI20" s="5" t="inlineStr">
        <is>
          <t>Unclear</t>
        </is>
      </c>
      <c r="AJ20" s="5" t="inlineStr">
        <is>
          <t>Unclear</t>
        </is>
      </c>
      <c r="AK20" s="19" t="inlineStr">
        <is>
          <t>Not documented.</t>
        </is>
      </c>
      <c r="AL20" s="19" t="inlineStr">
        <is>
          <t>Not documented.</t>
        </is>
      </c>
      <c r="AM20" s="5" t="inlineStr">
        <is>
          <t>Not documented.</t>
        </is>
      </c>
      <c r="AN20" s="5" t="inlineStr">
        <is>
          <t>Unclear</t>
        </is>
      </c>
      <c r="AO20" s="5" t="n"/>
      <c r="AP20" s="5" t="n"/>
      <c r="AQ20" s="19" t="inlineStr">
        <is>
          <t>Recorded because the attachment is explicitly stated, but the article gives three sentences of plot, so this row is close to the minimum at which a pairing can honestly be entered. Most categorical fields are marked unclear rather than guessed, and the confidence grade reflects that.</t>
        </is>
      </c>
      <c r="AR20" s="19" t="inlineStr">
        <is>
          <t>There is not enough documented material to support a contemporary or modern reading of the relationship. The only critical judgement located, the Indian Express notice, addresses the film rather than the pairing.</t>
        </is>
      </c>
      <c r="AS20" s="5" t="inlineStr">
        <is>
          <t>SOURCE-001; SOURCE-027</t>
        </is>
      </c>
      <c r="AT20" s="5" t="inlineStr">
        <is>
          <t>Low</t>
        </is>
      </c>
    </row>
    <row r="21" ht="109" customHeight="1">
      <c r="A21" s="15" t="inlineStr">
        <is>
          <t>PAIR-020</t>
        </is>
      </c>
      <c r="B21" s="18" t="inlineStr">
        <is>
          <t>FILM-036</t>
        </is>
      </c>
      <c r="C21" s="5" t="inlineStr">
        <is>
          <t>Bombay Talkie</t>
        </is>
      </c>
      <c r="D21" s="17" t="n">
        <v>1970</v>
      </c>
      <c r="E21" s="5" t="inlineStr">
        <is>
          <t>Vikram</t>
        </is>
      </c>
      <c r="F21" s="5" t="inlineStr">
        <is>
          <t>Jennifer Kendal</t>
        </is>
      </c>
      <c r="G21" s="5" t="inlineStr">
        <is>
          <t>Lucia Lane</t>
        </is>
      </c>
      <c r="H21" s="5" t="inlineStr">
        <is>
          <t>Female lead</t>
        </is>
      </c>
      <c r="I21" s="5" t="inlineStr">
        <is>
          <t>Yes</t>
        </is>
      </c>
      <c r="J21" s="19" t="inlineStr">
        <is>
          <t>Love triangle</t>
        </is>
      </c>
      <c r="K21" s="5" t="inlineStr">
        <is>
          <t>A film star and the foreign author researching his industry</t>
        </is>
      </c>
      <c r="L21" s="5" t="inlineStr">
        <is>
          <t>Lucia, a British writer researching the Hindi film industry, meets Vikram in the course of that work.</t>
        </is>
      </c>
      <c r="M21" s="5" t="inlineStr">
        <is>
          <t>Mutual</t>
        </is>
      </c>
      <c r="N21" s="19" t="inlineStr">
        <is>
          <t>An affair rather than a courtship, conducted around his marriage and under the eyes of a friend who wants her.</t>
        </is>
      </c>
      <c r="O21" s="19" t="inlineStr">
        <is>
          <t>Mutual attraction complicated on both sides, hers by what she is there to observe and his by a wife and a friend.</t>
        </is>
      </c>
      <c r="P21" s="19" t="inlineStr">
        <is>
          <t>Vikram is married, and Hari, his friend, is in love with Lucia.</t>
        </is>
      </c>
      <c r="Q21" s="20" t="n">
        <v>4</v>
      </c>
      <c r="R21" s="19" t="inlineStr">
        <is>
          <t>The article's plot summary records complication rather than antagonism. The pressure on the pair comes from Vikram's marriage and Hari's feeling rather than from conflict between the two of them, but the position is unstable enough that it cannot be scored as frictionless.</t>
        </is>
      </c>
      <c r="S21" s="20" t="n">
        <v>6</v>
      </c>
      <c r="T21" s="5" t="inlineStr">
        <is>
          <t>Existing relationship; Community</t>
        </is>
      </c>
      <c r="U21" s="19" t="inlineStr">
        <is>
          <t>Vikram's marriage stands directly against the affair, and Hari's love for Lucia makes the friendship a second obstacle. The cultural distance between a Hindi film star and a British author observing him is the film's wider subject.</t>
        </is>
      </c>
      <c r="V21" s="20" t="n">
        <v>4</v>
      </c>
      <c r="W21" s="19" t="inlineStr">
        <is>
          <t>Vikram is a star trading on his glamour rather than a man courting: the relationship is an affair he conducts alongside a marriage, with no devotion, sacrifice or constancy recorded. The role is about celebrity and its appetites rather than about love.</t>
        </is>
      </c>
      <c r="X21" s="20" t="n">
        <v>9</v>
      </c>
      <c r="Y21" s="20" t="n">
        <v>4</v>
      </c>
      <c r="Z21" s="20" t="n">
        <v>6</v>
      </c>
      <c r="AA21" s="20" t="n">
        <v>7</v>
      </c>
      <c r="AB21" s="20" t="n">
        <v>7</v>
      </c>
      <c r="AC21" s="19" t="inlineStr">
        <is>
          <t>Interpretive reading; no fetched review assesses this pairing. Kapoor plays opposite his own wife, Jennifer Kendal, and the film exploits the real familiarity between them for a relationship that has to read as immediately intimate and fundamentally unserious.</t>
        </is>
      </c>
      <c r="AD21" s="5" t="inlineStr">
        <is>
          <t>Yes</t>
        </is>
      </c>
      <c r="AE21" s="5" t="inlineStr">
        <is>
          <t>Partial</t>
        </is>
      </c>
      <c r="AF21" s="5" t="inlineStr">
        <is>
          <t>Yes</t>
        </is>
      </c>
      <c r="AG21" s="5" t="inlineStr">
        <is>
          <t>Yes</t>
        </is>
      </c>
      <c r="AH21" s="5" t="inlineStr">
        <is>
          <t>Unclear</t>
        </is>
      </c>
      <c r="AI21" s="5" t="inlineStr">
        <is>
          <t>No</t>
        </is>
      </c>
      <c r="AJ21" s="5" t="inlineStr">
        <is>
          <t>No</t>
        </is>
      </c>
      <c r="AK21" s="19" t="inlineStr">
        <is>
          <t>Not detailed by the article's brief plot summary.</t>
        </is>
      </c>
      <c r="AL21" s="19" t="inlineStr">
        <is>
          <t>Not detailed.</t>
        </is>
      </c>
      <c r="AM21" s="5" t="inlineStr">
        <is>
          <t>Not stated by the article's plot summary.</t>
        </is>
      </c>
      <c r="AN21" s="5" t="inlineStr">
        <is>
          <t>No</t>
        </is>
      </c>
      <c r="AO21" s="5" t="n"/>
      <c r="AP21" s="5" t="n"/>
      <c r="AQ21" s="19" t="inlineStr">
        <is>
          <t>The second of the Merchant Ivory films in which Kapoor plays a charming man conducting two attachments at once, after Shakespeare Wallah; in both the woman is a foreigner observing India and in both he declines to choose. Casting his wife as the other woman in a film about a married film star adds a layer the production was plainly aware of.</t>
        </is>
      </c>
      <c r="AR21" s="19" t="inlineStr">
        <is>
          <t>The film is knowing about the exoticism it trades in, putting a British writer's fascination with a Hindi film star at the centre and letting the star be considerably less romantic than she has decided he is. What it does not examine is the wife, who exists in the plot summary only as the fact that complicates the affair.</t>
        </is>
      </c>
      <c r="AS21" s="5" t="inlineStr">
        <is>
          <t>SOURCE-001; SOURCE-028</t>
        </is>
      </c>
      <c r="AT21" s="5" t="inlineStr">
        <is>
          <t>Medium</t>
        </is>
      </c>
    </row>
    <row r="22" ht="124" customHeight="1">
      <c r="A22" s="15" t="inlineStr">
        <is>
          <t>PAIR-021</t>
        </is>
      </c>
      <c r="B22" s="18" t="inlineStr">
        <is>
          <t>FILM-037</t>
        </is>
      </c>
      <c r="C22" s="5" t="inlineStr">
        <is>
          <t>Sharmeelee</t>
        </is>
      </c>
      <c r="D22" s="17" t="n">
        <v>1971</v>
      </c>
      <c r="E22" s="5" t="inlineStr">
        <is>
          <t>Ajit Kapoor</t>
        </is>
      </c>
      <c r="F22" s="5" t="inlineStr">
        <is>
          <t>Raakhee</t>
        </is>
      </c>
      <c r="G22" s="5" t="inlineStr">
        <is>
          <t>Kamini</t>
        </is>
      </c>
      <c r="H22" s="5" t="inlineStr">
        <is>
          <t>Female lead, one of two roles in a double part</t>
        </is>
      </c>
      <c r="I22" s="5" t="inlineStr">
        <is>
          <t>Yes</t>
        </is>
      </c>
      <c r="J22" s="19" t="inlineStr">
        <is>
          <t>Playful conflict masking attraction</t>
        </is>
      </c>
      <c r="K22" s="5" t="inlineStr">
        <is>
          <t>An army officer and the intruder caught stealing rations from his base</t>
        </is>
      </c>
      <c r="L22" s="5" t="inlineStr">
        <is>
          <t>Stranded by a Kashmir snowstorm with no food, Kamini sneaks into an army base, hears Captain Ajit reciting poetry, is caught stealing supplies and is chased down by him.</t>
        </is>
      </c>
      <c r="M22" s="5" t="inlineStr">
        <is>
          <t>Mutual and immediate</t>
        </is>
      </c>
      <c r="N22" s="19" t="inlineStr">
        <is>
          <t>A single night: a chase, a rescue and an attraction both feel at once, ended by her leaving at dawn before he learns her name.</t>
        </is>
      </c>
      <c r="O22" s="19" t="inlineStr">
        <is>
          <t>Quick, high-spirited and mutual, then sustained for the rest of the film as a memory each believes lost.</t>
        </is>
      </c>
      <c r="P22" s="19" t="inlineStr">
        <is>
          <t>Nothing between them; the obstacle is that he does not know who she is and becomes engaged to her twin.</t>
        </is>
      </c>
      <c r="Q22" s="20" t="n">
        <v>2</v>
      </c>
      <c r="R22" s="19" t="inlineStr">
        <is>
          <t>The chase and the theft are played as comic sparring rather than conflict, and once they are acquainted the pair are entirely aligned. What separates them is an identity problem, not a disagreement.</t>
        </is>
      </c>
      <c r="S22" s="20" t="n">
        <v>7</v>
      </c>
      <c r="T22" s="5" t="inlineStr">
        <is>
          <t>Family; Fate</t>
        </is>
      </c>
      <c r="U22" s="19" t="inlineStr">
        <is>
          <t>The twin sister and the marriage negotiated for her by Baba, Ajit's foster father, stand directly in the way, and the arrangement is made precisely because Ajit believes the Kashmir woman is lost to him. The opposition is structural and accidental rather than anyone's intention.</t>
        </is>
      </c>
      <c r="V22" s="20" t="n">
        <v>7</v>
      </c>
      <c r="W22" s="19" t="inlineStr">
        <is>
          <t>Ajit is introduced reciting poetry alone, falls in love in a night, and carries the attachment for the rest of the film as something he has given up for lost. That is the romantic register squarely, though the part is also a serving officer in a film with a suspense strand, which keeps it below the top band.</t>
        </is>
      </c>
      <c r="X22" s="20" t="n">
        <v>9</v>
      </c>
      <c r="Y22" s="20" t="n">
        <v>7</v>
      </c>
      <c r="Z22" s="20" t="n">
        <v>8</v>
      </c>
      <c r="AA22" s="20" t="n">
        <v>6</v>
      </c>
      <c r="AB22" s="20" t="n">
        <v>8</v>
      </c>
      <c r="AC22" s="19" t="inlineStr">
        <is>
          <t>Interpretive reading; no fetched review assesses the pairing specifically, though the film article credits Kapoor and Raakhee with powerful and promising performances. The Kashmir sequence is the film's best stretch and the attraction is played fast and lightly, which is what makes the subsequent mix-up land.</t>
        </is>
      </c>
      <c r="AD22" s="5" t="inlineStr">
        <is>
          <t>Yes</t>
        </is>
      </c>
      <c r="AE22" s="5" t="inlineStr">
        <is>
          <t>No</t>
        </is>
      </c>
      <c r="AF22" s="5" t="inlineStr">
        <is>
          <t>No</t>
        </is>
      </c>
      <c r="AG22" s="5" t="inlineStr">
        <is>
          <t>Partial</t>
        </is>
      </c>
      <c r="AH22" s="5" t="inlineStr">
        <is>
          <t>Yes</t>
        </is>
      </c>
      <c r="AI22" s="5" t="inlineStr">
        <is>
          <t>Partial</t>
        </is>
      </c>
      <c r="AJ22" s="5" t="inlineStr">
        <is>
          <t>Yes</t>
        </is>
      </c>
      <c r="AK22" s="19" t="inlineStr">
        <is>
          <t>Ajit goes from a solitary officer to a man carrying an attachment he cannot name or find.</t>
        </is>
      </c>
      <c r="AL22" s="19" t="inlineStr">
        <is>
          <t>Kamini returns from the trip to discover her sister engaged to the man she met.</t>
        </is>
      </c>
      <c r="AM22" s="5" t="inlineStr">
        <is>
          <t>The mistake is exposed when the sisters and Ajit are in a room together, and Kanchan's engagement is broken off.</t>
        </is>
      </c>
      <c r="AN22" s="5" t="inlineStr">
        <is>
          <t>Partial</t>
        </is>
      </c>
      <c r="AO22" s="5" t="inlineStr">
        <is>
          <t>Happy</t>
        </is>
      </c>
      <c r="AP22" s="5" t="n"/>
      <c r="AQ22" s="19" t="inlineStr">
        <is>
          <t>The first of two rows for this film, both played by Raakhee. The Kamini relationship is the one the film treats as real, and it is unusually mutual for the period: she initiates as much as he does, and the separation is caused by an accident of information rather than by any family veto or class barrier.</t>
        </is>
      </c>
      <c r="AR22" s="19" t="inlineStr">
        <is>
          <t>The twin device lets the film have a heroine who is bold, mobile and sexually forward without making her the woman the hero was initially offered, and the resolution requires the shy sister to be set aside. Kamini's assertiveness is rewarded, but only after the narrative has used Kanchan's disappointment to make the point.</t>
        </is>
      </c>
      <c r="AS22" s="5" t="inlineStr">
        <is>
          <t>SOURCE-001; SOURCE-029</t>
        </is>
      </c>
      <c r="AT22" s="5" t="inlineStr">
        <is>
          <t>Medium</t>
        </is>
      </c>
    </row>
    <row r="23" ht="109" customHeight="1">
      <c r="A23" s="15" t="inlineStr">
        <is>
          <t>PAIR-022</t>
        </is>
      </c>
      <c r="B23" s="18" t="inlineStr">
        <is>
          <t>FILM-037</t>
        </is>
      </c>
      <c r="C23" s="5" t="inlineStr">
        <is>
          <t>Sharmeelee</t>
        </is>
      </c>
      <c r="D23" s="17" t="n">
        <v>1971</v>
      </c>
      <c r="E23" s="5" t="inlineStr">
        <is>
          <t>Ajit Kapoor</t>
        </is>
      </c>
      <c r="F23" s="5" t="inlineStr">
        <is>
          <t>Raakhee</t>
        </is>
      </c>
      <c r="G23" s="5" t="inlineStr">
        <is>
          <t>Kanchan</t>
        </is>
      </c>
      <c r="H23" s="5" t="inlineStr">
        <is>
          <t>Female lead, the second of two roles in a double part</t>
        </is>
      </c>
      <c r="I23" s="5" t="inlineStr">
        <is>
          <t>Yes</t>
        </is>
      </c>
      <c r="J23" s="19" t="inlineStr">
        <is>
          <t>Relationship damaged by mistrust</t>
        </is>
      </c>
      <c r="K23" s="5" t="inlineStr">
        <is>
          <t>A prospective bride and groom introduced by his foster father</t>
        </is>
      </c>
      <c r="L23" s="5" t="inlineStr">
        <is>
          <t>Baba, Ajit's foster father, proposes Kanchan as a bride; Ajit sees her and takes her for the woman he met in Kashmir.</t>
        </is>
      </c>
      <c r="M23" s="5" t="inlineStr">
        <is>
          <t>Ajit, on a mistake</t>
        </is>
      </c>
      <c r="N23" s="19" t="inlineStr">
        <is>
          <t>A formal arranged introduction that Ajit accepts with delight for the wrong reason, and that Kanchan accepts believing herself loved.</t>
        </is>
      </c>
      <c r="O23" s="19" t="inlineStr">
        <is>
          <t>Genuine happiness on her side resting entirely on his error, which neither of them can see.</t>
        </is>
      </c>
      <c r="P23" s="19" t="inlineStr">
        <is>
          <t>The engagement exists because Ajit has mistaken her for her twin, and it cannot survive the twin's return.</t>
        </is>
      </c>
      <c r="Q23" s="20" t="n">
        <v>3</v>
      </c>
      <c r="R23" s="19" t="inlineStr">
        <is>
          <t>There is no antagonism between them at all; Kanchan is delighted and Ajit is willing. The damage is done by a misidentification rather than by conduct, and it is fatal to the engagement without either party quarrelling.</t>
        </is>
      </c>
      <c r="S23" s="20" t="n">
        <v>6</v>
      </c>
      <c r="T23" s="5" t="inlineStr">
        <is>
          <t>Family; Fate</t>
        </is>
      </c>
      <c r="U23" s="19" t="inlineStr">
        <is>
          <t>Kanchan's shyness has already cost her several matches, families having preferred her livelier sister, and the same sister is the reason this engagement collapses. The obstacle is her twin's existence.</t>
        </is>
      </c>
      <c r="V23" s="20" t="n">
        <v>3</v>
      </c>
      <c r="W23" s="19" t="inlineStr">
        <is>
          <t>Ajit is not courting Kanchan at all; he is agreeing to marry a woman he believes is someone else. There is no devotion directed at this person, which is precisely the film's cruelty, and the score reflects the absence of any romantic intention toward her.</t>
        </is>
      </c>
      <c r="X23" s="20" t="n">
        <v>7</v>
      </c>
      <c r="Y23" s="20" t="n">
        <v>3</v>
      </c>
      <c r="Z23" s="20" t="n">
        <v>3</v>
      </c>
      <c r="AA23" s="20" t="n">
        <v>4</v>
      </c>
      <c r="AB23" s="20" t="n">
        <v>6</v>
      </c>
      <c r="AC23" s="19" t="inlineStr">
        <is>
          <t>Interpretive reading; no fetched review assesses this pairing. Raakhee differentiates the two sisters clearly enough that the audience holds the mistake while the characters do not, and the Kanchan scenes are pitched deliberately flatter than the Kashmir ones.</t>
        </is>
      </c>
      <c r="AD23" s="5" t="inlineStr">
        <is>
          <t>No</t>
        </is>
      </c>
      <c r="AE23" s="5" t="inlineStr">
        <is>
          <t>No</t>
        </is>
      </c>
      <c r="AF23" s="5" t="inlineStr">
        <is>
          <t>Partial</t>
        </is>
      </c>
      <c r="AG23" s="5" t="inlineStr">
        <is>
          <t>Yes</t>
        </is>
      </c>
      <c r="AH23" s="5" t="inlineStr">
        <is>
          <t>Yes</t>
        </is>
      </c>
      <c r="AI23" s="5" t="inlineStr">
        <is>
          <t>Partial</t>
        </is>
      </c>
      <c r="AJ23" s="5" t="inlineStr">
        <is>
          <t>No</t>
        </is>
      </c>
      <c r="AK23" s="19" t="inlineStr">
        <is>
          <t>None toward Kanchan; Ajit's feeling was never hers to begin with.</t>
        </is>
      </c>
      <c r="AL23" s="19" t="inlineStr">
        <is>
          <t>Kanchan moves from a woman repeatedly passed over to one briefly and mistakenly chosen, and then passed over again.</t>
        </is>
      </c>
      <c r="AM23" s="5" t="inlineStr">
        <is>
          <t>The marriage is called off once Kamini returns and the misunderstanding is explained to Baba.</t>
        </is>
      </c>
      <c r="AN23" s="5" t="inlineStr">
        <is>
          <t>No</t>
        </is>
      </c>
      <c r="AO23" s="5" t="inlineStr">
        <is>
          <t>Tragic</t>
        </is>
      </c>
      <c r="AP23" s="5" t="n"/>
      <c r="AQ23" s="19" t="inlineStr">
        <is>
          <t>A second row is warranted because this is a distinct relationship with a distinct character, and it carries the film's real cost. The pair-friction score is low while the relationship-health score is among the lowest in the batch, which is the useful signal: harm here comes from a false premise, not from conflict.</t>
        </is>
      </c>
      <c r="AR23" s="19" t="inlineStr">
        <is>
          <t>The film is titled for Kanchan's shyness and then uses it to make her the sister who loses. Her repeated rejection by prospective families is presented sympathetically, but the plot's resolution endorses the same preference, delivering Ajit to the sister who was forward enough to break into an army base.</t>
        </is>
      </c>
      <c r="AS23" s="5" t="inlineStr">
        <is>
          <t>SOURCE-001; SOURCE-029</t>
        </is>
      </c>
      <c r="AT23" s="5" t="inlineStr">
        <is>
          <t>Medium</t>
        </is>
      </c>
    </row>
    <row r="24" ht="109" customHeight="1">
      <c r="A24" s="15" t="inlineStr">
        <is>
          <t>PAIR-023</t>
        </is>
      </c>
      <c r="B24" s="18" t="inlineStr">
        <is>
          <t>FILM-038</t>
        </is>
      </c>
      <c r="C24" s="5" t="inlineStr">
        <is>
          <t>Patanga</t>
        </is>
      </c>
      <c r="D24" s="17" t="n">
        <v>1971</v>
      </c>
      <c r="E24" s="5" t="inlineStr">
        <is>
          <t>Shyam</t>
        </is>
      </c>
      <c r="F24" s="5" t="inlineStr">
        <is>
          <t>Vimi</t>
        </is>
      </c>
      <c r="G24" s="5" t="inlineStr">
        <is>
          <t>Renu</t>
        </is>
      </c>
      <c r="H24" s="5" t="inlineStr">
        <is>
          <t>Female lead</t>
        </is>
      </c>
      <c r="I24" s="5" t="inlineStr">
        <is>
          <t>Yes</t>
        </is>
      </c>
      <c r="J24" s="19" t="inlineStr">
        <is>
          <t>United couple versus external world</t>
        </is>
      </c>
      <c r="K24" s="5" t="inlineStr">
        <is>
          <t>Strangers on a train; she takes him for a thief</t>
        </is>
      </c>
      <c r="L24" s="5" t="inlineStr">
        <is>
          <t>Shyam meets Renu on a train to Dehradun and is drawn to her; she finds her purse in his coat and takes him for the thief, until it emerges that Kuldeep planted it.</t>
        </is>
      </c>
      <c r="M24" s="5" t="inlineStr">
        <is>
          <t>Shyam</t>
        </is>
      </c>
      <c r="N24" s="19" t="inlineStr">
        <is>
          <t>An apology after a false accusation, then a growing closeness that he later sets about destroying on purpose.</t>
        </is>
      </c>
      <c r="O24" s="19" t="inlineStr">
        <is>
          <t>Mutual attachment, sabotaged from within by Shyam's decision that his benefactor's claim outranks his own.</t>
        </is>
      </c>
      <c r="P24" s="19" t="inlineStr">
        <is>
          <t>Shyam acts distant, urges Renu to marry Amar Singh, and finally drinks in order to repel her.</t>
        </is>
      </c>
      <c r="Q24" s="20" t="n">
        <v>6</v>
      </c>
      <c r="R24" s="19" t="inlineStr">
        <is>
          <t>Substantial and deliberate, and unusually it is manufactured by Kapoor's own character: he withdraws, pushes her toward another man and stages his own degradation to make himself unacceptable. Renu resists throughout, so the conflict is entirely one-sided.</t>
        </is>
      </c>
      <c r="S24" s="20" t="n">
        <v>7</v>
      </c>
      <c r="T24" s="5" t="inlineStr">
        <is>
          <t>Family; Class</t>
        </is>
      </c>
      <c r="U24" s="19" t="inlineStr">
        <is>
          <t>Chandan Singh is insulted at the suggestion that his sister marry a servant's son, and rivalry follows. Amar Singh's attachment to Renu, who resembles his dead sweetheart Kamla, and her family's wish that she marry him for their security both press against the couple.</t>
        </is>
      </c>
      <c r="V24" s="20" t="n">
        <v>7</v>
      </c>
      <c r="W24" s="19" t="inlineStr">
        <is>
          <t>The role is organised around renunciation for love, which is close to the centre of the archetype, though the renunciation is directed at a benefactor rather than at the woman's happiness. Devotion is expressed by giving her up, and the self-destruction is genuine.</t>
        </is>
      </c>
      <c r="X24" s="20" t="n">
        <v>9</v>
      </c>
      <c r="Y24" s="20" t="n">
        <v>5</v>
      </c>
      <c r="Z24" s="20" t="n">
        <v>6</v>
      </c>
      <c r="AA24" s="20" t="n">
        <v>7</v>
      </c>
      <c r="AB24" s="20" t="n">
        <v>6</v>
      </c>
      <c r="AC24" s="19" t="inlineStr">
        <is>
          <t>Interpretive reading; no fetched review assesses this pairing. The train meeting is the liveliest part of the pairing and the rest is played in a minor key as Kapoor withdraws; Vimi carries the second half, since Renu's refusal to be handed on is the only active resistance in the film.</t>
        </is>
      </c>
      <c r="AD24" s="5" t="inlineStr">
        <is>
          <t>Yes</t>
        </is>
      </c>
      <c r="AE24" s="5" t="inlineStr">
        <is>
          <t>Yes</t>
        </is>
      </c>
      <c r="AF24" s="5" t="inlineStr">
        <is>
          <t>No</t>
        </is>
      </c>
      <c r="AG24" s="5" t="inlineStr">
        <is>
          <t>Yes</t>
        </is>
      </c>
      <c r="AH24" s="5" t="inlineStr">
        <is>
          <t>Yes</t>
        </is>
      </c>
      <c r="AI24" s="5" t="inlineStr">
        <is>
          <t>Yes</t>
        </is>
      </c>
      <c r="AJ24" s="5" t="inlineStr">
        <is>
          <t>Partial</t>
        </is>
      </c>
      <c r="AK24" s="19" t="inlineStr">
        <is>
          <t>From an easy suitor to a man performing his own ruin, and back once Amar Singh releases him.</t>
        </is>
      </c>
      <c r="AL24" s="19" t="inlineStr">
        <is>
          <t>Renu refuses both her family's preference and Shyam's attempt to transfer her, holding to her own choice throughout.</t>
        </is>
      </c>
      <c r="AM24" s="5" t="inlineStr">
        <is>
          <t>Amar Singh learns what has been happening and unites them; they marry after Chandan Singh's attempt on his life fails.</t>
        </is>
      </c>
      <c r="AN24" s="5" t="inlineStr">
        <is>
          <t>Yes</t>
        </is>
      </c>
      <c r="AO24" s="5" t="inlineStr">
        <is>
          <t>Happy</t>
        </is>
      </c>
      <c r="AP24" s="5" t="n"/>
      <c r="AQ24" s="19" t="inlineStr">
        <is>
          <t>A clear instance of the renunciation plot, in which the obstacle is the hero's own sense of obligation rather than anything external forbidding the match. Female agency scores high because Renu declines every arrangement made for her, by her family and by Shyam alike, which is rarer in this batch than the resolution suggests.</t>
        </is>
      </c>
      <c r="AR24" s="19" t="inlineStr">
        <is>
          <t>The film treats Shyam's attempt to hand Renu to his benefactor as nobility, and her refusal as devotion rather than as the obvious objection to being transferred between men as a debt payment. Amar Singh's attachment, rooted in Renu resembling her dead sister, is presented as poignant rather than as the substitution it is.</t>
        </is>
      </c>
      <c r="AS24" s="5" t="inlineStr">
        <is>
          <t>SOURCE-001; SOURCE-030</t>
        </is>
      </c>
      <c r="AT24" s="5" t="inlineStr">
        <is>
          <t>Medium</t>
        </is>
      </c>
    </row>
    <row r="25" ht="109" customHeight="1">
      <c r="A25" s="15" t="inlineStr">
        <is>
          <t>PAIR-024</t>
        </is>
      </c>
      <c r="B25" s="18" t="inlineStr">
        <is>
          <t>FILM-040</t>
        </is>
      </c>
      <c r="C25" s="5" t="inlineStr">
        <is>
          <t>Jaanwar Aur Insaan</t>
        </is>
      </c>
      <c r="D25" s="17" t="n">
        <v>1972</v>
      </c>
      <c r="E25" s="5" t="inlineStr">
        <is>
          <t>Shekhar</t>
        </is>
      </c>
      <c r="F25" s="5" t="inlineStr">
        <is>
          <t>Raakhee</t>
        </is>
      </c>
      <c r="G25" s="5" t="inlineStr">
        <is>
          <t>Meena</t>
        </is>
      </c>
      <c r="H25" s="5" t="inlineStr">
        <is>
          <t>Female lead</t>
        </is>
      </c>
      <c r="I25" s="5" t="inlineStr">
        <is>
          <t>Yes</t>
        </is>
      </c>
      <c r="J25" s="19" t="inlineStr">
        <is>
          <t>United couple versus external world</t>
        </is>
      </c>
      <c r="K25" s="5" t="inlineStr">
        <is>
          <t>Strangers divided by a killing between their fathers</t>
        </is>
      </c>
      <c r="L25" s="5" t="inlineStr">
        <is>
          <t>Shekhar meets Meena and both fall in love; the plot summary gives no circumstance.</t>
        </is>
      </c>
      <c r="M25" s="5" t="inlineStr">
        <is>
          <t>Mutual</t>
        </is>
      </c>
      <c r="N25" s="19" t="inlineStr">
        <is>
          <t>Brief. The obstacle is raised and removed quickly, and the marriage takes place well before the midpoint.</t>
        </is>
      </c>
      <c r="O25" s="19" t="inlineStr">
        <is>
          <t>Settled and domestic once married, then increasingly strained by Shekhar's pursuit of the tiger.</t>
        </is>
      </c>
      <c r="P25" s="19" t="inlineStr">
        <is>
          <t>Shekhar's obsession with the man-eater, which takes him from the house and ends with him proposing to stake their son.</t>
        </is>
      </c>
      <c r="Q25" s="20" t="n">
        <v>5</v>
      </c>
      <c r="R25" s="19" t="inlineStr">
        <is>
          <t>Low through the courtship and marriage, then sharply higher once Shekhar vows not to come home until the tiger is dead and finally resolves to use Raju as bait. The plot summary does not record Meena's response, but a father staking their infant is an interpersonal rupture of the first order.</t>
        </is>
      </c>
      <c r="S25" s="20" t="n">
        <v>6</v>
      </c>
      <c r="T25" s="5" t="inlineStr">
        <is>
          <t>Family; Fate</t>
        </is>
      </c>
      <c r="U25" s="19" t="inlineStr">
        <is>
          <t>Meena's father Gokuldas had killed Shekhar's father, so the marriage is barred by a killing until Gokuldas is himself killed by Mohan and the past is set aside. Thereafter the opposition is the animal rather than any person.</t>
        </is>
      </c>
      <c r="V25" s="20" t="n">
        <v>4</v>
      </c>
      <c r="W25" s="19" t="inlineStr">
        <is>
          <t>The romance is settled early and the film is an animal-hunt adventure thereafter. Shekhar is a husband and then an obsessive; the courtship is perfunctory and the second half actively sets him against his own family, which is the opposite of the archetype.</t>
        </is>
      </c>
      <c r="X25" s="20" t="n">
        <v>5</v>
      </c>
      <c r="Y25" s="20" t="n">
        <v>4</v>
      </c>
      <c r="Z25" s="20" t="n">
        <v>5</v>
      </c>
      <c r="AA25" s="20" t="n">
        <v>3</v>
      </c>
      <c r="AB25" s="20" t="n">
        <v>6</v>
      </c>
      <c r="AC25" s="19" t="inlineStr">
        <is>
          <t>Interpretive reading; no fetched review assesses this pairing. The second of three Kapoor and Raakhee films in three years and the one that gives them least to do together, the marriage being largely a setup for the hunt; the pairing is warm but functional.</t>
        </is>
      </c>
      <c r="AD25" s="5" t="inlineStr">
        <is>
          <t>Unclear</t>
        </is>
      </c>
      <c r="AE25" s="5" t="inlineStr">
        <is>
          <t>Yes</t>
        </is>
      </c>
      <c r="AF25" s="5" t="inlineStr">
        <is>
          <t>No</t>
        </is>
      </c>
      <c r="AG25" s="5" t="inlineStr">
        <is>
          <t>No</t>
        </is>
      </c>
      <c r="AH25" s="5" t="inlineStr">
        <is>
          <t>Yes</t>
        </is>
      </c>
      <c r="AI25" s="5" t="inlineStr">
        <is>
          <t>Partial</t>
        </is>
      </c>
      <c r="AJ25" s="5" t="inlineStr">
        <is>
          <t>No</t>
        </is>
      </c>
      <c r="AK25" s="19" t="inlineStr">
        <is>
          <t>From suitor to husband to a man whose fixation overrides his family.</t>
        </is>
      </c>
      <c r="AL25" s="19" t="inlineStr">
        <is>
          <t>Not recorded; Meena's position after the decision about Raju is not given by the summary.</t>
        </is>
      </c>
      <c r="AM25" s="5" t="inlineStr">
        <is>
          <t>Unresolved at the point the plot summary reaches, with Shekhar about to use their son as bait.</t>
        </is>
      </c>
      <c r="AN25" s="5" t="inlineStr">
        <is>
          <t>Yes</t>
        </is>
      </c>
      <c r="AO25" s="5" t="inlineStr">
        <is>
          <t>Unresolved</t>
        </is>
      </c>
      <c r="AP25" s="5" t="n"/>
      <c r="AQ25" s="19" t="inlineStr">
        <is>
          <t>A marriage across a blood feud that is cleared away in a sentence so the film can get to the tiger. The interest for this project is the shape: romance resolved early and then progressively subordinated, with the husband's obsession replacing external opposition as the threat to the family. The same structure recurs in the action films of the following decade.</t>
        </is>
      </c>
      <c r="AR25" s="19" t="inlineStr">
        <is>
          <t>The feud is settled by a convenient third-party killing rather than by anything either partner does, and Meena has no recorded position on the decision that drives the climax, despite it concerning her child. The film's moral attention is on Shekhar's guilt about the animal he wounded rather than on what he is prepared to risk.</t>
        </is>
      </c>
      <c r="AS25" s="5" t="inlineStr">
        <is>
          <t>SOURCE-001; SOURCE-032</t>
        </is>
      </c>
      <c r="AT25" s="5" t="inlineStr">
        <is>
          <t>Low</t>
        </is>
      </c>
    </row>
    <row r="26" ht="109" customHeight="1">
      <c r="A26" s="15" t="inlineStr">
        <is>
          <t>PAIR-025</t>
        </is>
      </c>
      <c r="B26" s="18" t="inlineStr">
        <is>
          <t>FILM-041</t>
        </is>
      </c>
      <c r="C26" s="5" t="inlineStr">
        <is>
          <t>Siddhartha</t>
        </is>
      </c>
      <c r="D26" s="17" t="n">
        <v>1972</v>
      </c>
      <c r="E26" s="5" t="inlineStr">
        <is>
          <t>Siddhartha</t>
        </is>
      </c>
      <c r="F26" s="5" t="inlineStr">
        <is>
          <t>Simi Garewal</t>
        </is>
      </c>
      <c r="G26" s="5" t="inlineStr">
        <is>
          <t>Kamala</t>
        </is>
      </c>
      <c r="H26" s="5" t="inlineStr">
        <is>
          <t>Principal female role</t>
        </is>
      </c>
      <c r="I26" s="5" t="inlineStr">
        <is>
          <t>Yes</t>
        </is>
      </c>
      <c r="J26" s="19" t="inlineStr">
        <is>
          <t>Romance subordinate to another genre</t>
        </is>
      </c>
      <c r="K26" s="5" t="inlineStr">
        <is>
          <t>A wandering ascetic and a celebrated courtesan</t>
        </is>
      </c>
      <c r="L26" s="5" t="inlineStr">
        <is>
          <t>Siddhartha, having left asceticism, comes to Kamala to be taught what he does not know.</t>
        </is>
      </c>
      <c r="M26" s="5" t="inlineStr">
        <is>
          <t>Siddhartha, as a pupil</t>
        </is>
      </c>
      <c r="N26" s="19" t="inlineStr">
        <is>
          <t>Instruction rather than courtship: she teaches him pleasure and the conduct of the world, and he enters the merchant's life to be worth her time.</t>
        </is>
      </c>
      <c r="O26" s="19" t="inlineStr">
        <is>
          <t>Deliberately transactional at the outset and genuinely attached later, on both sides, without either pretending it is permanent.</t>
        </is>
      </c>
      <c r="P26" s="19" t="inlineStr">
        <is>
          <t>Siddhartha's search does not end with her, and the life he takes up to stay near her is the one he comes to loathe.</t>
        </is>
      </c>
      <c r="Q26" s="20" t="n">
        <v>3</v>
      </c>
      <c r="R26" s="19" t="inlineStr">
        <is>
          <t>Little conflict between them; the relationship is clear-eyed on both sides about what it is. The rupture comes from Siddhartha's self-revulsion at the merchant's existence rather than from anything between him and Kamala.</t>
        </is>
      </c>
      <c r="S26" s="20" t="n">
        <v>2</v>
      </c>
      <c r="T26" s="5" t="inlineStr">
        <is>
          <t>Other</t>
        </is>
      </c>
      <c r="U26" s="19" t="inlineStr">
        <is>
          <t>No family, rival or social force acts against the pair. The only opposition is the philosophical one, that this way of living cannot be where Siddhartha's search ends.</t>
        </is>
      </c>
      <c r="V26" s="20" t="n">
        <v>3</v>
      </c>
      <c r="W26" s="19" t="inlineStr">
        <is>
          <t>The relationship is a stage in a spiritual progression rather than a romance the character is organised around. Siddhartha seeks Kamala out as an education in sensuality, and leaves when the lesson is exhausted; there is no devotion, pursuit or sacrifice for love.</t>
        </is>
      </c>
      <c r="X26" s="20" t="n">
        <v>5</v>
      </c>
      <c r="Y26" s="20" t="n">
        <v>6</v>
      </c>
      <c r="Z26" s="20" t="n">
        <v>6</v>
      </c>
      <c r="AA26" s="20" t="n">
        <v>8</v>
      </c>
      <c r="AB26" s="20" t="n">
        <v>6</v>
      </c>
      <c r="AC26" s="19" t="inlineStr">
        <is>
          <t>Interpretive reading; no fetched review assesses this pairing, and the American notices the article records address the film's solemnity rather than the performances. The playing is cool and formal by design, which suits a relationship framed as instruction, though it gives the pairing little warmth.</t>
        </is>
      </c>
      <c r="AD26" s="5" t="inlineStr">
        <is>
          <t>Partial</t>
        </is>
      </c>
      <c r="AE26" s="5" t="inlineStr">
        <is>
          <t>No</t>
        </is>
      </c>
      <c r="AF26" s="5" t="inlineStr">
        <is>
          <t>No</t>
        </is>
      </c>
      <c r="AG26" s="5" t="inlineStr">
        <is>
          <t>No</t>
        </is>
      </c>
      <c r="AH26" s="5" t="inlineStr">
        <is>
          <t>Yes</t>
        </is>
      </c>
      <c r="AI26" s="5" t="inlineStr">
        <is>
          <t>No</t>
        </is>
      </c>
      <c r="AJ26" s="5" t="inlineStr">
        <is>
          <t>Partial</t>
        </is>
      </c>
      <c r="AK26" s="19" t="inlineStr">
        <is>
          <t>Kamala moves Siddhartha from asceticism into the world of the senses and of money, which he must then exhaust and reject.</t>
        </is>
      </c>
      <c r="AL26" s="19" t="inlineStr">
        <is>
          <t>Not detailed by the sources consulted.</t>
        </is>
      </c>
      <c r="AM26" s="5" t="inlineStr">
        <is>
          <t>Siddhartha leaves the merchant's life and Kamala with it, continuing toward the equilibrium the film ends on.</t>
        </is>
      </c>
      <c r="AN26" s="5" t="inlineStr">
        <is>
          <t>No</t>
        </is>
      </c>
      <c r="AO26" s="5" t="inlineStr">
        <is>
          <t>Unresolved</t>
        </is>
      </c>
      <c r="AP26" s="5" t="n"/>
      <c r="AQ26" s="19" t="inlineStr">
        <is>
          <t>The most unusual pairing in the filmography to this point: a courtesan who is the hero's teacher rather than his prize, in a relationship neither party treats as a destination. Female agency is scored the highest in the batch because Kamala sets the terms, owns her position and is never dependent on Siddhartha's choices.</t>
        </is>
      </c>
      <c r="AR26" s="19" t="inlineStr">
        <is>
          <t>The film inherits Hesse's framing, in which a woman's sexual expertise is an instrument of a European-facing spiritual narrative about an Indian man, and Kamala exists to be transcended. That said, she is granted a competence and self-possession that few women in Kapoor's mainstream films of the same years are given.</t>
        </is>
      </c>
      <c r="AS26" s="5" t="inlineStr">
        <is>
          <t>SOURCE-001; SOURCE-031</t>
        </is>
      </c>
      <c r="AT26" s="5" t="inlineStr">
        <is>
          <t>Medium</t>
        </is>
      </c>
    </row>
    <row r="27" ht="139" customHeight="1">
      <c r="A27" s="15" t="inlineStr">
        <is>
          <t>PAIR-026</t>
        </is>
      </c>
      <c r="B27" s="18" t="inlineStr">
        <is>
          <t>FILM-043</t>
        </is>
      </c>
      <c r="C27" s="5" t="inlineStr">
        <is>
          <t>Aa Gale Lag Jaa</t>
        </is>
      </c>
      <c r="D27" s="17" t="n">
        <v>1973</v>
      </c>
      <c r="E27" s="5" t="inlineStr">
        <is>
          <t>Prem</t>
        </is>
      </c>
      <c r="F27" s="5" t="inlineStr">
        <is>
          <t>Sharmila Tagore</t>
        </is>
      </c>
      <c r="G27" s="5" t="inlineStr">
        <is>
          <t>Preeti</t>
        </is>
      </c>
      <c r="H27" s="5" t="inlineStr">
        <is>
          <t>Female lead</t>
        </is>
      </c>
      <c r="I27" s="5" t="inlineStr">
        <is>
          <t>Yes</t>
        </is>
      </c>
      <c r="J27" s="19" t="inlineStr">
        <is>
          <t>Relationship manipulated by outsiders</t>
        </is>
      </c>
      <c r="K27" s="5" t="inlineStr">
        <is>
          <t>Strangers on holiday; he teases her</t>
        </is>
      </c>
      <c r="L27" s="5" t="inlineStr">
        <is>
          <t>Preeti, a young doctor holidaying in Simla, meets Prem, an amateur skater, who teases her before falling for her.</t>
        </is>
      </c>
      <c r="M27" s="5" t="inlineStr">
        <is>
          <t>Prem</t>
        </is>
      </c>
      <c r="N27" s="19" t="inlineStr">
        <is>
          <t>Teasing into wooing into a proposal made immediately after they become intimate, all inside one holiday.</t>
        </is>
      </c>
      <c r="O27" s="19" t="inlineStr">
        <is>
          <t>Ardent and uncomplicated between the two of them, and then conducted for years entirely through what each believes the other did.</t>
        </is>
      </c>
      <c r="P27" s="19" t="inlineStr">
        <is>
          <t>None of their own. Every rupture is manufactured by Preeti's father, who forges Prem's letter into a demand for money.</t>
        </is>
      </c>
      <c r="Q27" s="20" t="n">
        <v>3</v>
      </c>
      <c r="R27" s="19" t="inlineStr">
        <is>
          <t>The couple never quarrel. Preeti turns away because she is shown a forged letter, and Prem stays silent later to protect her engagement; the estrangement is total but the friction between them is almost nil, which is the defining shape of this pairing.</t>
        </is>
      </c>
      <c r="S27" s="20" t="n">
        <v>9</v>
      </c>
      <c r="T27" s="5" t="inlineStr">
        <is>
          <t>Family</t>
        </is>
      </c>
      <c r="U27" s="19" t="inlineStr">
        <is>
          <t>Heerachand tries to buy Prem off, forges his letter, arranges the birth away from Bombay, hands the newborn to Prem and tells his daughter the child was stillborn. It is among the most comprehensive paternal interventions in the filmography, and it separates the couple for years and costs Preeti her son.</t>
        </is>
      </c>
      <c r="V27" s="20" t="n">
        <v>8</v>
      </c>
      <c r="W27" s="19" t="inlineStr">
        <is>
          <t>Prem refuses the money, proposes at once, raises their son alone through polio, keeps silent about the forgery to protect Preeti's engagement to another man, and dies saving someone else's sister. Devotion, sacrifice and constancy are the whole content of the role; it falls short of the top only because the courtship is brief and the film's second half is a melodrama of concealment rather than of courtship.</t>
        </is>
      </c>
      <c r="X27" s="20" t="n">
        <v>10</v>
      </c>
      <c r="Y27" s="20" t="n">
        <v>6</v>
      </c>
      <c r="Z27" s="20" t="n">
        <v>7</v>
      </c>
      <c r="AA27" s="20" t="n">
        <v>5</v>
      </c>
      <c r="AB27" s="20" t="n">
        <v>7</v>
      </c>
      <c r="AC27" s="19" t="inlineStr">
        <is>
          <t>Interpretive reading; no fetched review assesses this pairing. The Simla courtship is played lightly and quickly, which makes the long separation work; Kapoor and Tagore, by their fourth film together, handle the later scenes of suppressed recognition with more economy than the plot around them deserves.</t>
        </is>
      </c>
      <c r="AD27" s="5" t="inlineStr">
        <is>
          <t>Yes</t>
        </is>
      </c>
      <c r="AE27" s="5" t="inlineStr">
        <is>
          <t>No</t>
        </is>
      </c>
      <c r="AF27" s="5" t="inlineStr">
        <is>
          <t>No</t>
        </is>
      </c>
      <c r="AG27" s="5" t="inlineStr">
        <is>
          <t>Yes</t>
        </is>
      </c>
      <c r="AH27" s="5" t="inlineStr">
        <is>
          <t>Yes</t>
        </is>
      </c>
      <c r="AI27" s="5" t="inlineStr">
        <is>
          <t>Yes</t>
        </is>
      </c>
      <c r="AJ27" s="5" t="inlineStr">
        <is>
          <t>No</t>
        </is>
      </c>
      <c r="AK27" s="19" t="inlineStr">
        <is>
          <t>From a holiday flirt to a single father who conceals the truth even when telling it would restore him.</t>
        </is>
      </c>
      <c r="AL27" s="19" t="inlineStr">
        <is>
          <t>Preeti moves from a woman who believes she was sold, through mourning a child who is alive, to an attachment to her own son that she cannot account for.</t>
        </is>
      </c>
      <c r="AM27" s="5" t="inlineStr">
        <is>
          <t>Prem is mortally injured saving Amar's sister and hands over their son as he dies.</t>
        </is>
      </c>
      <c r="AN27" s="5" t="inlineStr">
        <is>
          <t>No</t>
        </is>
      </c>
      <c r="AO27" s="5" t="inlineStr">
        <is>
          <t>Tragic</t>
        </is>
      </c>
      <c r="AP27" s="5" t="n"/>
      <c r="AQ27" s="19" t="inlineStr">
        <is>
          <t>The highest external-opposition score in the batch paired with one of the lowest friction scores, and the clearest statement of the pattern that dominates Kapoor's romantic roles: the couple are never the problem, the father is. The film is also unusually explicit for 1973, turning on a pre-marital pregnancy and a child concealed from its mother.</t>
        </is>
      </c>
      <c r="AR27" s="19" t="inlineStr">
        <is>
          <t>The intimacy is framed as an accident of hypothermia and immediately converted into a proposal, which is how the period licensed the scene at all; the film then punishes Preeti with years of grief while treating Heerachand's forgery as paternal excess rather than as the theft of a child. Prem's long silence is presented as nobility, though it prolongs her loss for the sake of another man's engagement.</t>
        </is>
      </c>
      <c r="AS27" s="5" t="inlineStr">
        <is>
          <t>SOURCE-001; SOURCE-033</t>
        </is>
      </c>
      <c r="AT27" s="5" t="inlineStr">
        <is>
          <t>Medium</t>
        </is>
      </c>
    </row>
    <row r="28" ht="109" customHeight="1">
      <c r="A28" s="15" t="inlineStr">
        <is>
          <t>PAIR-027</t>
        </is>
      </c>
      <c r="B28" s="18" t="inlineStr">
        <is>
          <t>FILM-047</t>
        </is>
      </c>
      <c r="C28" s="5" t="inlineStr">
        <is>
          <t>Insaaniyat</t>
        </is>
      </c>
      <c r="D28" s="17" t="n">
        <v>1974</v>
      </c>
      <c r="E28" s="5" t="inlineStr">
        <is>
          <t>Dilip</t>
        </is>
      </c>
      <c r="F28" s="5" t="inlineStr">
        <is>
          <t>Madhu</t>
        </is>
      </c>
      <c r="G28" s="5" t="inlineStr">
        <is>
          <t>Leena</t>
        </is>
      </c>
      <c r="H28" s="5" t="inlineStr">
        <is>
          <t>Female lead</t>
        </is>
      </c>
      <c r="I28" s="5" t="inlineStr">
        <is>
          <t>Yes</t>
        </is>
      </c>
      <c r="J28" s="19" t="inlineStr">
        <is>
          <t>Playful conflict masking attraction</t>
        </is>
      </c>
      <c r="K28" s="5" t="inlineStr">
        <is>
          <t>A wealthy idler wooing a woman who wants none of it</t>
        </is>
      </c>
      <c r="L28" s="5" t="inlineStr">
        <is>
          <t>Not specified; Dilip spends much of his time wooing Leena, who rebuffs him before giving in.</t>
        </is>
      </c>
      <c r="M28" s="5" t="inlineStr">
        <is>
          <t>Dilip</t>
        </is>
      </c>
      <c r="N28" s="19" t="inlineStr">
        <is>
          <t>Persistent pursuit against refusal, in the comic register, until she relents.</t>
        </is>
      </c>
      <c r="O28" s="19" t="inlineStr">
        <is>
          <t>Light and teasing in the first half, then subordinated entirely to Dilip's revenge once his parentage is revealed.</t>
        </is>
      </c>
      <c r="P28" s="19" t="inlineStr">
        <is>
          <t>Her initial refusal, and afterwards nothing; the film's conflict moves wholly to the revenge plot.</t>
        </is>
      </c>
      <c r="Q28" s="20" t="n">
        <v>3</v>
      </c>
      <c r="R28" s="19" t="inlineStr">
        <is>
          <t>The rebuffs are comic and temporary and the couple are aligned once she accepts him. No serious interpersonal conflict is recorded, and Leena joins Dilip and Ram in the plan against Raghuveer.</t>
        </is>
      </c>
      <c r="S28" s="20" t="n">
        <v>5</v>
      </c>
      <c r="T28" s="5" t="inlineStr">
        <is>
          <t>Family; Crime</t>
        </is>
      </c>
      <c r="U28" s="19" t="inlineStr">
        <is>
          <t>Karamchand is arranging Dilip's marriage to his friend Poonamchand's daughter, which stands against Leena, and the revenge plot that takes over the film puts the pair in the path of Raghuveer and his men.</t>
        </is>
      </c>
      <c r="V28" s="20" t="n">
        <v>5</v>
      </c>
      <c r="W28" s="19" t="inlineStr">
        <is>
          <t>The wooing occupies much of the first half and is the character's main activity until the deathbed revelation, after which romance is displaced entirely by revenge. A romantic lead in the opening movement and something else thereafter.</t>
        </is>
      </c>
      <c r="X28" s="20" t="n">
        <v>5</v>
      </c>
      <c r="Y28" s="20" t="n">
        <v>6</v>
      </c>
      <c r="Z28" s="20" t="n">
        <v>5</v>
      </c>
      <c r="AA28" s="20" t="n">
        <v>5</v>
      </c>
      <c r="AB28" s="20" t="n">
        <v>6</v>
      </c>
      <c r="AC28" s="19" t="inlineStr">
        <is>
          <t>Interpretive reading; no fetched review assesses this pairing. The courtship is standard-issue for the period and the film's real interest is the friendship between Dilip and Ram; Leena is written into the revenge plan, which gives the pairing more to do than most subordinate romances of this batch.</t>
        </is>
      </c>
      <c r="AD28" s="5" t="inlineStr">
        <is>
          <t>Yes</t>
        </is>
      </c>
      <c r="AE28" s="5" t="inlineStr">
        <is>
          <t>No</t>
        </is>
      </c>
      <c r="AF28" s="5" t="inlineStr">
        <is>
          <t>No</t>
        </is>
      </c>
      <c r="AG28" s="5" t="inlineStr">
        <is>
          <t>No</t>
        </is>
      </c>
      <c r="AH28" s="5" t="inlineStr">
        <is>
          <t>No</t>
        </is>
      </c>
      <c r="AI28" s="5" t="inlineStr">
        <is>
          <t>Partial</t>
        </is>
      </c>
      <c r="AJ28" s="5" t="inlineStr">
        <is>
          <t>Yes</t>
        </is>
      </c>
      <c r="AK28" s="19" t="inlineStr">
        <is>
          <t>Dilip's transformation is from carefree heir to avenger, and it has nothing to do with Leena.</t>
        </is>
      </c>
      <c r="AL28" s="19" t="inlineStr">
        <is>
          <t>Leena moves from rebuffing him to joining his plan against Raghuveer.</t>
        </is>
      </c>
      <c r="AM28" s="5" t="inlineStr">
        <is>
          <t>Not stated; the plot summary ends inside the revenge plot.</t>
        </is>
      </c>
      <c r="AN28" s="5" t="inlineStr">
        <is>
          <t>Unclear</t>
        </is>
      </c>
      <c r="AO28" s="5" t="n"/>
      <c r="AP28" s="5" t="n"/>
      <c r="AQ28" s="19" t="inlineStr">
        <is>
          <t>A courtship that exists to establish the hero's carefree life so that its destruction registers. Once Dilip learns who he is, the romance stops developing and Leena is converted into an accomplice, which is a common fate for the heroine in the revenge films that increasingly dominate this stretch of the filmography.</t>
        </is>
      </c>
      <c r="AR28" s="19" t="inlineStr">
        <is>
          <t>The persistence-against-refusal courtship is the period's default and the film does not examine it; Leena's initial rebuffs function as delay rather than as a position. Her later inclusion in the plan is a mild improvement on the pattern, giving her something to do besides wait.</t>
        </is>
      </c>
      <c r="AS28" s="5" t="inlineStr">
        <is>
          <t>SOURCE-001; SOURCE-039</t>
        </is>
      </c>
      <c r="AT28" s="5" t="inlineStr">
        <is>
          <t>Low</t>
        </is>
      </c>
    </row>
    <row r="29" ht="124" customHeight="1">
      <c r="A29" s="15" t="inlineStr">
        <is>
          <t>PAIR-028</t>
        </is>
      </c>
      <c r="B29" s="18" t="inlineStr">
        <is>
          <t>FILM-048</t>
        </is>
      </c>
      <c r="C29" s="5" t="inlineStr">
        <is>
          <t>Chor Machaye Shor</t>
        </is>
      </c>
      <c r="D29" s="17" t="n">
        <v>1974</v>
      </c>
      <c r="E29" s="5" t="inlineStr">
        <is>
          <t>Vijay Sharma</t>
        </is>
      </c>
      <c r="F29" s="5" t="inlineStr">
        <is>
          <t>Mumtaz</t>
        </is>
      </c>
      <c r="G29" s="5" t="inlineStr">
        <is>
          <t>Rekha</t>
        </is>
      </c>
      <c r="H29" s="5" t="inlineStr">
        <is>
          <t>Female lead</t>
        </is>
      </c>
      <c r="I29" s="5" t="inlineStr">
        <is>
          <t>Yes</t>
        </is>
      </c>
      <c r="J29" s="19" t="inlineStr">
        <is>
          <t>United couple versus external world</t>
        </is>
      </c>
      <c r="K29" s="5" t="inlineStr">
        <is>
          <t>In love before the film's conflict begins</t>
        </is>
      </c>
      <c r="L29" s="5" t="inlineStr">
        <is>
          <t>Not dramatised; Vijay, an engineer, is already in love with the wealthy Rekha when the plot starts.</t>
        </is>
      </c>
      <c r="M29" s="5" t="inlineStr">
        <is>
          <t>Not recorded</t>
        </is>
      </c>
      <c r="N29" s="19" t="inlineStr">
        <is>
          <t>Settled affection interrupted by a wrongful conviction, then resumed after his escape.</t>
        </is>
      </c>
      <c r="O29" s="19" t="inlineStr">
        <is>
          <t>Constant on both sides; neither wavers, and Rekha reconnects with him after the jailbreak rather than abandoning him.</t>
        </is>
      </c>
      <c r="P29" s="19" t="inlineStr">
        <is>
          <t>None between them. Every obstacle is imposed.</t>
        </is>
      </c>
      <c r="Q29" s="20" t="n">
        <v>1</v>
      </c>
      <c r="R29" s="19" t="inlineStr">
        <is>
          <t>No interpersonal conflict is recorded at any point. The couple's alignment is total, which throws the entire dramatic weight onto the father and the politician.</t>
        </is>
      </c>
      <c r="S29" s="20" t="n">
        <v>8</v>
      </c>
      <c r="T29" s="5" t="inlineStr">
        <is>
          <t>Family; Class; Crime; Villain</t>
        </is>
      </c>
      <c r="U29" s="19" t="inlineStr">
        <is>
          <t>Rekha's father objects to Vijay's lack of wealth, arranges her marriage to an evil politician's son, and then joins that politician in framing Vijay for a crime he did not commit, which puts him in prison. The opposition escalates from disapproval to manufactured conviction.</t>
        </is>
      </c>
      <c r="V29" s="20" t="n">
        <v>7</v>
      </c>
      <c r="W29" s="19" t="inlineStr">
        <is>
          <t>The role is a romantic hero in the masala register: wronged for loving above his station, constant throughout, and finally vindicated. It stops short of the top band because the second half turns him into a village's protector, and it is that public heroism rather than the courtship that changes her father's mind.</t>
        </is>
      </c>
      <c r="X29" s="20" t="n">
        <v>7</v>
      </c>
      <c r="Y29" s="20" t="n">
        <v>8</v>
      </c>
      <c r="Z29" s="20" t="n">
        <v>8</v>
      </c>
      <c r="AA29" s="20" t="n">
        <v>5</v>
      </c>
      <c r="AB29" s="20" t="n">
        <v>7</v>
      </c>
      <c r="AC29" s="19" t="inlineStr">
        <is>
          <t>Interpretive reading; no fetched review assesses this pairing. Kapoor and Mumtaz play an established couple rather than a developing one, and the warmth is easy and unforced; it was the film that made him one of the most saleable stars of the decade, and the pairing is a substantial part of why it worked.</t>
        </is>
      </c>
      <c r="AD29" s="5" t="inlineStr">
        <is>
          <t>Yes</t>
        </is>
      </c>
      <c r="AE29" s="5" t="inlineStr">
        <is>
          <t>No</t>
        </is>
      </c>
      <c r="AF29" s="5" t="inlineStr">
        <is>
          <t>No</t>
        </is>
      </c>
      <c r="AG29" s="5" t="inlineStr">
        <is>
          <t>No</t>
        </is>
      </c>
      <c r="AH29" s="5" t="inlineStr">
        <is>
          <t>Yes</t>
        </is>
      </c>
      <c r="AI29" s="5" t="inlineStr">
        <is>
          <t>Yes</t>
        </is>
      </c>
      <c r="AJ29" s="5" t="inlineStr">
        <is>
          <t>Partial</t>
        </is>
      </c>
      <c r="AK29" s="19" t="inlineStr">
        <is>
          <t>From a wronged man seeking to clear himself to one who chooses a village's safety over his own liberty.</t>
        </is>
      </c>
      <c r="AL29" s="19" t="inlineStr">
        <is>
          <t>Rekha holds to Vijay against her father's arrangement and reconnects with him after his escape.</t>
        </is>
      </c>
      <c r="AM29" s="5" t="inlineStr">
        <is>
          <t>Her father repents and accepts Vijay as his future son-in-law, with the prison sentences expected to be reduced.</t>
        </is>
      </c>
      <c r="AN29" s="5" t="inlineStr">
        <is>
          <t>Yes</t>
        </is>
      </c>
      <c r="AO29" s="5" t="inlineStr">
        <is>
          <t>Happy</t>
        </is>
      </c>
      <c r="AP29" s="5" t="n"/>
      <c r="AQ29" s="19" t="inlineStr">
        <is>
          <t>The class romance in its fully commercial form, and the film that made Kapoor a top-rank star. Pair friction of one against external opposition of eight is the sharpest version of the split that characterises his whole romantic persona: he is never in conflict with the woman, only with her father, her class and the state.</t>
        </is>
      </c>
      <c r="AR29" s="19" t="inlineStr">
        <is>
          <t>The resolution requires Vijay to earn the father's approval through a public act of heroism rather than the father to abandon the objection, so the class barrier is satisfied rather than refuted. Rekha's constancy is genuine but she is not given a decisive action of her own; the men resolve the matter between them.</t>
        </is>
      </c>
      <c r="AS29" s="5" t="inlineStr">
        <is>
          <t>SOURCE-001; SOURCE-035</t>
        </is>
      </c>
      <c r="AT29" s="5" t="inlineStr">
        <is>
          <t>Medium</t>
        </is>
      </c>
    </row>
    <row r="30" ht="109" customHeight="1">
      <c r="A30" s="15" t="inlineStr">
        <is>
          <t>PAIR-029</t>
        </is>
      </c>
      <c r="B30" s="18" t="inlineStr">
        <is>
          <t>FILM-049</t>
        </is>
      </c>
      <c r="C30" s="5" t="inlineStr">
        <is>
          <t>Paap Aur Punya</t>
        </is>
      </c>
      <c r="D30" s="17" t="n">
        <v>1974</v>
      </c>
      <c r="E30" s="5" t="inlineStr">
        <is>
          <t>Ganga Singh</t>
        </is>
      </c>
      <c r="F30" s="5" t="inlineStr">
        <is>
          <t>Sharmila Tagore</t>
        </is>
      </c>
      <c r="G30" s="5" t="inlineStr">
        <is>
          <t>Jugni</t>
        </is>
      </c>
      <c r="H30" s="5" t="inlineStr">
        <is>
          <t>Female lead</t>
        </is>
      </c>
      <c r="I30" s="5" t="inlineStr">
        <is>
          <t>Yes</t>
        </is>
      </c>
      <c r="J30" s="19" t="inlineStr">
        <is>
          <t>Forbidden love</t>
        </is>
      </c>
      <c r="K30" s="5" t="inlineStr">
        <is>
          <t>A crown prince and a poor young woman</t>
        </is>
      </c>
      <c r="L30" s="5" t="inlineStr">
        <is>
          <t>Ganga meets Jugni, who is from a poor family, and both fall in love and want to marry.</t>
        </is>
      </c>
      <c r="M30" s="5" t="inlineStr">
        <is>
          <t>Mutual</t>
        </is>
      </c>
      <c r="N30" s="19" t="inlineStr">
        <is>
          <t>Brief and mutual, and then terminated not by the father's veto but by Ganga's abrupt change of character.</t>
        </is>
      </c>
      <c r="O30" s="19" t="inlineStr">
        <is>
          <t>Sincere and reciprocated until he becomes unrecognisable.</t>
        </is>
      </c>
      <c r="P30" s="19" t="inlineStr">
        <is>
          <t>Ganga turns womanising and drunken and agrees to marry the wealthy Mala instead, abandoning Jugni without explanation.</t>
        </is>
      </c>
      <c r="Q30" s="20" t="n">
        <v>6</v>
      </c>
      <c r="R30" s="19" t="inlineStr">
        <is>
          <t>Low at first and then severe: the man Jugni loves becomes a different person and takes the match his father wanted. The plot summary withholds the reason, so the friction is scored on the conduct as presented.</t>
        </is>
      </c>
      <c r="S30" s="20" t="n">
        <v>7</v>
      </c>
      <c r="T30" s="5" t="inlineStr">
        <is>
          <t>Family; Class</t>
        </is>
      </c>
      <c r="U30" s="19" t="inlineStr">
        <is>
          <t>Balbir Singh refuses to accept a poor daughter-in-law and intends Ganga for the wealthy Mala. Behind that stands the usurped throne and the murdered cousin, the concealed history that the character change appears to be connected to.</t>
        </is>
      </c>
      <c r="V30" s="20" t="n">
        <v>5</v>
      </c>
      <c r="W30" s="19" t="inlineStr">
        <is>
          <t>The role begins as a soft-spoken prince in love across class, which is the archetype, and then inverts into debauchery and an advantageous marriage. Scored at the midpoint because the film contains both the romantic hero and his repudiation, with the summary not explaining which is the real one.</t>
        </is>
      </c>
      <c r="X30" s="20" t="n">
        <v>7</v>
      </c>
      <c r="Y30" s="20" t="n">
        <v>4</v>
      </c>
      <c r="Z30" s="20" t="n">
        <v>5</v>
      </c>
      <c r="AA30" s="20" t="n">
        <v>3</v>
      </c>
      <c r="AB30" s="20" t="n">
        <v>6</v>
      </c>
      <c r="AC30" s="19" t="inlineStr">
        <is>
          <t>Interpretive reading; no fetched review assesses this pairing. The fifth Kapoor and Tagore pairing in five years; the early scenes rely on that established familiarity, and the interest of the performance is in the reversal rather than in the courtship.</t>
        </is>
      </c>
      <c r="AD30" s="5" t="inlineStr">
        <is>
          <t>Partial</t>
        </is>
      </c>
      <c r="AE30" s="5" t="inlineStr">
        <is>
          <t>Yes</t>
        </is>
      </c>
      <c r="AF30" s="5" t="inlineStr">
        <is>
          <t>No</t>
        </is>
      </c>
      <c r="AG30" s="5" t="inlineStr">
        <is>
          <t>Unclear</t>
        </is>
      </c>
      <c r="AH30" s="5" t="inlineStr">
        <is>
          <t>Yes</t>
        </is>
      </c>
      <c r="AI30" s="5" t="inlineStr">
        <is>
          <t>Unclear</t>
        </is>
      </c>
      <c r="AJ30" s="5" t="inlineStr">
        <is>
          <t>No</t>
        </is>
      </c>
      <c r="AK30" s="19" t="inlineStr">
        <is>
          <t>A reversal rather than a development: from fair-minded and soft-spoken to womanising, alcoholic and foul-mouthed.</t>
        </is>
      </c>
      <c r="AL30" s="19" t="inlineStr">
        <is>
          <t>Not recorded; the summary leaves Jugni heartbroken and asks what she will do.</t>
        </is>
      </c>
      <c r="AM30" s="5" t="inlineStr">
        <is>
          <t>Abandoned, with Ganga willing to wed Mala; the summary stops before any resolution.</t>
        </is>
      </c>
      <c r="AN30" s="5" t="inlineStr">
        <is>
          <t>No</t>
        </is>
      </c>
      <c r="AO30" s="5" t="inlineStr">
        <is>
          <t>Unresolved</t>
        </is>
      </c>
      <c r="AP30" s="5" t="n"/>
      <c r="AQ30" s="19" t="inlineStr">
        <is>
          <t>A class romance that is broken not by the father who opposes it but by the man inside it, for reasons the plot summary deliberately withholds. Kapoor plays a dual role here, and given that the coup which opens the film kills a twin, the character change may well be an impersonation rather than a corruption, but no source consulted confirms it.</t>
        </is>
      </c>
      <c r="AR30" s="19" t="inlineStr">
        <is>
          <t>Jugni is given no agency in her own abandonment and the summary's closing question, what the poor heart-broken Jugni will do now, positions her as a spectator of the men's plot. The wealthy Mala is similarly a counter rather than a character, and the film's interest is in the dynastic puzzle rather than in either woman.</t>
        </is>
      </c>
      <c r="AS30" s="5" t="inlineStr">
        <is>
          <t>SOURCE-001; SOURCE-036</t>
        </is>
      </c>
      <c r="AT30" s="5" t="inlineStr">
        <is>
          <t>Low</t>
        </is>
      </c>
    </row>
    <row r="31" ht="109" customHeight="1">
      <c r="A31" s="15" t="inlineStr">
        <is>
          <t>PAIR-030</t>
        </is>
      </c>
      <c r="B31" s="18" t="inlineStr">
        <is>
          <t>FILM-050</t>
        </is>
      </c>
      <c r="C31" s="5" t="inlineStr">
        <is>
          <t>Roti Kapda Aur Makaan</t>
        </is>
      </c>
      <c r="D31" s="17" t="n">
        <v>1974</v>
      </c>
      <c r="E31" s="5" t="inlineStr">
        <is>
          <t>Mohan Babu</t>
        </is>
      </c>
      <c r="F31" s="5" t="inlineStr">
        <is>
          <t>Zeenat Aman</t>
        </is>
      </c>
      <c r="G31" s="5" t="inlineStr">
        <is>
          <t>Sheetal</t>
        </is>
      </c>
      <c r="H31" s="5" t="inlineStr">
        <is>
          <t>Female lead of the film, opposite Manoj Kumar</t>
        </is>
      </c>
      <c r="I31" s="5" t="inlineStr">
        <is>
          <t>No</t>
        </is>
      </c>
      <c r="J31" s="19" t="inlineStr">
        <is>
          <t>Romance subordinate to another genre</t>
        </is>
      </c>
      <c r="K31" s="5" t="inlineStr">
        <is>
          <t>Employer and secretary; she is another man's girlfriend</t>
        </is>
      </c>
      <c r="L31" s="5" t="inlineStr">
        <is>
          <t>Sheetal takes work as secretary to the rich businessman Mohan Babu, and he becomes attracted to her.</t>
        </is>
      </c>
      <c r="M31" s="5" t="inlineStr">
        <is>
          <t>Mohan Babu</t>
        </is>
      </c>
      <c r="N31" s="19" t="inlineStr">
        <is>
          <t>Proximity at work, then a straightforward proposal of marriage made at the point where her patience with Bharat's poverty has run out.</t>
        </is>
      </c>
      <c r="O31" s="19" t="inlineStr">
        <is>
          <t>Attraction on his side and a clear-eyed calculation on hers; she loves Bharat and cannot contemplate a life in poverty with him.</t>
        </is>
      </c>
      <c r="P31" s="19" t="inlineStr">
        <is>
          <t>Sheetal does not love Mohan, and the marriage is a decision about money rather than about him.</t>
        </is>
      </c>
      <c r="Q31" s="20" t="n">
        <v>3</v>
      </c>
      <c r="R31" s="19" t="inlineStr">
        <is>
          <t>No antagonism between them and no quarrel recorded. The unease is structural: the relationship rests on an economic choice she later regrets, and Mohan is not the object of the regret.</t>
        </is>
      </c>
      <c r="S31" s="20" t="n">
        <v>4</v>
      </c>
      <c r="T31" s="5" t="inlineStr">
        <is>
          <t>Existing relationship; Class</t>
        </is>
      </c>
      <c r="U31" s="19" t="inlineStr">
        <is>
          <t>Bharat's prior claim is the standing obstacle, though it works against him only in Sheetal's conscience. Mohan's wealth is what makes the match possible rather than what obstructs it, which reverses the usual arrangement in Kapoor's romances.</t>
        </is>
      </c>
      <c r="V31" s="20" t="n">
        <v>3</v>
      </c>
      <c r="W31" s="19" t="inlineStr">
        <is>
          <t>Mohan wins a woman by being able to afford her, in a film whose argument is about what poverty costs. He is decent rather than predatory, but there is no courtship, devotion or sacrifice, and he functions as the economic alternative rather than as a romantic figure.</t>
        </is>
      </c>
      <c r="X31" s="20" t="n">
        <v>6</v>
      </c>
      <c r="Y31" s="20" t="n">
        <v>5</v>
      </c>
      <c r="Z31" s="20" t="n">
        <v>3</v>
      </c>
      <c r="AA31" s="20" t="n">
        <v>6</v>
      </c>
      <c r="AB31" s="20" t="n">
        <v>5</v>
      </c>
      <c r="AC31" s="19" t="inlineStr">
        <is>
          <t>Interpretive reading; no fetched review assesses this pairing. The film keeps Kapoor and Zeenat Aman deliberately cool together, since the audience is meant to feel the absence of what she had with Bharat; the restraint is correct for the part but leaves the pairing muted.</t>
        </is>
      </c>
      <c r="AD31" s="5" t="inlineStr">
        <is>
          <t>No</t>
        </is>
      </c>
      <c r="AE31" s="5" t="inlineStr">
        <is>
          <t>No</t>
        </is>
      </c>
      <c r="AF31" s="5" t="inlineStr">
        <is>
          <t>Partial</t>
        </is>
      </c>
      <c r="AG31" s="5" t="inlineStr">
        <is>
          <t>No</t>
        </is>
      </c>
      <c r="AH31" s="5" t="inlineStr">
        <is>
          <t>No</t>
        </is>
      </c>
      <c r="AI31" s="5" t="inlineStr">
        <is>
          <t>No</t>
        </is>
      </c>
      <c r="AJ31" s="5" t="inlineStr">
        <is>
          <t>Partial</t>
        </is>
      </c>
      <c r="AK31" s="19" t="inlineStr">
        <is>
          <t>Little. Mohan ends the film fighting alongside Bharat and the others against Nekiram.</t>
        </is>
      </c>
      <c r="AL31" s="19" t="inlineStr">
        <is>
          <t>Sheetal chooses wealth over love, regrets it, and finally sacrifices her life in the conflict with Nekiram.</t>
        </is>
      </c>
      <c r="AM31" s="5" t="inlineStr">
        <is>
          <t>Ends with Sheetal's death; Bharat marries Tulsi, in whom he sees her.</t>
        </is>
      </c>
      <c r="AN31" s="5" t="inlineStr">
        <is>
          <t>Yes</t>
        </is>
      </c>
      <c r="AO31" s="5" t="inlineStr">
        <is>
          <t>Tragic</t>
        </is>
      </c>
      <c r="AP31" s="5" t="n"/>
      <c r="AQ31" s="19" t="inlineStr">
        <is>
          <t>A pairing row is warranted because the marriage is real and consequential, but the position is unusual in the filmography: Kapoor is the man the heroine settles for rather than the one she is kept from. Mutuality is scored low and female agency relatively high for the same reason, that Sheetal's choice is deliberate, informed and hers.</t>
        </is>
      </c>
      <c r="AR31" s="19" t="inlineStr">
        <is>
          <t>The film's moral scheme punishes Sheetal for choosing security over love, killing her and then having Bharat find her replacement in a poorer, more devoted woman. Mohan, who did nothing worse than propose, is treated far more leniently than the woman who accepted, which is the period's usual distribution of blame.</t>
        </is>
      </c>
      <c r="AS31" s="5" t="inlineStr">
        <is>
          <t>SOURCE-001; SOURCE-037</t>
        </is>
      </c>
      <c r="AT31" s="5" t="inlineStr">
        <is>
          <t>Medium</t>
        </is>
      </c>
    </row>
    <row r="32" ht="109" customHeight="1">
      <c r="A32" s="15" t="inlineStr">
        <is>
          <t>PAIR-031</t>
        </is>
      </c>
      <c r="B32" s="18" t="inlineStr">
        <is>
          <t>FILM-051</t>
        </is>
      </c>
      <c r="C32" s="5" t="inlineStr">
        <is>
          <t>Anari</t>
        </is>
      </c>
      <c r="D32" s="17" t="n">
        <v>1975</v>
      </c>
      <c r="E32" s="5" t="inlineStr">
        <is>
          <t>Raj</t>
        </is>
      </c>
      <c r="F32" s="5" t="inlineStr">
        <is>
          <t>Sharmila Tagore</t>
        </is>
      </c>
      <c r="G32" s="5" t="inlineStr">
        <is>
          <t>Poonam</t>
        </is>
      </c>
      <c r="H32" s="5" t="inlineStr">
        <is>
          <t>Female lead</t>
        </is>
      </c>
      <c r="I32" s="5" t="inlineStr">
        <is>
          <t>Yes</t>
        </is>
      </c>
      <c r="J32" s="19" t="inlineStr">
        <is>
          <t>United couple versus external world</t>
        </is>
      </c>
      <c r="K32" s="5" t="inlineStr">
        <is>
          <t>Sweethearts, both trapped by poverty</t>
        </is>
      </c>
      <c r="L32" s="5" t="inlineStr">
        <is>
          <t>Not dramatised; they are sweethearts when the film opens.</t>
        </is>
      </c>
      <c r="M32" s="5" t="inlineStr">
        <is>
          <t>Not recorded</t>
        </is>
      </c>
      <c r="N32" s="19" t="inlineStr">
        <is>
          <t>No courtship. The relationship exists from the outset and the film is about what money does to it.</t>
        </is>
      </c>
      <c r="O32" s="19" t="inlineStr">
        <is>
          <t>Attachment under continuous economic pressure, with both of them carrying family obligations that leave nothing over.</t>
        </is>
      </c>
      <c r="P32" s="19" t="inlineStr">
        <is>
          <t>Not conflict so much as parallel corruption: a job in a wealthy world costs both of them their moral compass.</t>
        </is>
      </c>
      <c r="Q32" s="20" t="n">
        <v>4</v>
      </c>
      <c r="R32" s="19" t="inlineStr">
        <is>
          <t>The article's four-sentence summary records no quarrel, but states that both parties lose their bearings, which implies damage to the relationship without specifying its form. Scored at the midpoint and graded low confidence accordingly.</t>
        </is>
      </c>
      <c r="S32" s="20" t="n">
        <v>7</v>
      </c>
      <c r="T32" s="5" t="inlineStr">
        <is>
          <t>Class; Family</t>
        </is>
      </c>
      <c r="U32" s="19" t="inlineStr">
        <is>
          <t>Extreme poverty on both sides: Raj must provide for his family and fund his sister's wedding, while Poonam nurses an ailing mother on pennies and her father drinks his earnings. The wealthy world Raj enters for work is the corrupting force.</t>
        </is>
      </c>
      <c r="V32" s="20" t="n">
        <v>5</v>
      </c>
      <c r="W32" s="19" t="inlineStr">
        <is>
          <t>The pairing is the film's emotional centre, but the role is defined by economic compulsion rather than by courtship or devotion, and the character loses his moral compass rather than proving himself through constancy.</t>
        </is>
      </c>
      <c r="X32" s="20" t="n">
        <v>7</v>
      </c>
      <c r="Y32" s="20" t="n">
        <v>5</v>
      </c>
      <c r="Z32" s="20" t="n">
        <v>6</v>
      </c>
      <c r="AA32" s="20" t="n">
        <v>5</v>
      </c>
      <c r="AB32" s="20" t="n">
        <v>6</v>
      </c>
      <c r="AC32" s="19" t="inlineStr">
        <is>
          <t>Interpretive reading; no fetched review assesses this pairing. The sixth Kapoor and Tagore film, and by this point the pairing carries an accumulated familiarity that a four-sentence plot cannot really test; the film underperformed and little was written about it.</t>
        </is>
      </c>
      <c r="AD32" s="5" t="inlineStr">
        <is>
          <t>Unclear</t>
        </is>
      </c>
      <c r="AE32" s="5" t="inlineStr">
        <is>
          <t>Partial</t>
        </is>
      </c>
      <c r="AF32" s="5" t="inlineStr">
        <is>
          <t>Unclear</t>
        </is>
      </c>
      <c r="AG32" s="5" t="inlineStr">
        <is>
          <t>Unclear</t>
        </is>
      </c>
      <c r="AH32" s="5" t="inlineStr">
        <is>
          <t>Partial</t>
        </is>
      </c>
      <c r="AI32" s="5" t="inlineStr">
        <is>
          <t>Yes</t>
        </is>
      </c>
      <c r="AJ32" s="5" t="inlineStr">
        <is>
          <t>Partial</t>
        </is>
      </c>
      <c r="AK32" s="19" t="inlineStr">
        <is>
          <t>From a poor man with intact principles to one whose bearings are gone.</t>
        </is>
      </c>
      <c r="AL32" s="19" t="inlineStr">
        <is>
          <t>Poonam undergoes the same loss in parallel, according to the article's summary.</t>
        </is>
      </c>
      <c r="AM32" s="5" t="inlineStr">
        <is>
          <t>Not stated by the article's plot summary.</t>
        </is>
      </c>
      <c r="AN32" s="5" t="inlineStr">
        <is>
          <t>Unclear</t>
        </is>
      </c>
      <c r="AO32" s="5" t="n"/>
      <c r="AP32" s="5" t="n"/>
      <c r="AQ32" s="19" t="inlineStr">
        <is>
          <t>Included because the sweetheart relationship is explicitly stated and is the frame for the whole plot, but the article gives four sentences and the film was a commercial failure that attracted little writing, so several fields are marked unclear. The premise, that poverty corrupts both partners rather than ennobling them, is notably bleaker than the class romances around it.</t>
        </is>
      </c>
      <c r="AR32" s="19" t="inlineStr">
        <is>
          <t>Too little of the film is documented to support a developed reading. What is recorded is unusual for its moment in refusing to make poverty morally improving, and in applying the corruption to the woman as well as the man.</t>
        </is>
      </c>
      <c r="AS32" s="5" t="inlineStr">
        <is>
          <t>SOURCE-001; SOURCE-040</t>
        </is>
      </c>
      <c r="AT32" s="5" t="inlineStr">
        <is>
          <t>Low</t>
        </is>
      </c>
    </row>
    <row r="33" ht="109" customHeight="1">
      <c r="A33" s="15" t="inlineStr">
        <is>
          <t>PAIR-032</t>
        </is>
      </c>
      <c r="B33" s="18" t="inlineStr">
        <is>
          <t>FILM-052</t>
        </is>
      </c>
      <c r="C33" s="5" t="inlineStr">
        <is>
          <t>Deewaar</t>
        </is>
      </c>
      <c r="D33" s="17" t="n">
        <v>1975</v>
      </c>
      <c r="E33" s="5" t="inlineStr">
        <is>
          <t>Sub Inspector Ravi Verma</t>
        </is>
      </c>
      <c r="F33" s="5" t="inlineStr">
        <is>
          <t>Neetu Singh</t>
        </is>
      </c>
      <c r="G33" s="5" t="inlineStr">
        <is>
          <t>Veera Narang</t>
        </is>
      </c>
      <c r="H33" s="5" t="inlineStr">
        <is>
          <t>Supporting female lead</t>
        </is>
      </c>
      <c r="I33" s="5" t="inlineStr">
        <is>
          <t>No</t>
        </is>
      </c>
      <c r="J33" s="19" t="inlineStr">
        <is>
          <t>Romance subordinate to another genre</t>
        </is>
      </c>
      <c r="K33" s="5" t="inlineStr">
        <is>
          <t>A jobless graduate and the daughter of a Deputy Commissioner of Police</t>
        </is>
      </c>
      <c r="L33" s="5" t="inlineStr">
        <is>
          <t>Not dramatised in detail; Ravi romances Veera, the daughter of DCP Narang, while unable to find work.</t>
        </is>
      </c>
      <c r="M33" s="5" t="inlineStr">
        <is>
          <t>Ravi</t>
        </is>
      </c>
      <c r="N33" s="19" t="inlineStr">
        <is>
          <t>A light courtship threaded between the film's major scenes, with her father sponsoring Ravi's police training.</t>
        </is>
      </c>
      <c r="O33" s="19" t="inlineStr">
        <is>
          <t>Uncomplicated and supportive, functioning as relief from the fraternal tragedy rather than as a story of its own.</t>
        </is>
      </c>
      <c r="P33" s="19" t="inlineStr">
        <is>
          <t>None recorded between them.</t>
        </is>
      </c>
      <c r="Q33" s="20" t="n">
        <v>1</v>
      </c>
      <c r="R33" s="19" t="inlineStr">
        <is>
          <t>No conflict of any kind is recorded between Ravi and Veera. The relationship is entirely harmonious and exists outside the film's lines of tension, which all run between the brothers and their mother.</t>
        </is>
      </c>
      <c r="S33" s="20" t="n">
        <v>2</v>
      </c>
      <c r="T33" s="5" t="inlineStr">
        <is>
          <t>Family</t>
        </is>
      </c>
      <c r="U33" s="19" t="inlineStr">
        <is>
          <t>Almost none. Veera's father is not an obstacle but a patron, sending Ravi for police training; the class difference between a slum-raised graduate and a DCP's daughter is never made into a barrier.</t>
        </is>
      </c>
      <c r="V33" s="20" t="n">
        <v>3</v>
      </c>
      <c r="W33" s="19" t="inlineStr">
        <is>
          <t>The romance is a minor thread in a film about two brothers, a mother and the law. Ravi's identity is organised around duty and his relationship with Vijay; Veera is a companion rather than a motivation, and none of the character's defining choices concern her.</t>
        </is>
      </c>
      <c r="X33" s="20" t="n">
        <v>3</v>
      </c>
      <c r="Y33" s="20" t="n">
        <v>8</v>
      </c>
      <c r="Z33" s="20" t="n">
        <v>7</v>
      </c>
      <c r="AA33" s="20" t="n">
        <v>4</v>
      </c>
      <c r="AB33" s="20" t="n">
        <v>6</v>
      </c>
      <c r="AC33" s="19" t="inlineStr">
        <is>
          <t>Interpretive reading; the reviews located praise Kapoor's performance and the film at large rather than this pairing. Kapoor and Neetu Singh are pleasant and unforced together, and the scenes function as designed, as air between the heavy fraternal confrontations.</t>
        </is>
      </c>
      <c r="AD33" s="5" t="inlineStr">
        <is>
          <t>Yes</t>
        </is>
      </c>
      <c r="AE33" s="5" t="inlineStr">
        <is>
          <t>No</t>
        </is>
      </c>
      <c r="AF33" s="5" t="inlineStr">
        <is>
          <t>No</t>
        </is>
      </c>
      <c r="AG33" s="5" t="inlineStr">
        <is>
          <t>No</t>
        </is>
      </c>
      <c r="AH33" s="5" t="inlineStr">
        <is>
          <t>No</t>
        </is>
      </c>
      <c r="AI33" s="5" t="inlineStr">
        <is>
          <t>No</t>
        </is>
      </c>
      <c r="AJ33" s="5" t="inlineStr">
        <is>
          <t>Partial</t>
        </is>
      </c>
      <c r="AK33" s="19" t="inlineStr">
        <is>
          <t>None attributable to the relationship.</t>
        </is>
      </c>
      <c r="AL33" s="19" t="inlineStr">
        <is>
          <t>None recorded.</t>
        </is>
      </c>
      <c r="AM33" s="5" t="inlineStr">
        <is>
          <t>Intact. Veera is present with Ravi and his mother at the awarding that closes the film.</t>
        </is>
      </c>
      <c r="AN33" s="5" t="inlineStr">
        <is>
          <t>Yes</t>
        </is>
      </c>
      <c r="AO33" s="5" t="inlineStr">
        <is>
          <t>Happy</t>
        </is>
      </c>
      <c r="AP33" s="5" t="n"/>
      <c r="AQ33" s="19" t="inlineStr">
        <is>
          <t>The clearest case in the filmography of a romance that exists because the format requires one. In the film that won Kapoor his Filmfare award and gave him his most quoted line, the romance scores three for centrality and one for friction, and nothing about the character's arc runs through it. It is the template for his 1970s multi-starrer romances.</t>
        </is>
      </c>
      <c r="AR33" s="19" t="inlineStr">
        <is>
          <t>Veera is written without a stake in anything the film is about; she is present at the beginning of Ravi's career and at its vindication, and absent from every decision in between. The film's emotional weight is given entirely to the mother, which is a recurring feature of the Salim-Javed scripts of this period.</t>
        </is>
      </c>
      <c r="AS33" s="5" t="inlineStr">
        <is>
          <t>SOURCE-001; SOURCE-041</t>
        </is>
      </c>
      <c r="AT33" s="5" t="inlineStr">
        <is>
          <t>Medium</t>
        </is>
      </c>
    </row>
    <row r="34" ht="109" customHeight="1">
      <c r="A34" s="15" t="inlineStr">
        <is>
          <t>PAIR-033</t>
        </is>
      </c>
      <c r="B34" s="18" t="inlineStr">
        <is>
          <t>FILM-053</t>
        </is>
      </c>
      <c r="C34" s="5" t="inlineStr">
        <is>
          <t>Prem Kahani</t>
        </is>
      </c>
      <c r="D34" s="17" t="n">
        <v>1975</v>
      </c>
      <c r="E34" s="5" t="inlineStr">
        <is>
          <t>SP Dheeraj Kumar</t>
        </is>
      </c>
      <c r="F34" s="5" t="inlineStr">
        <is>
          <t>Mumtaz</t>
        </is>
      </c>
      <c r="G34" s="5" t="inlineStr">
        <is>
          <t>Kamini Sinha</t>
        </is>
      </c>
      <c r="H34" s="5" t="inlineStr">
        <is>
          <t>Female lead</t>
        </is>
      </c>
      <c r="I34" s="5" t="inlineStr">
        <is>
          <t>Yes</t>
        </is>
      </c>
      <c r="J34" s="19" t="inlineStr">
        <is>
          <t>Love triangle</t>
        </is>
      </c>
      <c r="K34" s="5" t="inlineStr">
        <is>
          <t>Newly married, by an arrangement he entered in good faith</t>
        </is>
      </c>
      <c r="L34" s="5" t="inlineStr">
        <is>
          <t>Not dramatised; Dheeraj's bride is revealed to be Kamini, the woman his best friend Rajesh had renounced.</t>
        </is>
      </c>
      <c r="M34" s="5" t="inlineStr">
        <is>
          <t>Not recorded; the marriage is arranged</t>
        </is>
      </c>
      <c r="N34" s="19" t="inlineStr">
        <is>
          <t>No courtship is shown. The marriage exists before the audience learns whom he has married.</t>
        </is>
      </c>
      <c r="O34" s="19" t="inlineStr">
        <is>
          <t>Dheeraj is affectionate and unsuspecting; Kamini is hostile to Rajesh and dutiful to her husband, carrying a renunciation Dheeraj knows nothing about.</t>
        </is>
      </c>
      <c r="P34" s="19" t="inlineStr">
        <is>
          <t>A police file asserting that Kamini and Rajesh love each other, which Dheeraj reads and cannot un-read.</t>
        </is>
      </c>
      <c r="Q34" s="20" t="n">
        <v>6</v>
      </c>
      <c r="R34" s="19" t="inlineStr">
        <is>
          <t>Severe once the file surfaces: Dheeraj drinks, confronts them both and accuses Rajesh of romancing his wife. The mistrust is substantial and directed at Kamini as much as at his friend, even though she has done nothing since the marriage.</t>
        </is>
      </c>
      <c r="S34" s="20" t="n">
        <v>8</v>
      </c>
      <c r="T34" s="5" t="inlineStr">
        <is>
          <t>Existing relationship; War or politics; Crime</t>
        </is>
      </c>
      <c r="U34" s="19" t="inlineStr">
        <is>
          <t>Rajesh's prior claim, renounced to spare her widowhood, sits inside the marriage from the start. Around it are the independence struggle, Dheeraj's position as a colonial police officer sheltering a wanted revolutionary, a constable seeking promotion by exposing them, and Sher Khan's torture and suicide.</t>
        </is>
      </c>
      <c r="V34" s="20" t="n">
        <v>4</v>
      </c>
      <c r="W34" s="19" t="inlineStr">
        <is>
          <t>Dheeraj is a husband and a friend rather than a lover: there is no courtship, and his defining acts are protecting Rajesh and then accusing him. The film's romantic ache belongs to Rajesh Khanna's poet, and Kapoor plays the man who holds the position the lover gave up.</t>
        </is>
      </c>
      <c r="X34" s="20" t="n">
        <v>8</v>
      </c>
      <c r="Y34" s="20" t="n">
        <v>5</v>
      </c>
      <c r="Z34" s="20" t="n">
        <v>4</v>
      </c>
      <c r="AA34" s="20" t="n">
        <v>6</v>
      </c>
      <c r="AB34" s="20" t="n">
        <v>6</v>
      </c>
      <c r="AC34" s="19" t="inlineStr">
        <is>
          <t>Interpretive reading; no fetched review assesses this pairing. The film gives Kapoor and Mumtaz little to play as a couple, since the charge runs between her and Rajesh Khanna; what Kapoor supplies is the decency that makes the triangle painful rather than sordid.</t>
        </is>
      </c>
      <c r="AD34" s="5" t="inlineStr">
        <is>
          <t>No</t>
        </is>
      </c>
      <c r="AE34" s="5" t="inlineStr">
        <is>
          <t>Yes</t>
        </is>
      </c>
      <c r="AF34" s="5" t="inlineStr">
        <is>
          <t>Yes</t>
        </is>
      </c>
      <c r="AG34" s="5" t="inlineStr">
        <is>
          <t>Yes</t>
        </is>
      </c>
      <c r="AH34" s="5" t="inlineStr">
        <is>
          <t>No</t>
        </is>
      </c>
      <c r="AI34" s="5" t="inlineStr">
        <is>
          <t>Yes</t>
        </is>
      </c>
      <c r="AJ34" s="5" t="inlineStr">
        <is>
          <t>Partial</t>
        </is>
      </c>
      <c r="AK34" s="19" t="inlineStr">
        <is>
          <t>From an untroubled husband and friend to a man who accuses them both and then saves Rajesh from the police anyway.</t>
        </is>
      </c>
      <c r="AL34" s="19" t="inlineStr">
        <is>
          <t>Kamini moves from hostility toward the man who abandoned her to shooting him in order to protect her husband.</t>
        </is>
      </c>
      <c r="AM34" s="5" t="inlineStr">
        <is>
          <t>Kamini shoots Rajesh when he points a gun at Dheeraj and declares he means to take her; the marriage stands.</t>
        </is>
      </c>
      <c r="AN34" s="5" t="inlineStr">
        <is>
          <t>Yes</t>
        </is>
      </c>
      <c r="AO34" s="5" t="inlineStr">
        <is>
          <t>Tragic</t>
        </is>
      </c>
      <c r="AP34" s="5" t="n"/>
      <c r="AQ34" s="19" t="inlineStr">
        <is>
          <t>The second film in this batch, after Kabhi Kabhie's shape, in which Kapoor plays the husband rather than the lover, and the pattern is becoming a type: he is the decent man occupying a place another man vacated, and his dramatic function is to be generous and then to doubt. Kamini's final act, shooting the poet to protect the husband, is the strongest female action in the batch.</t>
        </is>
      </c>
      <c r="AR34" s="19" t="inlineStr">
        <is>
          <t>Rajesh's renunciation, undertaken to spare Kamini the cruelties of widowhood, disposes of her future without consulting her, and the film presents it as sacrifice rather than presumption. Her hostility toward him is the most reasonable position anyone in the film holds, and the plot rewards it by making her the one who must fire.</t>
        </is>
      </c>
      <c r="AS34" s="5" t="inlineStr">
        <is>
          <t>SOURCE-001; SOURCE-042</t>
        </is>
      </c>
      <c r="AT34" s="5" t="inlineStr">
        <is>
          <t>Medium</t>
        </is>
      </c>
    </row>
    <row r="35" ht="109" customHeight="1">
      <c r="A35" s="15" t="inlineStr">
        <is>
          <t>PAIR-034</t>
        </is>
      </c>
      <c r="B35" s="18" t="inlineStr">
        <is>
          <t>FILM-055</t>
        </is>
      </c>
      <c r="C35" s="5" t="inlineStr">
        <is>
          <t>Salaakhen</t>
        </is>
      </c>
      <c r="D35" s="17" t="n">
        <v>1975</v>
      </c>
      <c r="E35" s="5" t="inlineStr">
        <is>
          <t>Raju</t>
        </is>
      </c>
      <c r="F35" s="5" t="inlineStr">
        <is>
          <t>Sulakshana Pandit</t>
        </is>
      </c>
      <c r="G35" s="5" t="inlineStr">
        <is>
          <t>Guddi, later Seema</t>
        </is>
      </c>
      <c r="H35" s="5" t="inlineStr">
        <is>
          <t>Female lead</t>
        </is>
      </c>
      <c r="I35" s="5" t="inlineStr">
        <is>
          <t>Yes</t>
        </is>
      </c>
      <c r="J35" s="19" t="inlineStr">
        <is>
          <t>Friendship to love</t>
        </is>
      </c>
      <c r="K35" s="5" t="inlineStr">
        <is>
          <t>Inseparable childhood neighbours, parted when his father is arrested</t>
        </is>
      </c>
      <c r="L35" s="5" t="inlineStr">
        <is>
          <t>They are childhood friends and neighbours; years later they meet again as adults under different names, neither recognising the other.</t>
        </is>
      </c>
      <c r="M35" s="5" t="inlineStr">
        <is>
          <t>Mutual</t>
        </is>
      </c>
      <c r="N35" s="19" t="inlineStr">
        <is>
          <t>A second courtship between two people who were once inseparable and do not know it, each living under an assumed name.</t>
        </is>
      </c>
      <c r="O35" s="19" t="inlineStr">
        <is>
          <t>Immediate mutual attraction carrying an unrecognised history underneath it.</t>
        </is>
      </c>
      <c r="P35" s="19" t="inlineStr">
        <is>
          <t>Both are living false identities, and he is travelling to her birthplace to have himself jailed for a gangster's fee.</t>
        </is>
      </c>
      <c r="Q35" s="20" t="n">
        <v>3</v>
      </c>
      <c r="R35" s="19" t="inlineStr">
        <is>
          <t>No antagonism between them is recorded. The instability is in the concealment on both sides rather than in conflict, and the article's plot summary ends before the recognition forces anything.</t>
        </is>
      </c>
      <c r="S35" s="20" t="n">
        <v>6</v>
      </c>
      <c r="T35" s="5" t="inlineStr">
        <is>
          <t>Family; Crime; Fate</t>
        </is>
      </c>
      <c r="U35" s="19" t="inlineStr">
        <is>
          <t>His father's arrest for burglary separated them as children and set his own course as a thief. The gangster's commission that takes him toward jail, and the separate lives and names they have built, are the standing obstacles.</t>
        </is>
      </c>
      <c r="V35" s="20" t="n">
        <v>6</v>
      </c>
      <c r="W35" s="19" t="inlineStr">
        <is>
          <t>A romantic lead in a crime picture: the attachment is genuine and gives the character his only reason to leave the criminal errand, but the role is a card sharp and thief first, and the film's second half is a jail plot rather than a courtship.</t>
        </is>
      </c>
      <c r="X35" s="20" t="n">
        <v>8</v>
      </c>
      <c r="Y35" s="20" t="n">
        <v>6</v>
      </c>
      <c r="Z35" s="20" t="n">
        <v>7</v>
      </c>
      <c r="AA35" s="20" t="n">
        <v>5</v>
      </c>
      <c r="AB35" s="20" t="n">
        <v>6</v>
      </c>
      <c r="AC35" s="19" t="inlineStr">
        <is>
          <t>Interpretive reading; no fetched review assesses this pairing. The reunion-without-recognition premise gives the pairing a built-in warmth that the playing does not have to manufacture; Sulakshana Pandit, primarily a singer, is given a performer's role that suits her.</t>
        </is>
      </c>
      <c r="AD35" s="5" t="inlineStr">
        <is>
          <t>Yes</t>
        </is>
      </c>
      <c r="AE35" s="5" t="inlineStr">
        <is>
          <t>No</t>
        </is>
      </c>
      <c r="AF35" s="5" t="inlineStr">
        <is>
          <t>No</t>
        </is>
      </c>
      <c r="AG35" s="5" t="inlineStr">
        <is>
          <t>Yes</t>
        </is>
      </c>
      <c r="AH35" s="5" t="inlineStr">
        <is>
          <t>Yes</t>
        </is>
      </c>
      <c r="AI35" s="5" t="inlineStr">
        <is>
          <t>Partial</t>
        </is>
      </c>
      <c r="AJ35" s="5" t="inlineStr">
        <is>
          <t>Partial</t>
        </is>
      </c>
      <c r="AK35" s="19" t="inlineStr">
        <is>
          <t>Begun rather than completed: Seema gives the thief a reason to abandon the commission he is travelling to fulfil.</t>
        </is>
      </c>
      <c r="AL35" s="19" t="inlineStr">
        <is>
          <t>Guddi becomes Seema, a professional stage singer and dancer, and is travelling to her birthplace on a religious errand when they meet.</t>
        </is>
      </c>
      <c r="AM35" s="5" t="inlineStr">
        <is>
          <t>Not stated; the article's plot summary ends with both journeys still in progress.</t>
        </is>
      </c>
      <c r="AN35" s="5" t="inlineStr">
        <is>
          <t>Unclear</t>
        </is>
      </c>
      <c r="AO35" s="5" t="n"/>
      <c r="AP35" s="5" t="n"/>
      <c r="AQ35" s="19" t="inlineStr">
        <is>
          <t>The childhood-separation-and-reunion device, common in the period's family melodramas, applied to a romance rather than to siblings. Both halves of the couple have changed names and classes, which makes the mutual non-recognition symmetrical, unusual in a filmography where the concealed identity is normally the man's alone.</t>
        </is>
      </c>
      <c r="AR35" s="19" t="inlineStr">
        <is>
          <t>The film's symmetry is its most modern feature: Seema is not waiting to be discovered but has built a career and a name of her own, and the recognition when it comes will cost her as much as him. The plot summary does not reach the point where either has to answer for the concealment.</t>
        </is>
      </c>
      <c r="AS35" s="5" t="inlineStr">
        <is>
          <t>SOURCE-001; SOURCE-044</t>
        </is>
      </c>
      <c r="AT35" s="5" t="inlineStr">
        <is>
          <t>Low</t>
        </is>
      </c>
    </row>
    <row r="36" ht="94" customHeight="1">
      <c r="A36" s="15" t="inlineStr">
        <is>
          <t>PAIR-035</t>
        </is>
      </c>
      <c r="B36" s="18" t="inlineStr">
        <is>
          <t>FILM-057</t>
        </is>
      </c>
      <c r="C36" s="5" t="inlineStr">
        <is>
          <t>Koi Jeeta Koi Haara</t>
        </is>
      </c>
      <c r="D36" s="17" t="n">
        <v>1976</v>
      </c>
      <c r="E36" s="5" t="inlineStr">
        <is>
          <t>Ajit</t>
        </is>
      </c>
      <c r="F36" s="5" t="inlineStr">
        <is>
          <t>Saira Banu</t>
        </is>
      </c>
      <c r="G36" s="5" t="inlineStr">
        <is>
          <t>Sonali</t>
        </is>
      </c>
      <c r="H36" s="5" t="inlineStr">
        <is>
          <t>Female lead</t>
        </is>
      </c>
      <c r="I36" s="5" t="inlineStr">
        <is>
          <t>Yes</t>
        </is>
      </c>
      <c r="J36" s="19" t="inlineStr">
        <is>
          <t>Tragic lovers</t>
        </is>
      </c>
      <c r="K36" s="5" t="inlineStr">
        <is>
          <t>A gang leader and a young woman, an attachment the film calls unexpected</t>
        </is>
      </c>
      <c r="L36" s="5" t="inlineStr">
        <is>
          <t>Not specified; Ajit, a notorious gang leader, unexpectedly falls in love with Sonali.</t>
        </is>
      </c>
      <c r="M36" s="5" t="inlineStr">
        <is>
          <t>Ajit</t>
        </is>
      </c>
      <c r="N36" s="19" t="inlineStr">
        <is>
          <t>Not documented beyond the fact of the attachment.</t>
        </is>
      </c>
      <c r="O36" s="19" t="inlineStr">
        <is>
          <t>Not documented; the summary records the attachment and then its interruption.</t>
        </is>
      </c>
      <c r="P36" s="19" t="inlineStr">
        <is>
          <t>None between them. They are separated by an assassination attempt and a false report of his death.</t>
        </is>
      </c>
      <c r="Q36" s="20" t="n">
        <v>2</v>
      </c>
      <c r="R36" s="19" t="inlineStr">
        <is>
          <t>No conflict between the pair is recorded. What ends the relationship is Sonali's reasonable belief that Ajit is dead, not anything either does to the other.</t>
        </is>
      </c>
      <c r="S36" s="20" t="n">
        <v>8</v>
      </c>
      <c r="T36" s="5" t="inlineStr">
        <is>
          <t>Villain; Crime; Fate</t>
        </is>
      </c>
      <c r="U36" s="19" t="inlineStr">
        <is>
          <t>An enemy attempts to kill Ajit, and the belief that the attempt succeeded is what leads Sonali to marry another man. The criminal world he belongs to is the direct cause of the separation.</t>
        </is>
      </c>
      <c r="V36" s="20" t="n">
        <v>5</v>
      </c>
      <c r="W36" s="19" t="inlineStr">
        <is>
          <t>The attachment is presented as the one unexpected thing about a hardened gang leader, which gives the role a romantic dimension, but the film's second movement is revenge rather than love, and the summary records no attempt to recover her.</t>
        </is>
      </c>
      <c r="X36" s="20" t="n">
        <v>7</v>
      </c>
      <c r="Y36" s="20" t="n">
        <v>5</v>
      </c>
      <c r="Z36" s="20" t="n">
        <v>5</v>
      </c>
      <c r="AA36" s="20" t="n">
        <v>4</v>
      </c>
      <c r="AB36" s="20" t="n">
        <v>5</v>
      </c>
      <c r="AC36" s="19" t="inlineStr">
        <is>
          <t>Interpretive reading; no fetched review assesses this pairing, and the article gives four sentences of plot with no character mappings in its cast list. The score is a low-confidence default reflecting the absence of any evidence either way.</t>
        </is>
      </c>
      <c r="AD36" s="5" t="inlineStr">
        <is>
          <t>Unclear</t>
        </is>
      </c>
      <c r="AE36" s="5" t="inlineStr">
        <is>
          <t>No</t>
        </is>
      </c>
      <c r="AF36" s="5" t="inlineStr">
        <is>
          <t>Unclear</t>
        </is>
      </c>
      <c r="AG36" s="5" t="inlineStr">
        <is>
          <t>No</t>
        </is>
      </c>
      <c r="AH36" s="5" t="inlineStr">
        <is>
          <t>Yes</t>
        </is>
      </c>
      <c r="AI36" s="5" t="inlineStr">
        <is>
          <t>Unclear</t>
        </is>
      </c>
      <c r="AJ36" s="5" t="inlineStr">
        <is>
          <t>No</t>
        </is>
      </c>
      <c r="AK36" s="19" t="inlineStr">
        <is>
          <t>From a gangster softened by an unlikely attachment to one returning for revenge once it is gone.</t>
        </is>
      </c>
      <c r="AL36" s="19" t="inlineStr">
        <is>
          <t>Sonali believes Ajit dead and marries another man.</t>
        </is>
      </c>
      <c r="AM36" s="5" t="inlineStr">
        <is>
          <t>Lost. She is married to someone else when he returns, and he turns to revenge instead.</t>
        </is>
      </c>
      <c r="AN36" s="5" t="inlineStr">
        <is>
          <t>No</t>
        </is>
      </c>
      <c r="AO36" s="5" t="inlineStr">
        <is>
          <t>Tragic</t>
        </is>
      </c>
      <c r="AP36" s="5" t="n"/>
      <c r="AQ36" s="19" t="inlineStr">
        <is>
          <t>A thin row, entered because the attachment and its loss are both explicitly stated and are the engine of the plot. The identification of the actress rests on billing order rather than on a sourced character mapping, which is recorded in the film's research notes and reflected in the confidence grade.</t>
        </is>
      </c>
      <c r="AR36" s="19" t="inlineStr">
        <is>
          <t>Too little is documented for a developed reading. The structure, a woman who remarries in good faith and is then found by the returning man she mourned, is a standard of the period and usually resolved at her expense; this summary does not say how it resolves here.</t>
        </is>
      </c>
      <c r="AS36" s="5" t="inlineStr">
        <is>
          <t>SOURCE-001; SOURCE-049</t>
        </is>
      </c>
      <c r="AT36" s="5" t="inlineStr">
        <is>
          <t>Low</t>
        </is>
      </c>
    </row>
    <row r="37" ht="154" customHeight="1">
      <c r="A37" s="15" t="inlineStr">
        <is>
          <t>PAIR-036</t>
        </is>
      </c>
      <c r="B37" s="18" t="inlineStr">
        <is>
          <t>FILM-059</t>
        </is>
      </c>
      <c r="C37" s="5" t="inlineStr">
        <is>
          <t>Aap Beati</t>
        </is>
      </c>
      <c r="D37" s="17" t="n">
        <v>1976</v>
      </c>
      <c r="E37" s="5" t="inlineStr">
        <is>
          <t>Ranjit</t>
        </is>
      </c>
      <c r="F37" s="5" t="inlineStr">
        <is>
          <t>Hema Malini</t>
        </is>
      </c>
      <c r="G37" s="5" t="inlineStr">
        <is>
          <t>Geeta Kapoor</t>
        </is>
      </c>
      <c r="H37" s="5" t="inlineStr">
        <is>
          <t>Female lead</t>
        </is>
      </c>
      <c r="I37" s="5" t="inlineStr">
        <is>
          <t>Yes</t>
        </is>
      </c>
      <c r="J37" s="19" t="inlineStr">
        <is>
          <t>Forbidden love</t>
        </is>
      </c>
      <c r="K37" s="5" t="inlineStr">
        <is>
          <t>In love and intending to marry when the plot reaches them</t>
        </is>
      </c>
      <c r="L37" s="5" t="inlineStr">
        <is>
          <t>Not dramatised; Geeta confides to her sister-in-law that she has met Ranjeet and that they love each other and want to marry.</t>
        </is>
      </c>
      <c r="M37" s="5" t="inlineStr">
        <is>
          <t>Mutual</t>
        </is>
      </c>
      <c r="N37" s="19" t="inlineStr">
        <is>
          <t>Settled before the film addresses it; the drama is entirely in the opposition that follows.</t>
        </is>
      </c>
      <c r="O37" s="19" t="inlineStr">
        <is>
          <t>Mutual and approved by her family, then driven apart by his father's ultimatum and his subsequent destitution.</t>
        </is>
      </c>
      <c r="P37" s="19" t="inlineStr">
        <is>
          <t>None between them. Ranjeet refuses the match his father demands and is disinherited for it.</t>
        </is>
      </c>
      <c r="Q37" s="20" t="n">
        <v>2</v>
      </c>
      <c r="R37" s="19" t="inlineStr">
        <is>
          <t>The couple are aligned throughout and no quarrel is recorded. What separates them is his father's ultimatum and the poverty that follows it, together with the catastrophe that overtakes her household while she is away.</t>
        </is>
      </c>
      <c r="S37" s="20" t="n">
        <v>8</v>
      </c>
      <c r="T37" s="5" t="inlineStr">
        <is>
          <t>Family; Class</t>
        </is>
      </c>
      <c r="U37" s="19" t="inlineStr">
        <is>
          <t>Mayadas orders Ranjeet to marry a wealthy man's daughter and throws him out when he refuses. In parallel Geeta's own family collapses: her brother is persuaded by his wife to abandon their parents and the loans, her father dies, and her mother is blinded in a fire while she is in Paris.</t>
        </is>
      </c>
      <c r="V37" s="20" t="n">
        <v>7</v>
      </c>
      <c r="W37" s="19" t="inlineStr">
        <is>
          <t>Ranjeet gives up an inheritance rather than marry the woman his father has chosen, which is rebellion for love and the core of the archetype. The score is held below the top band because the film's weight is on Geeta and her parents, and because his destitution turns him toward crime rather than toward pursuit.</t>
        </is>
      </c>
      <c r="X37" s="20" t="n">
        <v>7</v>
      </c>
      <c r="Y37" s="20" t="n">
        <v>6</v>
      </c>
      <c r="Z37" s="20" t="n">
        <v>7</v>
      </c>
      <c r="AA37" s="20" t="n">
        <v>6</v>
      </c>
      <c r="AB37" s="20" t="n">
        <v>6</v>
      </c>
      <c r="AC37" s="19" t="inlineStr">
        <is>
          <t>A retrospective notice for The Hindu holds that the film depends heavily on Hema Malini's splendid screen presence and that she is complimented in equal measure by Shashi Kapoor, who gives a trademark graceful performance. That is an evenly weighted assessment of the two performances rather than a judgement on the courtship, which the film keeps largely offscreen, so the score of 6 stands, now with a source behind it.</t>
        </is>
      </c>
      <c r="AD37" s="5" t="inlineStr">
        <is>
          <t>Unclear</t>
        </is>
      </c>
      <c r="AE37" s="5" t="inlineStr">
        <is>
          <t>No</t>
        </is>
      </c>
      <c r="AF37" s="5" t="inlineStr">
        <is>
          <t>No</t>
        </is>
      </c>
      <c r="AG37" s="5" t="inlineStr">
        <is>
          <t>No</t>
        </is>
      </c>
      <c r="AH37" s="5" t="inlineStr">
        <is>
          <t>Yes</t>
        </is>
      </c>
      <c r="AI37" s="5" t="inlineStr">
        <is>
          <t>Yes</t>
        </is>
      </c>
      <c r="AJ37" s="5" t="inlineStr">
        <is>
          <t>Partial</t>
        </is>
      </c>
      <c r="AK37" s="19" t="inlineStr">
        <is>
          <t>From a wealthy man's son who chooses love over an inheritance to a deadbeat contemplating crime to stay alive.</t>
        </is>
      </c>
      <c r="AL37" s="19" t="inlineStr">
        <is>
          <t>Geeta returns from three weeks abroad to a dead father, a blinded mother and a destitute fiance, having been the family's support throughout.</t>
        </is>
      </c>
      <c r="AM37" s="5" t="inlineStr">
        <is>
          <t>Not resolved at the point the article's plot summary reaches.</t>
        </is>
      </c>
      <c r="AN37" s="5" t="inlineStr">
        <is>
          <t>Unclear</t>
        </is>
      </c>
      <c r="AO37" s="5" t="n"/>
      <c r="AP37" s="5" t="n"/>
      <c r="AQ37" s="19" t="inlineStr">
        <is>
          <t>The disinheritance plot in its straightforward form, and notable for making the sacrifice costly rather than symbolic: Ranjeet refuses the arranged marriage and the film then shows him reduced to considering crime, instead of restoring him. Geeta is the family's earner throughout, which gives her a standing the romance itself does not.</t>
        </is>
      </c>
      <c r="AR37" s="19" t="inlineStr">
        <is>
          <t>The film's sympathy is with the children who support their parents and against the son who abandons them, and the romance is subordinate to that argument. Geeta's labour is what sustains the household before and after, but her three weeks in Paris are positioned as the interval during which everything goes wrong, which sits awkwardly with the film's own approval of her career.</t>
        </is>
      </c>
      <c r="AS37" s="5" t="inlineStr">
        <is>
          <t>SOURCE-001; SOURCE-051; SOURCE-358</t>
        </is>
      </c>
      <c r="AT37" s="5" t="inlineStr">
        <is>
          <t>Low</t>
        </is>
      </c>
    </row>
    <row r="38" ht="109" customHeight="1">
      <c r="A38" s="15" t="inlineStr">
        <is>
          <t>PAIR-037</t>
        </is>
      </c>
      <c r="B38" s="18" t="inlineStr">
        <is>
          <t>FILM-060</t>
        </is>
      </c>
      <c r="C38" s="5" t="inlineStr">
        <is>
          <t>Kabhi Kabhie</t>
        </is>
      </c>
      <c r="D38" s="17" t="n">
        <v>1976</v>
      </c>
      <c r="E38" s="5" t="inlineStr">
        <is>
          <t>Vijay Khanna</t>
        </is>
      </c>
      <c r="F38" s="5" t="inlineStr">
        <is>
          <t>Raakhee</t>
        </is>
      </c>
      <c r="G38" s="5" t="inlineStr">
        <is>
          <t>Pooja Khanna</t>
        </is>
      </c>
      <c r="H38" s="5" t="inlineStr">
        <is>
          <t>Female lead</t>
        </is>
      </c>
      <c r="I38" s="5" t="inlineStr">
        <is>
          <t>Yes</t>
        </is>
      </c>
      <c r="J38" s="19" t="inlineStr">
        <is>
          <t>Established relationship</t>
        </is>
      </c>
      <c r="K38" s="5" t="inlineStr">
        <is>
          <t>An arranged marriage made against the bride's wishes</t>
        </is>
      </c>
      <c r="L38" s="5" t="inlineStr">
        <is>
          <t>Pooja's parents arrange her marriage to Vijay, an architect, against her wishes and while she is in love with the poet Amit.</t>
        </is>
      </c>
      <c r="M38" s="5" t="inlineStr">
        <is>
          <t>Neither; the families arrange it</t>
        </is>
      </c>
      <c r="N38" s="19" t="inlineStr">
        <is>
          <t>None. The marriage is the starting point, and the relationship is built over twenty years of ordinary life.</t>
        </is>
      </c>
      <c r="O38" s="19" t="inlineStr">
        <is>
          <t>Affectionate, comfortable and materially settled, resting on a foundation Vijay does not know the shape of.</t>
        </is>
      </c>
      <c r="P38" s="19" t="inlineStr">
        <is>
          <t>Pooja's first attachment, which surfaces when she introduces Amit on her television programme and Vijay begins to work out what he is looking at.</t>
        </is>
      </c>
      <c r="Q38" s="20" t="n">
        <v>4</v>
      </c>
      <c r="R38" s="19" t="inlineStr">
        <is>
          <t>Two decades of harmony disturbed by a recognition rather than a quarrel. Vijay does not accuse Pooja; his anger, when it comes, is directed at Amit, and the discomfort between husband and wife is unspoken.</t>
        </is>
      </c>
      <c r="S38" s="20" t="n">
        <v>6</v>
      </c>
      <c r="T38" s="5" t="inlineStr">
        <is>
          <t>Existing relationship; Family</t>
        </is>
      </c>
      <c r="U38" s="19" t="inlineStr">
        <is>
          <t>Amit's prior claim is inside the marriage from the wedding night, when Vijay unknowingly gives Pooja his rival's book of poems. The parents who arranged the match over her objection created the situation, and the second generation's crisis over Pinky's parentage brings both couples together again.</t>
        </is>
      </c>
      <c r="V38" s="20" t="n">
        <v>4</v>
      </c>
      <c r="W38" s="19" t="inlineStr">
        <is>
          <t>Vijay is a husband, not a suitor: no courtship, no pursuit, no rebellion. He is generous, admiring of his wife's first love without knowing it, and eventually wounded. The film's lover-boy is Amit, and Kapoor plays the man who benefited from that romance failing.</t>
        </is>
      </c>
      <c r="X38" s="20" t="n">
        <v>8</v>
      </c>
      <c r="Y38" s="20" t="n">
        <v>6</v>
      </c>
      <c r="Z38" s="20" t="n">
        <v>6</v>
      </c>
      <c r="AA38" s="20" t="n">
        <v>6</v>
      </c>
      <c r="AB38" s="20" t="n">
        <v>7</v>
      </c>
      <c r="AC38" s="19" t="inlineStr">
        <is>
          <t>Interpretive reading; no fetched review assesses this pairing. Kapoor and Raakhee, in their fourth film together, play twenty years of marriage with an ease that makes the arrangement look chosen, which is what the film needs if Vijay's late discovery is to land.</t>
        </is>
      </c>
      <c r="AD38" s="5" t="inlineStr">
        <is>
          <t>Yes</t>
        </is>
      </c>
      <c r="AE38" s="5" t="inlineStr">
        <is>
          <t>Partial</t>
        </is>
      </c>
      <c r="AF38" s="5" t="inlineStr">
        <is>
          <t>Yes</t>
        </is>
      </c>
      <c r="AG38" s="5" t="inlineStr">
        <is>
          <t>Partial</t>
        </is>
      </c>
      <c r="AH38" s="5" t="inlineStr">
        <is>
          <t>No</t>
        </is>
      </c>
      <c r="AI38" s="5" t="inlineStr">
        <is>
          <t>Yes</t>
        </is>
      </c>
      <c r="AJ38" s="5" t="inlineStr">
        <is>
          <t>Yes</t>
        </is>
      </c>
      <c r="AK38" s="19" t="inlineStr">
        <is>
          <t>From an untroubled husband to one who understands what his marriage was built on, and decides to go on with it.</t>
        </is>
      </c>
      <c r="AL38" s="19" t="inlineStr">
        <is>
          <t>Pooja moves from a young woman married against her wishes to a public figure who introduces her first love to an audience, and back into the marriage.</t>
        </is>
      </c>
      <c r="AM38" s="5" t="inlineStr">
        <is>
          <t>The marriage holds through the reappearance of Amit and the crisis over Pinky's parentage.</t>
        </is>
      </c>
      <c r="AN38" s="5" t="inlineStr">
        <is>
          <t>Yes</t>
        </is>
      </c>
      <c r="AO38" s="5" t="inlineStr">
        <is>
          <t>Happy</t>
        </is>
      </c>
      <c r="AP38" s="5" t="n"/>
      <c r="AQ38" s="19" t="inlineStr">
        <is>
          <t>The exact inversion of Jab Jab Phool Khile: there Kapoor is the man a woman defies her father to take, here the man a father hands her to over her objection. The film is unusual in Hindi cinema for staying with the arranged marriage rather than dissolving it, and for making the husband sympathetic enough that the audience does not want it dissolved.</t>
        </is>
      </c>
      <c r="AR38" s="19" t="inlineStr">
        <is>
          <t>The film's generosity to Vijay is real but it is also how it avoids its own question: Pooja was married against her wishes, and the resolution asks her to be content rather than asking whether the marriage should have been made. The wedding-night gift of Amit's poems is the sharpest image in the filmography of a woman handed her own loss by a man who means it kindly.</t>
        </is>
      </c>
      <c r="AS38" s="5" t="inlineStr">
        <is>
          <t>SOURCE-001; SOURCE-045</t>
        </is>
      </c>
      <c r="AT38" s="5" t="inlineStr">
        <is>
          <t>Medium</t>
        </is>
      </c>
    </row>
    <row r="39" ht="109" customHeight="1">
      <c r="A39" s="15" t="inlineStr">
        <is>
          <t>PAIR-038</t>
        </is>
      </c>
      <c r="B39" s="18" t="inlineStr">
        <is>
          <t>FILM-062</t>
        </is>
      </c>
      <c r="C39" s="5" t="inlineStr">
        <is>
          <t>Fakira</t>
        </is>
      </c>
      <c r="D39" s="17" t="n">
        <v>1976</v>
      </c>
      <c r="E39" s="5" t="inlineStr">
        <is>
          <t>Vijay (Fakira)</t>
        </is>
      </c>
      <c r="F39" s="5" t="inlineStr">
        <is>
          <t>Shabana Azmi</t>
        </is>
      </c>
      <c r="G39" s="5" t="inlineStr">
        <is>
          <t>Neeta, working as Geeta</t>
        </is>
      </c>
      <c r="H39" s="5" t="inlineStr">
        <is>
          <t>Female lead</t>
        </is>
      </c>
      <c r="I39" s="5" t="inlineStr">
        <is>
          <t>Yes</t>
        </is>
      </c>
      <c r="J39" s="19" t="inlineStr">
        <is>
          <t>Relationship damaged by mistrust</t>
        </is>
      </c>
      <c r="K39" s="5" t="inlineStr">
        <is>
          <t>A gang leader and the policewoman who has infiltrated his gang</t>
        </is>
      </c>
      <c r="L39" s="5" t="inlineStr">
        <is>
          <t>Neeta, a police officer, goes undercover into the criminal group Vijay runs as Fakira.</t>
        </is>
      </c>
      <c r="M39" s="5" t="inlineStr">
        <is>
          <t>Mutual, inside her cover</t>
        </is>
      </c>
      <c r="N39" s="19" t="inlineStr">
        <is>
          <t>A courtship conducted entirely inside an operation, with the woman holding the deception rather than the man.</t>
        </is>
      </c>
      <c r="O39" s="19" t="inlineStr">
        <is>
          <t>Genuine attachment on both sides, undercut by her purpose and by a second woman's suspicion of her.</t>
        </is>
      </c>
      <c r="P39" s="19" t="inlineStr">
        <is>
          <t>She is there to destroy his organisation, and Neelam is working to expose her.</t>
        </is>
      </c>
      <c r="Q39" s="20" t="n">
        <v>5</v>
      </c>
      <c r="R39" s="19" t="inlineStr">
        <is>
          <t>The deception is structural and irreducible: every scene between them is an operation for her. The article records no quarrel, but a relationship in which one partner is an undercover officer cannot be scored as low-friction.</t>
        </is>
      </c>
      <c r="S39" s="20" t="n">
        <v>6</v>
      </c>
      <c r="T39" s="5" t="inlineStr">
        <is>
          <t>Existing relationship; Crime; Villain</t>
        </is>
      </c>
      <c r="U39" s="19" t="inlineStr">
        <is>
          <t>Neelam loves Vijay and distrusts Neeta on that account, working against her inside the gang. Around them are Vijay's criminal position, the brother-enemy Toofan, and Chiman Lal.</t>
        </is>
      </c>
      <c r="V39" s="20" t="n">
        <v>5</v>
      </c>
      <c r="W39" s="19" t="inlineStr">
        <is>
          <t>The romance softens a criminal and gives the film its emotional line, but Vijay's identity is organised around the gang and the unrecognised brother rather than around courtship. He is a romantic lead in an action picture, not a devotee.</t>
        </is>
      </c>
      <c r="X39" s="20" t="n">
        <v>7</v>
      </c>
      <c r="Y39" s="20" t="n">
        <v>5</v>
      </c>
      <c r="Z39" s="20" t="n">
        <v>6</v>
      </c>
      <c r="AA39" s="20" t="n">
        <v>8</v>
      </c>
      <c r="AB39" s="20" t="n">
        <v>6</v>
      </c>
      <c r="AC39" s="19" t="inlineStr">
        <is>
          <t>Interpretive reading; no fetched review assesses this pairing. Shabana Azmi, a year into a career built on parallel cinema, plays the undercover officer with more reserve than the genre expects, which gives the attachment an ambiguity the writing does not supply.</t>
        </is>
      </c>
      <c r="AD39" s="5" t="inlineStr">
        <is>
          <t>Partial</t>
        </is>
      </c>
      <c r="AE39" s="5" t="inlineStr">
        <is>
          <t>Partial</t>
        </is>
      </c>
      <c r="AF39" s="5" t="inlineStr">
        <is>
          <t>Yes</t>
        </is>
      </c>
      <c r="AG39" s="5" t="inlineStr">
        <is>
          <t>Yes</t>
        </is>
      </c>
      <c r="AH39" s="5" t="inlineStr">
        <is>
          <t>Unclear</t>
        </is>
      </c>
      <c r="AI39" s="5" t="inlineStr">
        <is>
          <t>Unclear</t>
        </is>
      </c>
      <c r="AJ39" s="5" t="inlineStr">
        <is>
          <t>No</t>
        </is>
      </c>
      <c r="AK39" s="19" t="inlineStr">
        <is>
          <t>Not stated by the article's plot summary.</t>
        </is>
      </c>
      <c r="AL39" s="19" t="inlineStr">
        <is>
          <t>Not stated; the summary does not record whether Neeta completes her assignment.</t>
        </is>
      </c>
      <c r="AM39" s="5" t="inlineStr">
        <is>
          <t>Not stated by the article's plot summary.</t>
        </is>
      </c>
      <c r="AN39" s="5" t="inlineStr">
        <is>
          <t>Unclear</t>
        </is>
      </c>
      <c r="AO39" s="5" t="n"/>
      <c r="AP39" s="5" t="n"/>
      <c r="AQ39" s="19" t="inlineStr">
        <is>
          <t>Unusual in the filmography for putting the deception on the woman's side: Kapoor's characters routinely conceal an identity from the heroine, and here a policewoman conceals hers from him. Female agency is scored high because Neeta drives the plot rather than reacting to it, which is rare in his commercial films of this decade.</t>
        </is>
      </c>
      <c r="AR39" s="19" t="inlineStr">
        <is>
          <t>The undercover premise gives the heroine a profession and a purpose, but the film routes the tension through a second woman's jealousy rather than through the moral problem of the deception itself. Neelam's distrust of Neeta is correct on the facts and is nonetheless framed as possessiveness.</t>
        </is>
      </c>
      <c r="AS39" s="5" t="inlineStr">
        <is>
          <t>SOURCE-001; SOURCE-047</t>
        </is>
      </c>
      <c r="AT39" s="5" t="inlineStr">
        <is>
          <t>Low</t>
        </is>
      </c>
    </row>
    <row r="40" ht="94" customHeight="1">
      <c r="A40" s="15" t="inlineStr">
        <is>
          <t>PAIR-039</t>
        </is>
      </c>
      <c r="B40" s="18" t="inlineStr">
        <is>
          <t>FILM-066</t>
        </is>
      </c>
      <c r="C40" s="5" t="inlineStr">
        <is>
          <t>Chakkar Pe Chakkar</t>
        </is>
      </c>
      <c r="D40" s="17" t="n">
        <v>1977</v>
      </c>
      <c r="E40" s="5" t="inlineStr">
        <is>
          <t>Ravi Kumar</t>
        </is>
      </c>
      <c r="F40" s="5" t="inlineStr">
        <is>
          <t>Rekha</t>
        </is>
      </c>
      <c r="G40" s="5" t="inlineStr">
        <is>
          <t>Sheila Sahini</t>
        </is>
      </c>
      <c r="H40" s="5" t="inlineStr">
        <is>
          <t>Female lead</t>
        </is>
      </c>
      <c r="I40" s="5" t="inlineStr">
        <is>
          <t>Yes</t>
        </is>
      </c>
      <c r="J40" s="19" t="inlineStr">
        <is>
          <t>Romance subordinate to another genre</t>
        </is>
      </c>
      <c r="K40" s="5" t="inlineStr">
        <is>
          <t>An established attachment; the article calls her his sweetheart</t>
        </is>
      </c>
      <c r="L40" s="5" t="inlineStr">
        <is>
          <t>Not dramatised; Sheila is Ravi's sweetheart when the plot begins.</t>
        </is>
      </c>
      <c r="M40" s="5" t="inlineStr">
        <is>
          <t>Not recorded</t>
        </is>
      </c>
      <c r="N40" s="19" t="inlineStr">
        <is>
          <t>No courtship is shown. The relationship exists to give the murder plot something to threaten.</t>
        </is>
      </c>
      <c r="O40" s="19" t="inlineStr">
        <is>
          <t>Not developed; the storyline records the attachment and then puts her in danger.</t>
        </is>
      </c>
      <c r="P40" s="19" t="inlineStr">
        <is>
          <t>None between them.</t>
        </is>
      </c>
      <c r="Q40" s="20" t="n">
        <v>2</v>
      </c>
      <c r="R40" s="19" t="inlineStr">
        <is>
          <t>No conflict is recorded between Ravi and Sheila anywhere in the article's storyline section. The score reflects the absence of friction in a relationship the film does not examine.</t>
        </is>
      </c>
      <c r="S40" s="20" t="n">
        <v>7</v>
      </c>
      <c r="T40" s="5" t="inlineStr">
        <is>
          <t>Villain; Crime</t>
        </is>
      </c>
      <c r="U40" s="19" t="inlineStr">
        <is>
          <t>Swami Hari Om, the fraudulent godman Ravi's film was made to expose, discovers he is alive and abducts both his mother and Sheila, which is the crisis the storyline ends on.</t>
        </is>
      </c>
      <c r="V40" s="20" t="n">
        <v>4</v>
      </c>
      <c r="W40" s="19" t="inlineStr">
        <is>
          <t>Ravi is a film star running from a murder charge, and the romance is a hostage rather than a pursuit. There is no courtship, devotion or sacrifice recorded; the relationship functions as leverage against him.</t>
        </is>
      </c>
      <c r="X40" s="20" t="n">
        <v>5</v>
      </c>
      <c r="Y40" s="20" t="n">
        <v>6</v>
      </c>
      <c r="Z40" s="20" t="n">
        <v>5</v>
      </c>
      <c r="AA40" s="20" t="n">
        <v>3</v>
      </c>
      <c r="AB40" s="20" t="n">
        <v>5</v>
      </c>
      <c r="AC40" s="19" t="inlineStr">
        <is>
          <t>Interpretive reading; no fetched review assesses this pairing. The first of five Kapoor and Rekha films in three years, and the one that gives them least to play, since the storyline keeps Sheila offscreen until she is taken.</t>
        </is>
      </c>
      <c r="AD40" s="5" t="inlineStr">
        <is>
          <t>Unclear</t>
        </is>
      </c>
      <c r="AE40" s="5" t="inlineStr">
        <is>
          <t>No</t>
        </is>
      </c>
      <c r="AF40" s="5" t="inlineStr">
        <is>
          <t>No</t>
        </is>
      </c>
      <c r="AG40" s="5" t="inlineStr">
        <is>
          <t>Partial</t>
        </is>
      </c>
      <c r="AH40" s="5" t="inlineStr">
        <is>
          <t>Yes</t>
        </is>
      </c>
      <c r="AI40" s="5" t="inlineStr">
        <is>
          <t>Unclear</t>
        </is>
      </c>
      <c r="AJ40" s="5" t="inlineStr">
        <is>
          <t>No</t>
        </is>
      </c>
      <c r="AK40" s="19" t="inlineStr">
        <is>
          <t>None attributable to the relationship.</t>
        </is>
      </c>
      <c r="AL40" s="19" t="inlineStr">
        <is>
          <t>None recorded.</t>
        </is>
      </c>
      <c r="AM40" s="5" t="inlineStr">
        <is>
          <t>Not stated; the storyline ends with Sheila and Ravi's mother abducted.</t>
        </is>
      </c>
      <c r="AN40" s="5" t="inlineStr">
        <is>
          <t>Unclear</t>
        </is>
      </c>
      <c r="AO40" s="5" t="n"/>
      <c r="AP40" s="5" t="n"/>
      <c r="AQ40" s="19" t="inlineStr">
        <is>
          <t>A clear instance of the heroine-as-hostage pattern that recurs through Kapoor's action films of the late 1970s: the romance is established in a phrase, and its only narrative function is to be seized by the villain in the third act. Female agency is scored accordingly.</t>
        </is>
      </c>
      <c r="AR40" s="19" t="inlineStr">
        <is>
          <t>The film gives Sheila no part in its own plot beyond being taken, and pairs her abduction with the hero's mother's, which is precisely how the period's masala cinema ranks the women around its protagonist.</t>
        </is>
      </c>
      <c r="AS40" s="5" t="inlineStr">
        <is>
          <t>SOURCE-001; SOURCE-058</t>
        </is>
      </c>
      <c r="AT40" s="5" t="inlineStr">
        <is>
          <t>Low</t>
        </is>
      </c>
    </row>
    <row r="41" ht="169" customHeight="1">
      <c r="A41" s="15" t="inlineStr">
        <is>
          <t>PAIR-040</t>
        </is>
      </c>
      <c r="B41" s="18" t="inlineStr">
        <is>
          <t>FILM-068</t>
        </is>
      </c>
      <c r="C41" s="5" t="inlineStr">
        <is>
          <t>Mukti</t>
        </is>
      </c>
      <c r="D41" s="17" t="n">
        <v>1977</v>
      </c>
      <c r="E41" s="5" t="inlineStr">
        <is>
          <t>Kailash Sharma</t>
        </is>
      </c>
      <c r="F41" s="5" t="inlineStr">
        <is>
          <t>Vidya Sinha</t>
        </is>
      </c>
      <c r="G41" s="5" t="inlineStr">
        <is>
          <t>Seema K. Sharma</t>
        </is>
      </c>
      <c r="H41" s="5" t="inlineStr">
        <is>
          <t>Female lead</t>
        </is>
      </c>
      <c r="I41" s="5" t="inlineStr">
        <is>
          <t>Yes</t>
        </is>
      </c>
      <c r="J41" s="19" t="inlineStr">
        <is>
          <t>Marriage under strain</t>
        </is>
      </c>
      <c r="K41" s="5" t="inlineStr">
        <is>
          <t>Married with a young daughter when the film opens</t>
        </is>
      </c>
      <c r="L41" s="5" t="inlineStr">
        <is>
          <t>Not dramatised; they are married at the point of his conviction.</t>
        </is>
      </c>
      <c r="M41" s="5" t="inlineStr">
        <is>
          <t>Not recorded</t>
        </is>
      </c>
      <c r="N41" s="19" t="inlineStr">
        <is>
          <t>No courtship. The relationship is a marriage being dismantled by a criminal sentence and then reopened fourteen years later.</t>
        </is>
      </c>
      <c r="O41" s="19" t="inlineStr">
        <is>
          <t>Loyalty surviving a conviction, a presumed execution, a second marriage and fourteen years.</t>
        </is>
      </c>
      <c r="P41" s="19" t="inlineStr">
        <is>
          <t>He instructs her to take their daughter and start again, and then reappears alive into the life she built on that instruction.</t>
        </is>
      </c>
      <c r="Q41" s="20" t="n">
        <v>4</v>
      </c>
      <c r="R41" s="19" t="inlineStr">
        <is>
          <t>Not antagonism but an impossible position, and one he creates twice: first by telling her to go, then by coming to Bombay. The friction is in the situation rather than in anything either says, and the summary records no quarrel.</t>
        </is>
      </c>
      <c r="S41" s="20" t="n">
        <v>8</v>
      </c>
      <c r="T41" s="5" t="inlineStr">
        <is>
          <t>Crime; Family; Fate</t>
        </is>
      </c>
      <c r="U41" s="19" t="inlineStr">
        <is>
          <t>A conviction for molestation and murder, a death sentence upheld through two appeals and then commuted without her knowledge, fourteen years of separation, and Seema's second marriage to Ratan, whom she befriended and married in good faith.</t>
        </is>
      </c>
      <c r="V41" s="20" t="n">
        <v>4</v>
      </c>
      <c r="W41" s="19" t="inlineStr">
        <is>
          <t>The role is a husband and a convict, not a suitor. Its romantic content is renunciation, deciding not to disturb a family that appears happy, which is devotion of a kind but is expressed entirely as withdrawal.</t>
        </is>
      </c>
      <c r="X41" s="20" t="n">
        <v>9</v>
      </c>
      <c r="Y41" s="20" t="n">
        <v>5</v>
      </c>
      <c r="Z41" s="20" t="n">
        <v>6</v>
      </c>
      <c r="AA41" s="20" t="n">
        <v>6</v>
      </c>
      <c r="AB41" s="20" t="n">
        <v>7</v>
      </c>
      <c r="AC41" s="19" t="inlineStr">
        <is>
          <t>A retrospective notice for The Hindu assesses this pairing directly and favourably: Kapoor and Vidya Sinha form an attractive pair and perform convincingly, the romantic scenes between them still look fresh, and Kapoor's natural charm with her and Sanjeev Kumar's acting prowess breathed life into an otherwise average film. Raised from an interpretive 6 to 7; this is one of only a handful of Kapoor pairings with a sourced reading.</t>
        </is>
      </c>
      <c r="AD41" s="5" t="inlineStr">
        <is>
          <t>No</t>
        </is>
      </c>
      <c r="AE41" s="5" t="inlineStr">
        <is>
          <t>Partial</t>
        </is>
      </c>
      <c r="AF41" s="5" t="inlineStr">
        <is>
          <t>Partial</t>
        </is>
      </c>
      <c r="AG41" s="5" t="inlineStr">
        <is>
          <t>Partial</t>
        </is>
      </c>
      <c r="AH41" s="5" t="inlineStr">
        <is>
          <t>Yes</t>
        </is>
      </c>
      <c r="AI41" s="5" t="inlineStr">
        <is>
          <t>Yes</t>
        </is>
      </c>
      <c r="AJ41" s="5" t="inlineStr">
        <is>
          <t>No</t>
        </is>
      </c>
      <c r="AK41" s="19" t="inlineStr">
        <is>
          <t>From a condemned man giving instructions to his wife to one who decides his existence would only damage her.</t>
        </is>
      </c>
      <c r="AL41" s="19" t="inlineStr">
        <is>
          <t>Seema rebuilds a life by sewing, remarries, raises their daughter, and then seeks out the husband she believed executed.</t>
        </is>
      </c>
      <c r="AM41" s="5" t="inlineStr">
        <is>
          <t>Her secret visit to him sets off the chain of events the summary says changes all their lives.</t>
        </is>
      </c>
      <c r="AN41" s="5" t="inlineStr">
        <is>
          <t>Partial</t>
        </is>
      </c>
      <c r="AO41" s="5" t="inlineStr">
        <is>
          <t>Unresolved</t>
        </is>
      </c>
      <c r="AP41" s="5" t="n"/>
      <c r="AQ41" s="19" t="inlineStr">
        <is>
          <t>A marriage examined across a fourteen-year gap and a bigamous situation neither partner created, and one of the few pairings in the filmography where the obstacle is the legal system rather than a father or a villain. It belongs with The Householder and Abhinetri in the group where Kapoor plays a husband and the drama is domestic.</t>
        </is>
      </c>
      <c r="AR41" s="19" t="inlineStr">
        <is>
          <t>The film's sympathy is with the husband's restraint, while Seema is the one who actually bore the consequences, raising a child alone on piecework before remarrying. That she is the one who breaks the impasse by seeking him out is the most interesting decision in the plot, and the summary treats it as the trigger for the men's crisis rather than as hers.</t>
        </is>
      </c>
      <c r="AS41" s="5" t="inlineStr">
        <is>
          <t>SOURCE-001; SOURCE-054; SOURCE-360</t>
        </is>
      </c>
      <c r="AT41" s="5" t="inlineStr">
        <is>
          <t>Medium</t>
        </is>
      </c>
    </row>
    <row r="42" ht="109" customHeight="1">
      <c r="A42" s="15" t="inlineStr">
        <is>
          <t>PAIR-041</t>
        </is>
      </c>
      <c r="B42" s="18" t="inlineStr">
        <is>
          <t>FILM-069</t>
        </is>
      </c>
      <c r="C42" s="5" t="inlineStr">
        <is>
          <t>Doosra Aadmi</t>
        </is>
      </c>
      <c r="D42" s="17" t="n">
        <v>1977</v>
      </c>
      <c r="E42" s="5" t="inlineStr">
        <is>
          <t>Shashi Saigal</t>
        </is>
      </c>
      <c r="F42" s="5" t="inlineStr">
        <is>
          <t>Raakhee</t>
        </is>
      </c>
      <c r="G42" s="5" t="inlineStr">
        <is>
          <t>Nisha</t>
        </is>
      </c>
      <c r="H42" s="5" t="inlineStr">
        <is>
          <t>Female lead of the film</t>
        </is>
      </c>
      <c r="I42" s="5" t="inlineStr">
        <is>
          <t>Yes</t>
        </is>
      </c>
      <c r="J42" s="19" t="inlineStr">
        <is>
          <t>Tragic lovers</t>
        </is>
      </c>
      <c r="K42" s="5" t="inlineStr">
        <is>
          <t>Lovers, before the film's present action</t>
        </is>
      </c>
      <c r="L42" s="5" t="inlineStr">
        <is>
          <t>Not dramatised; the relationship predates the story and is ended by his death.</t>
        </is>
      </c>
      <c r="M42" s="5" t="inlineStr">
        <is>
          <t>Not recorded</t>
        </is>
      </c>
      <c r="N42" s="19" t="inlineStr">
        <is>
          <t>Not shown. The relationship exists in Nisha's memory and in the resemblance she finds in another man.</t>
        </is>
      </c>
      <c r="O42" s="19" t="inlineStr">
        <is>
          <t>An attachment strong enough that its loss makes her a recluse and its echo in a stranger reopens everything.</t>
        </is>
      </c>
      <c r="P42" s="19" t="inlineStr">
        <is>
          <t>None recorded; the relationship is ended by death rather than by conflict.</t>
        </is>
      </c>
      <c r="Q42" s="20" t="n">
        <v>1</v>
      </c>
      <c r="R42" s="19" t="inlineStr">
        <is>
          <t>No conflict between the pair is recorded. What the film examines is the aftermath of the relationship rather than the relationship, and nothing in it suggests discord.</t>
        </is>
      </c>
      <c r="S42" s="20" t="n">
        <v>6</v>
      </c>
      <c r="T42" s="5" t="inlineStr">
        <is>
          <t>Fate</t>
        </is>
      </c>
      <c r="U42" s="19" t="inlineStr">
        <is>
          <t>Shashi Saigal's death, described as tragic, is the whole of the opposition and it is absolute. Everything the film contains happens because of it.</t>
        </is>
      </c>
      <c r="V42" s="20" t="n">
        <v>5</v>
      </c>
      <c r="W42" s="19" t="inlineStr">
        <is>
          <t>Kapoor's presence is a cameo and the character is dead before the action, so there is no courtship or devotion to score. He is scored at the midpoint because the entire film is organised around his having been loved, which is the archetype's afterlife rather than its performance.</t>
        </is>
      </c>
      <c r="X42" s="20" t="n">
        <v>8</v>
      </c>
      <c r="Y42" s="20" t="n">
        <v>7</v>
      </c>
      <c r="Z42" s="20" t="n">
        <v>7</v>
      </c>
      <c r="AA42" s="20" t="n">
        <v>7</v>
      </c>
      <c r="AB42" s="20" t="n">
        <v>6</v>
      </c>
      <c r="AC42" s="19" t="inlineStr">
        <is>
          <t>Interpretive reading; no fetched review assesses this pairing, and the part is a cameo with limited screen time. What the film requires is that the audience accept the attachment as formative for Nisha, which the casting of an established star in a brief role efficiently supplies.</t>
        </is>
      </c>
      <c r="AD42" s="5" t="inlineStr">
        <is>
          <t>Unclear</t>
        </is>
      </c>
      <c r="AE42" s="5" t="inlineStr">
        <is>
          <t>No</t>
        </is>
      </c>
      <c r="AF42" s="5" t="inlineStr">
        <is>
          <t>No</t>
        </is>
      </c>
      <c r="AG42" s="5" t="inlineStr">
        <is>
          <t>No</t>
        </is>
      </c>
      <c r="AH42" s="5" t="inlineStr">
        <is>
          <t>Yes</t>
        </is>
      </c>
      <c r="AI42" s="5" t="inlineStr">
        <is>
          <t>No</t>
        </is>
      </c>
      <c r="AJ42" s="5" t="inlineStr">
        <is>
          <t>Unclear</t>
        </is>
      </c>
      <c r="AK42" s="19" t="inlineStr">
        <is>
          <t>None; the character is fixed in the past.</t>
        </is>
      </c>
      <c r="AL42" s="19" t="inlineStr">
        <is>
          <t>Nisha moves from seclusion after his death to taking work with a man who reminds her of him, which is where the film's actual problem begins.</t>
        </is>
      </c>
      <c r="AM42" s="5" t="inlineStr">
        <is>
          <t>Ended by his death before the film's present action.</t>
        </is>
      </c>
      <c r="AN42" s="5" t="inlineStr">
        <is>
          <t>No</t>
        </is>
      </c>
      <c r="AO42" s="5" t="inlineStr">
        <is>
          <t>Tragic</t>
        </is>
      </c>
      <c r="AP42" s="5" t="n"/>
      <c r="AQ42" s="19" t="inlineStr">
        <is>
          <t>Included because the relationship is the film's premise rather than a detail: Doosra Aadmi, meaning the second man, is about a woman seeing a dead lover in a living one. The row records a relationship with far more narrative weight than Kapoor's screen time, which is precisely the distinction between billing and importance this project is built to track.</t>
        </is>
      </c>
      <c r="AR42" s="19" t="inlineStr">
        <is>
          <t>The film is unusually interested in a woman's grief as an active force rather than a state to be cured by a new man, and Nisha's pursuit of Karan is treated as a problem she creates rather than a reward she is owed. Kapoor's character, being dead, is idealised by construction, which is the point.</t>
        </is>
      </c>
      <c r="AS42" s="5" t="inlineStr">
        <is>
          <t>SOURCE-001; SOURCE-055</t>
        </is>
      </c>
      <c r="AT42" s="5" t="inlineStr">
        <is>
          <t>Medium</t>
        </is>
      </c>
    </row>
    <row r="43" ht="124" customHeight="1">
      <c r="A43" s="15" t="inlineStr">
        <is>
          <t>PAIR-042</t>
        </is>
      </c>
      <c r="B43" s="18" t="inlineStr">
        <is>
          <t>FILM-072</t>
        </is>
      </c>
      <c r="C43" s="5" t="inlineStr">
        <is>
          <t>Trishna</t>
        </is>
      </c>
      <c r="D43" s="17" t="n">
        <v>1978</v>
      </c>
      <c r="E43" s="5" t="inlineStr">
        <is>
          <t>Vinod</t>
        </is>
      </c>
      <c r="F43" s="5" t="inlineStr">
        <is>
          <t>Raakhee</t>
        </is>
      </c>
      <c r="G43" s="5" t="inlineStr">
        <is>
          <t>Aarti Gupta</t>
        </is>
      </c>
      <c r="H43" s="5" t="inlineStr">
        <is>
          <t>Female lead</t>
        </is>
      </c>
      <c r="I43" s="5" t="inlineStr">
        <is>
          <t>Yes</t>
        </is>
      </c>
      <c r="J43" s="19" t="inlineStr">
        <is>
          <t>Obsessive pursuit</t>
        </is>
      </c>
      <c r="K43" s="5" t="inlineStr">
        <is>
          <t>Former college acquaintances; she is married to another man</t>
        </is>
      </c>
      <c r="L43" s="5" t="inlineStr">
        <is>
          <t>Vinod is hired by Aarti's sister to decorate the Khandala bungalow where Aarti is staying alone, and she remembers him from college.</t>
        </is>
      </c>
      <c r="M43" s="5" t="inlineStr">
        <is>
          <t>Vinod, and against her wishes</t>
        </is>
      </c>
      <c r="N43" s="19" t="inlineStr">
        <is>
          <t>Not courtship but pursuit: he spends time with her on the strength of the old acquaintance, establishes that she is unaccompanied, and presses himself on her.</t>
        </is>
      </c>
      <c r="O43" s="19" t="inlineStr">
        <is>
          <t>Familiarity exploited into threat, ending in a physical struggle.</t>
        </is>
      </c>
      <c r="P43" s="19" t="inlineStr">
        <is>
          <t>He will not accept refusal from a married woman who is alone, and she kills him resisting.</t>
        </is>
      </c>
      <c r="Q43" s="20" t="n">
        <v>9</v>
      </c>
      <c r="R43" s="19" t="inlineStr">
        <is>
          <t>The highest friction score in the filmography to this point, and it is not a quarrel: the relationship is a pursuit the woman ends by killing the man. The article describes an intense scuffle in which Aarti accidentally kills Vinod, which places the pairing at the destructive end of the scale.</t>
        </is>
      </c>
      <c r="S43" s="20" t="n">
        <v>4</v>
      </c>
      <c r="T43" s="5" t="inlineStr">
        <is>
          <t>Existing relationship</t>
        </is>
      </c>
      <c r="U43" s="19" t="inlineStr">
        <is>
          <t>Aarti's marriage to Dr. Sunil Gupta is the standing fact Vinod is working against, and it is also, through his medical care of the amnesiac Vinod, what brings the threat back into the house.</t>
        </is>
      </c>
      <c r="V43" s="20" t="n">
        <v>1</v>
      </c>
      <c r="W43" s="19" t="inlineStr">
        <is>
          <t>The opposite of the archetype. There is no courtship, devotion or sacrifice; the character identifies a woman's isolation as an opportunity and acts on it. Scored at the floor of the scale rather than zero only because the film frames his interest as attraction rather than pure predation.</t>
        </is>
      </c>
      <c r="X43" s="20" t="n">
        <v>8</v>
      </c>
      <c r="Y43" s="20" t="n">
        <v>1</v>
      </c>
      <c r="Z43" s="20" t="n">
        <v>1</v>
      </c>
      <c r="AA43" s="20" t="n">
        <v>8</v>
      </c>
      <c r="AB43" s="20" t="n">
        <v>5</v>
      </c>
      <c r="AC43" s="19" t="inlineStr">
        <is>
          <t>Interpretive reading; no fetched review assesses this pairing, though Raakhee was nominated for the Filmfare Best Actress award for the film. What the pairing requires is menace rather than warmth, and casting an actor with Kapoor's established romantic image as the predator is the film's sharpest decision.</t>
        </is>
      </c>
      <c r="AD43" s="5" t="inlineStr">
        <is>
          <t>No</t>
        </is>
      </c>
      <c r="AE43" s="5" t="inlineStr">
        <is>
          <t>Yes</t>
        </is>
      </c>
      <c r="AF43" s="5" t="inlineStr">
        <is>
          <t>No</t>
        </is>
      </c>
      <c r="AG43" s="5" t="inlineStr">
        <is>
          <t>Yes</t>
        </is>
      </c>
      <c r="AH43" s="5" t="inlineStr">
        <is>
          <t>Yes</t>
        </is>
      </c>
      <c r="AI43" s="5" t="inlineStr">
        <is>
          <t>No</t>
        </is>
      </c>
      <c r="AJ43" s="5" t="inlineStr">
        <is>
          <t>No</t>
        </is>
      </c>
      <c r="AK43" s="19" t="inlineStr">
        <is>
          <t>From an old college acquaintance to an assailant to an amnesiac whose recovery threatens the women who buried him.</t>
        </is>
      </c>
      <c r="AL43" s="19" t="inlineStr">
        <is>
          <t>Aarti moves from a lonely, childless wife to a woman who has killed her assailant and must conceal it, and then live with his return.</t>
        </is>
      </c>
      <c r="AM43" s="5" t="inlineStr">
        <is>
          <t>She kills him; he survives without memory and is brought back into her home by her own husband.</t>
        </is>
      </c>
      <c r="AN43" s="5" t="inlineStr">
        <is>
          <t>No</t>
        </is>
      </c>
      <c r="AO43" s="5" t="inlineStr">
        <is>
          <t>Unresolved</t>
        </is>
      </c>
      <c r="AP43" s="5" t="n"/>
      <c r="AQ43" s="19" t="inlineStr">
        <is>
          <t>The single most important row in this batch for the project's analytical purpose. Kapoor's romantic persona is built on being the safe, courteous suitor, and Trishna inverts it completely: the same charm is used to isolate a married woman, and the film gives her the killing rather than a rescue. The scores invert with it, with friction at nine and lover-boy at one.</t>
        </is>
      </c>
      <c r="AR43" s="19" t="inlineStr">
        <is>
          <t>The film's own framing calls the death accidental and makes the women's concealment the source of suspense, which places the audience's anxiety with the killer rather than with the victim. By a modern reading that is the correct sympathy, and the film arrives at it almost in spite of its thriller mechanics: Aarti is defending herself in her own house, and the plot's threat is that her assailant will remember.</t>
        </is>
      </c>
      <c r="AS43" s="5" t="inlineStr">
        <is>
          <t>SOURCE-001; SOURCE-064</t>
        </is>
      </c>
      <c r="AT43" s="5" t="inlineStr">
        <is>
          <t>Medium</t>
        </is>
      </c>
    </row>
    <row r="44" ht="169" customHeight="1">
      <c r="A44" s="15" t="inlineStr">
        <is>
          <t>PAIR-043</t>
        </is>
      </c>
      <c r="B44" s="18" t="inlineStr">
        <is>
          <t>FILM-076</t>
        </is>
      </c>
      <c r="C44" s="5" t="inlineStr">
        <is>
          <t>Satyam Shivam Sundaram</t>
        </is>
      </c>
      <c r="D44" s="17" t="n">
        <v>1978</v>
      </c>
      <c r="E44" s="5" t="inlineStr">
        <is>
          <t>Rajiv</t>
        </is>
      </c>
      <c r="F44" s="5" t="inlineStr">
        <is>
          <t>Zeenat Aman</t>
        </is>
      </c>
      <c r="G44" s="5" t="inlineStr">
        <is>
          <t>Roopa</t>
        </is>
      </c>
      <c r="H44" s="5" t="inlineStr">
        <is>
          <t>Female lead</t>
        </is>
      </c>
      <c r="I44" s="5" t="inlineStr">
        <is>
          <t>Yes</t>
        </is>
      </c>
      <c r="J44" s="19" t="inlineStr">
        <is>
          <t>Marriage under strain</t>
        </is>
      </c>
      <c r="K44" s="5" t="inlineStr">
        <is>
          <t>A village priest's daughter and the engineer posted to build the dam</t>
        </is>
      </c>
      <c r="L44" s="5" t="inlineStr">
        <is>
          <t>Rajeev hears Roopa singing hymns at the village temple and meets her without seeing the burned right side of her face, which she keeps behind her sari.</t>
        </is>
      </c>
      <c r="M44" s="5" t="inlineStr">
        <is>
          <t>Rajeev</t>
        </is>
      </c>
      <c r="N44" s="19" t="inlineStr">
        <is>
          <t>A courtship conducted on a partial view: he falls in love with a voice and a half-seen face, and asks her father for her before he has seen her whole.</t>
        </is>
      </c>
      <c r="O44" s="19" t="inlineStr">
        <is>
          <t>Adoration on his side resting on a misapprehension, and love on hers compromised by the knowledge that he has not seen what he is marrying.</t>
        </is>
      </c>
      <c r="P44" s="19" t="inlineStr">
        <is>
          <t>He discovers the scarring after the wedding, decides he has been cheated, disowns her, and then takes a veiled mistress who is the same woman.</t>
        </is>
      </c>
      <c r="Q44" s="20" t="n">
        <v>8</v>
      </c>
      <c r="R44" s="19" t="inlineStr">
        <is>
          <t>Severe and sustained damage originating entirely between the couple: he drives her out on the wedding night, ignores her by day while loving her disguised by night, accuses her of infidelity when she becomes pregnant by him, and shames her publicly. Her father dies of the disgrace.</t>
        </is>
      </c>
      <c r="S44" s="20" t="n">
        <v>5</v>
      </c>
      <c r="T44" s="5" t="inlineStr">
        <is>
          <t>Family; Community; Fate</t>
        </is>
      </c>
      <c r="U44" s="19" t="inlineStr">
        <is>
          <t>The childhood accident that scarred her, the village's pressure on her to accept the proposal despite her own misgivings, and her father's complicity in not disclosing the scarring. The obstacles set the trap but the cruelty is Rajeev's own.</t>
        </is>
      </c>
      <c r="V44" s="20" t="n">
        <v>5</v>
      </c>
      <c r="W44" s="19" t="inlineStr">
        <is>
          <t>The film is a romance and Rajeev's pursuit drives the first act, so the romantic apparatus is fully present, but what the character actually does is reject, conceal and accuse. Scored at the midpoint because the role is a romantic lead in form and its opposite in conduct.</t>
        </is>
      </c>
      <c r="X44" s="20" t="n">
        <v>10</v>
      </c>
      <c r="Y44" s="20" t="n">
        <v>2</v>
      </c>
      <c r="Z44" s="20" t="n">
        <v>4</v>
      </c>
      <c r="AA44" s="20" t="n">
        <v>5</v>
      </c>
      <c r="AB44" s="20" t="n">
        <v>4</v>
      </c>
      <c r="AC44" s="19" t="inlineStr">
        <is>
          <t>The Hindu's Blast from the Past notice assesses the two performances rather than their interaction, and is dismissive of both: Kapoor is a wonderful mannequin for a hero and a glorified extra masquerading as a hero, while the film is a showcase of Zeenat Aman's powers of seduction, her voice, her figure and her limited, quite limited acting potential. No sentence addresses the couple as a couple, so this is a sourced reading of the performers only; lowered from 6 to 4.</t>
        </is>
      </c>
      <c r="AD44" s="5" t="inlineStr">
        <is>
          <t>No</t>
        </is>
      </c>
      <c r="AE44" s="5" t="inlineStr">
        <is>
          <t>Yes</t>
        </is>
      </c>
      <c r="AF44" s="5" t="inlineStr">
        <is>
          <t>Yes</t>
        </is>
      </c>
      <c r="AG44" s="5" t="inlineStr">
        <is>
          <t>Yes</t>
        </is>
      </c>
      <c r="AH44" s="5" t="inlineStr">
        <is>
          <t>Yes</t>
        </is>
      </c>
      <c r="AI44" s="5" t="inlineStr">
        <is>
          <t>Yes</t>
        </is>
      </c>
      <c r="AJ44" s="5" t="inlineStr">
        <is>
          <t>No</t>
        </is>
      </c>
      <c r="AK44" s="19" t="inlineStr">
        <is>
          <t>From a man who cannot tolerate ugliness to one confronted with having loved, rejected, and impregnated the same woman without recognising her.</t>
        </is>
      </c>
      <c r="AL44" s="19" t="inlineStr">
        <is>
          <t>Roopa moves from concealment to a marriage she warned against, through rejection and a double life as her own husband's mistress, to a vow never to return to him on those terms.</t>
        </is>
      </c>
      <c r="AM44" s="5" t="inlineStr">
        <is>
          <t>Unresolved at the point of the storm, with the identity of wife and mistress collapsing together.</t>
        </is>
      </c>
      <c r="AN44" s="5" t="inlineStr">
        <is>
          <t>Yes</t>
        </is>
      </c>
      <c r="AO44" s="5" t="inlineStr">
        <is>
          <t>Unresolved</t>
        </is>
      </c>
      <c r="AP44" s="5" t="n"/>
      <c r="AQ44" s="19" t="inlineStr">
        <is>
          <t>The lowest relationship-health score in the filmography so far, in a film with the highest possible romance centrality. It is also the clearest case of the distinction this project insists on between a film being about a relationship and that relationship being healthy: Satyam Shivam Sundaram is entirely about a marriage, and the marriage is an atrocity.</t>
        </is>
      </c>
      <c r="AR44" s="19" t="inlineStr">
        <is>
          <t>The film presents Rajeev's inability to see his wife as a spiritual failing to be corrected, and asks the audience to want the marriage restored. A modern reading finds a husband who evicts his disfigured wife, keeps her as a veiled mistress, and publicly accuses her of adultery over his own child; the film's celebrated aesthetic of the beautiful suffering woman is itself part of what it fails to examine, and its article carries a controversy section on that ground.</t>
        </is>
      </c>
      <c r="AS44" s="5" t="inlineStr">
        <is>
          <t>SOURCE-001; SOURCE-061; SOURCE-361</t>
        </is>
      </c>
      <c r="AT44" s="5" t="inlineStr">
        <is>
          <t>Medium</t>
        </is>
      </c>
    </row>
    <row r="45" ht="109" customHeight="1">
      <c r="A45" s="15" t="inlineStr">
        <is>
          <t>PAIR-044</t>
        </is>
      </c>
      <c r="B45" s="18" t="inlineStr">
        <is>
          <t>FILM-077</t>
        </is>
      </c>
      <c r="C45" s="5" t="inlineStr">
        <is>
          <t>Aahuti</t>
        </is>
      </c>
      <c r="D45" s="17" t="n">
        <v>1978</v>
      </c>
      <c r="E45" s="5" t="inlineStr">
        <is>
          <t>Laxman Prasad</t>
        </is>
      </c>
      <c r="F45" s="5" t="inlineStr">
        <is>
          <t>Parveen Babi</t>
        </is>
      </c>
      <c r="G45" s="5" t="inlineStr">
        <is>
          <t>Rekha</t>
        </is>
      </c>
      <c r="H45" s="5" t="inlineStr">
        <is>
          <t>Supporting female lead</t>
        </is>
      </c>
      <c r="I45" s="5" t="inlineStr">
        <is>
          <t>No</t>
        </is>
      </c>
      <c r="J45" s="19" t="inlineStr">
        <is>
          <t>Romance subordinate to another genre</t>
        </is>
      </c>
      <c r="K45" s="5" t="inlineStr">
        <is>
          <t>Fellow workers at the same factory</t>
        </is>
      </c>
      <c r="L45" s="5" t="inlineStr">
        <is>
          <t>They work together at the factory making lead shielding containers; the article identifies her as a fellow worker and his love interest.</t>
        </is>
      </c>
      <c r="M45" s="5" t="inlineStr">
        <is>
          <t>Not recorded</t>
        </is>
      </c>
      <c r="N45" s="19" t="inlineStr">
        <is>
          <t>Not dramatised in the article's account; the relationship is established as a fact and then pays off when she saves him from the police.</t>
        </is>
      </c>
      <c r="O45" s="19" t="inlineStr">
        <is>
          <t>A working partnership that is also an attachment, with her taking the active role at the crisis.</t>
        </is>
      </c>
      <c r="P45" s="19" t="inlineStr">
        <is>
          <t>None recorded between them.</t>
        </is>
      </c>
      <c r="Q45" s="20" t="n">
        <v>2</v>
      </c>
      <c r="R45" s="19" t="inlineStr">
        <is>
          <t>No conflict between the pair appears anywhere in the article's plot account. Their scenes are cooperative, and her decisive act in the film is on his behalf.</t>
        </is>
      </c>
      <c r="S45" s="20" t="n">
        <v>5</v>
      </c>
      <c r="T45" s="5" t="inlineStr">
        <is>
          <t>Crime; Villain</t>
        </is>
      </c>
      <c r="U45" s="19" t="inlineStr">
        <is>
          <t>Heeralal's gang, which destroyed Laxman's family and now wants the uranium shielding his factory produces, and the police pursuit from which Rekha extracts him.</t>
        </is>
      </c>
      <c r="V45" s="20" t="n">
        <v>4</v>
      </c>
      <c r="W45" s="19" t="inlineStr">
        <is>
          <t>The romance is a secondary thread in a film about three separated brothers and a smuggling ring. Laxman is defined by his work and his family history rather than by courtship, and the relationship is stated more than shown.</t>
        </is>
      </c>
      <c r="X45" s="20" t="n">
        <v>4</v>
      </c>
      <c r="Y45" s="20" t="n">
        <v>7</v>
      </c>
      <c r="Z45" s="20" t="n">
        <v>7</v>
      </c>
      <c r="AA45" s="20" t="n">
        <v>7</v>
      </c>
      <c r="AB45" s="20" t="n">
        <v>6</v>
      </c>
      <c r="AC45" s="19" t="inlineStr">
        <is>
          <t>Interpretive reading; no fetched review assesses this pairing. The relationship is given little screen time in an unusually crowded plot, but it is written as a partnership between equals at the same workplace, which is rarer in this filmography than its brevity suggests.</t>
        </is>
      </c>
      <c r="AD45" s="5" t="inlineStr">
        <is>
          <t>Unclear</t>
        </is>
      </c>
      <c r="AE45" s="5" t="inlineStr">
        <is>
          <t>No</t>
        </is>
      </c>
      <c r="AF45" s="5" t="inlineStr">
        <is>
          <t>No</t>
        </is>
      </c>
      <c r="AG45" s="5" t="inlineStr">
        <is>
          <t>No</t>
        </is>
      </c>
      <c r="AH45" s="5" t="inlineStr">
        <is>
          <t>No</t>
        </is>
      </c>
      <c r="AI45" s="5" t="inlineStr">
        <is>
          <t>Yes</t>
        </is>
      </c>
      <c r="AJ45" s="5" t="inlineStr">
        <is>
          <t>Yes</t>
        </is>
      </c>
      <c r="AK45" s="19" t="inlineStr">
        <is>
          <t>None attributable to the relationship.</t>
        </is>
      </c>
      <c r="AL45" s="19" t="inlineStr">
        <is>
          <t>None recorded, though she acts decisively in saving him from arrest.</t>
        </is>
      </c>
      <c r="AM45" s="5" t="inlineStr">
        <is>
          <t>Not separately resolved; the plot summary ends inside the convergence on Heeralal.</t>
        </is>
      </c>
      <c r="AN45" s="5" t="inlineStr">
        <is>
          <t>Unclear</t>
        </is>
      </c>
      <c r="AO45" s="5" t="n"/>
      <c r="AP45" s="5" t="n"/>
      <c r="AQ45" s="19" t="inlineStr">
        <is>
          <t>A minor romance, but worth recording for one feature: the woman and the man are colleagues at the same factory and she is the one who acts at the decisive moment. Against the batch's dominant patterns, hostage heroines and fathers with vetoes, a working partnership with no class gap and no paternal objection stands out.</t>
        </is>
      </c>
      <c r="AR45" s="19" t="inlineStr">
        <is>
          <t>The relationship is too briefly drawn to carry much reading, but its shape is notable in a film whose other romance, the brother Ram's pursuit of Kusum, begins as a deliberate deception to steal from her father and is then converted into love.</t>
        </is>
      </c>
      <c r="AS45" s="5" t="inlineStr">
        <is>
          <t>SOURCE-001; SOURCE-069</t>
        </is>
      </c>
      <c r="AT45" s="5" t="inlineStr">
        <is>
          <t>Low</t>
        </is>
      </c>
    </row>
    <row r="46" ht="109" customHeight="1">
      <c r="A46" s="15" t="inlineStr">
        <is>
          <t>PAIR-045</t>
        </is>
      </c>
      <c r="B46" s="18" t="inlineStr">
        <is>
          <t>FILM-078</t>
        </is>
      </c>
      <c r="C46" s="5" t="inlineStr">
        <is>
          <t>Trishul</t>
        </is>
      </c>
      <c r="D46" s="17" t="n">
        <v>1978</v>
      </c>
      <c r="E46" s="5" t="inlineStr">
        <is>
          <t>Shekhar Gupta</t>
        </is>
      </c>
      <c r="F46" s="5" t="inlineStr">
        <is>
          <t>Hema Malini</t>
        </is>
      </c>
      <c r="G46" s="5" t="inlineStr">
        <is>
          <t>Sheetal Verma</t>
        </is>
      </c>
      <c r="H46" s="5" t="inlineStr">
        <is>
          <t>Female lead</t>
        </is>
      </c>
      <c r="I46" s="5" t="inlineStr">
        <is>
          <t>Partial</t>
        </is>
      </c>
      <c r="J46" s="19" t="inlineStr">
        <is>
          <t>Romance subordinate to another genre</t>
        </is>
      </c>
      <c r="K46" s="5" t="inlineStr">
        <is>
          <t>Established: she is his girlfriend when he returns from abroad</t>
        </is>
      </c>
      <c r="L46" s="5" t="inlineStr">
        <is>
          <t>Not dramatised; Sheetal, daughter and general manager of P. L. Verma, is already Shekhar's girlfriend.</t>
        </is>
      </c>
      <c r="M46" s="5" t="inlineStr">
        <is>
          <t>Not recorded</t>
        </is>
      </c>
      <c r="N46" s="19" t="inlineStr">
        <is>
          <t>No courtship. The relationship is settled and is then used as an instrument by a third party.</t>
        </is>
      </c>
      <c r="O46" s="19" t="inlineStr">
        <is>
          <t>Comfortable and largely untested until Vijay begins working on it deliberately.</t>
        </is>
      </c>
      <c r="P46" s="19" t="inlineStr">
        <is>
          <t>Vijay sets out to create differences between them as part of his campaign against the family.</t>
        </is>
      </c>
      <c r="Q46" s="20" t="n">
        <v>4</v>
      </c>
      <c r="R46" s="19" t="inlineStr">
        <is>
          <t>The couple have no quarrel of their own. Such strain as develops is manufactured by Vijay for commercial leverage, and the article records the attempt rather than a rupture.</t>
        </is>
      </c>
      <c r="S46" s="20" t="n">
        <v>6</v>
      </c>
      <c r="T46" s="5" t="inlineStr">
        <is>
          <t>Family; Existing relationship</t>
        </is>
      </c>
      <c r="U46" s="19" t="inlineStr">
        <is>
          <t>Vijay's campaign against the Gupta family, which includes deliberately trying to divide Shekhar and Sheetal, and the business rivalry between her father's company and both sides.</t>
        </is>
      </c>
      <c r="V46" s="20" t="n">
        <v>3</v>
      </c>
      <c r="W46" s="19" t="inlineStr">
        <is>
          <t>Shekhar is a businessman inside a revenge plot; the romance is settled before the film starts and never becomes his motivation. Nothing he does in the film is done for Sheetal, and the emotional weight of Trishul is entirely fraternal and paternal.</t>
        </is>
      </c>
      <c r="X46" s="20" t="n">
        <v>5</v>
      </c>
      <c r="Y46" s="20" t="n">
        <v>7</v>
      </c>
      <c r="Z46" s="20" t="n">
        <v>6</v>
      </c>
      <c r="AA46" s="20" t="n">
        <v>7</v>
      </c>
      <c r="AB46" s="20" t="n">
        <v>6</v>
      </c>
      <c r="AC46" s="19" t="inlineStr">
        <is>
          <t>Interpretive reading; no fetched review assesses this pairing. Hema Malini's Sheetal is written as a company's general manager rather than a decorative fiancee, which gives the pairing a professional register, but the film's real energy is between Bachchan, Sanjeev Kumar and Kapoor.</t>
        </is>
      </c>
      <c r="AD46" s="5" t="inlineStr">
        <is>
          <t>Yes</t>
        </is>
      </c>
      <c r="AE46" s="5" t="inlineStr">
        <is>
          <t>Partial</t>
        </is>
      </c>
      <c r="AF46" s="5" t="inlineStr">
        <is>
          <t>Partial</t>
        </is>
      </c>
      <c r="AG46" s="5" t="inlineStr">
        <is>
          <t>Yes</t>
        </is>
      </c>
      <c r="AH46" s="5" t="inlineStr">
        <is>
          <t>No</t>
        </is>
      </c>
      <c r="AI46" s="5" t="inlineStr">
        <is>
          <t>No</t>
        </is>
      </c>
      <c r="AJ46" s="5" t="inlineStr">
        <is>
          <t>Partial</t>
        </is>
      </c>
      <c r="AK46" s="19" t="inlineStr">
        <is>
          <t>None attributable to the relationship.</t>
        </is>
      </c>
      <c r="AL46" s="19" t="inlineStr">
        <is>
          <t>None recorded; Sheetal holds her position through Vijay's attempt to exploit it.</t>
        </is>
      </c>
      <c r="AM46" s="5" t="inlineStr">
        <is>
          <t>Survives Vijay's interference; the family is reconciled by the end.</t>
        </is>
      </c>
      <c r="AN46" s="5" t="inlineStr">
        <is>
          <t>Yes</t>
        </is>
      </c>
      <c r="AO46" s="5" t="inlineStr">
        <is>
          <t>Happy</t>
        </is>
      </c>
      <c r="AP46" s="5" t="n"/>
      <c r="AQ46" s="19" t="inlineStr">
        <is>
          <t>Another instance of the pattern that defines Kapoor's multi-starrer roles: the romance is pre-settled, low-friction and outside the film's argument, which is about a father's betrayal and an illegitimate son's revenge. Sheetal's standing as a working general manager gives the female-agency score a lift the plot function does not.</t>
        </is>
      </c>
      <c r="AR46" s="19" t="inlineStr">
        <is>
          <t>Sheetal is one of the few women in the batch with a named professional role, and the film still uses her chiefly as a pressure point between two men. That Vijay's tactic is to come between her and Shekhar, rather than to approach her on her own terms, is the clearest indication of how the script ranks her.</t>
        </is>
      </c>
      <c r="AS46" s="5" t="inlineStr">
        <is>
          <t>SOURCE-001; SOURCE-062</t>
        </is>
      </c>
      <c r="AT46" s="5" t="inlineStr">
        <is>
          <t>Medium</t>
        </is>
      </c>
    </row>
    <row r="47" ht="139" customHeight="1">
      <c r="A47" s="15" t="inlineStr">
        <is>
          <t>PAIR-046</t>
        </is>
      </c>
      <c r="B47" s="18" t="inlineStr">
        <is>
          <t>FILM-081</t>
        </is>
      </c>
      <c r="C47" s="5" t="inlineStr">
        <is>
          <t>Heeralaal Pannalaal</t>
        </is>
      </c>
      <c r="D47" s="17" t="n">
        <v>1978</v>
      </c>
      <c r="E47" s="5" t="inlineStr">
        <is>
          <t>Heeralaal</t>
        </is>
      </c>
      <c r="F47" s="5" t="inlineStr">
        <is>
          <t>Zeenat Aman</t>
        </is>
      </c>
      <c r="G47" s="5" t="inlineStr">
        <is>
          <t>Ruby</t>
        </is>
      </c>
      <c r="H47" s="5" t="inlineStr">
        <is>
          <t>Female lead</t>
        </is>
      </c>
      <c r="I47" s="5" t="inlineStr">
        <is>
          <t>Yes</t>
        </is>
      </c>
      <c r="J47" s="19" t="inlineStr">
        <is>
          <t>Romance subordinate to another genre</t>
        </is>
      </c>
      <c r="K47" s="5" t="inlineStr">
        <is>
          <t>Strangers</t>
        </is>
      </c>
      <c r="L47" s="5" t="inlineStr">
        <is>
          <t>Heeralal meets Ruby and falls in love with her; the plot summary gives no circumstance.</t>
        </is>
      </c>
      <c r="M47" s="5" t="inlineStr">
        <is>
          <t>Heeralal</t>
        </is>
      </c>
      <c r="N47" s="19" t="inlineStr">
        <is>
          <t>Brief and uncontested, running in parallel with Pannalal's courtship of Ruby's friend Neelam.</t>
        </is>
      </c>
      <c r="O47" s="19" t="inlineStr">
        <is>
          <t>Light and companionable, pitched to match the film's comic register.</t>
        </is>
      </c>
      <c r="P47" s="19" t="inlineStr">
        <is>
          <t>None recorded.</t>
        </is>
      </c>
      <c r="Q47" s="20" t="n">
        <v>2</v>
      </c>
      <c r="R47" s="19" t="inlineStr">
        <is>
          <t>No conflict between the pair is recorded at any point. The obstacles in the film are Kalicharan and Panther, and the couples are united at the end without any difficulty between them.</t>
        </is>
      </c>
      <c r="S47" s="20" t="n">
        <v>5</v>
      </c>
      <c r="T47" s="5" t="inlineStr">
        <is>
          <t>Villain; Crime</t>
        </is>
      </c>
      <c r="U47" s="19" t="inlineStr">
        <is>
          <t>Kalicharan, who set out to punish Heeralal and Pannalal for interfering in his business and who turns out to have murdered Heeralal's parents, together with his associate Panther.</t>
        </is>
      </c>
      <c r="V47" s="20" t="n">
        <v>5</v>
      </c>
      <c r="W47" s="19" t="inlineStr">
        <is>
          <t>The romance is one of two parallel courtships in a buddy action comedy, and Heeralal's driving motivation is the search for his parents' killer rather than Ruby. Pleasant rather than devotional.</t>
        </is>
      </c>
      <c r="X47" s="20" t="n">
        <v>6</v>
      </c>
      <c r="Y47" s="20" t="n">
        <v>7</v>
      </c>
      <c r="Z47" s="20" t="n">
        <v>6</v>
      </c>
      <c r="AA47" s="20" t="n">
        <v>4</v>
      </c>
      <c r="AB47" s="20" t="n">
        <v>6</v>
      </c>
      <c r="AC47" s="19" t="inlineStr">
        <is>
          <t>A retrospective notice for The Hindu finds Kapoor ebullient and doing justice to his role, as does Zeenat Aman, who adds panache and a dash of glamour. The praise is of the two performances separately rather than of the pairing, and the double-couple structure still gives each pair limited room, so the score is unchanged at 6 and the reading is only partly sourced.</t>
        </is>
      </c>
      <c r="AD47" s="5" t="inlineStr">
        <is>
          <t>Yes</t>
        </is>
      </c>
      <c r="AE47" s="5" t="inlineStr">
        <is>
          <t>No</t>
        </is>
      </c>
      <c r="AF47" s="5" t="inlineStr">
        <is>
          <t>No</t>
        </is>
      </c>
      <c r="AG47" s="5" t="inlineStr">
        <is>
          <t>No</t>
        </is>
      </c>
      <c r="AH47" s="5" t="inlineStr">
        <is>
          <t>No</t>
        </is>
      </c>
      <c r="AI47" s="5" t="inlineStr">
        <is>
          <t>Partial</t>
        </is>
      </c>
      <c r="AJ47" s="5" t="inlineStr">
        <is>
          <t>Partial</t>
        </is>
      </c>
      <c r="AK47" s="19" t="inlineStr">
        <is>
          <t>None attributable to the relationship.</t>
        </is>
      </c>
      <c r="AL47" s="19" t="inlineStr">
        <is>
          <t>None recorded.</t>
        </is>
      </c>
      <c r="AM47" s="5" t="inlineStr">
        <is>
          <t>Heeralal and Ruby are united, as are Pannalal and Neelam.</t>
        </is>
      </c>
      <c r="AN47" s="5" t="inlineStr">
        <is>
          <t>Yes</t>
        </is>
      </c>
      <c r="AO47" s="5" t="inlineStr">
        <is>
          <t>Happy</t>
        </is>
      </c>
      <c r="AP47" s="5" t="n"/>
      <c r="AQ47" s="19" t="inlineStr">
        <is>
          <t>A paired-couples comedy in which the romances exist to be resolved in the last minute alongside the revenge plot. Its value for the project is mainly as another data point in the late-1970s pattern: near-zero pair friction, moderate villain-sourced opposition, and a romance that is never the character's motivation.</t>
        </is>
      </c>
      <c r="AR47" s="19" t="inlineStr">
        <is>
          <t>Ruby and Neelam are written as a matched pair for a matched pair of heroes, with no separate existence from that symmetry, which is the standard construction of the period's double-hero comedies.</t>
        </is>
      </c>
      <c r="AS47" s="5" t="inlineStr">
        <is>
          <t>SOURCE-001; SOURCE-066; SOURCE-363</t>
        </is>
      </c>
      <c r="AT47" s="5" t="inlineStr">
        <is>
          <t>Low</t>
        </is>
      </c>
    </row>
    <row r="48" ht="94" customHeight="1">
      <c r="A48" s="15" t="inlineStr">
        <is>
          <t>PAIR-047</t>
        </is>
      </c>
      <c r="B48" s="18" t="inlineStr">
        <is>
          <t>FILM-083</t>
        </is>
      </c>
      <c r="C48" s="5" t="inlineStr">
        <is>
          <t>Gautam Govinda</t>
        </is>
      </c>
      <c r="D48" s="17" t="n">
        <v>1979</v>
      </c>
      <c r="E48" s="5" t="inlineStr">
        <is>
          <t>Inspector Gautam</t>
        </is>
      </c>
      <c r="F48" s="5" t="inlineStr">
        <is>
          <t>Moushumi Chatterjee</t>
        </is>
      </c>
      <c r="G48" s="5" t="inlineStr">
        <is>
          <t>Sandhya</t>
        </is>
      </c>
      <c r="H48" s="5" t="inlineStr">
        <is>
          <t>Female lead</t>
        </is>
      </c>
      <c r="I48" s="5" t="inlineStr">
        <is>
          <t>Yes</t>
        </is>
      </c>
      <c r="J48" s="19" t="inlineStr">
        <is>
          <t>Friendship to love</t>
        </is>
      </c>
      <c r="K48" s="5" t="inlineStr">
        <is>
          <t>A village woman and the new police inspector</t>
        </is>
      </c>
      <c r="L48" s="5" t="inlineStr">
        <is>
          <t>Sandhya is a village belle in the posting Gautam is sent to, and comes to know him as he takes on the local power.</t>
        </is>
      </c>
      <c r="M48" s="5" t="inlineStr">
        <is>
          <t>Sandhya, whose respect for him develops into love before he reciprocates</t>
        </is>
      </c>
      <c r="N48" s="19" t="inlineStr">
        <is>
          <t>Gradual: respect earned through his conduct in the village, then affection, then reciprocation.</t>
        </is>
      </c>
      <c r="O48" s="19" t="inlineStr">
        <is>
          <t>Admiration maturing into attachment on her side, answered in time on his.</t>
        </is>
      </c>
      <c r="P48" s="19" t="inlineStr">
        <is>
          <t>None between them.</t>
        </is>
      </c>
      <c r="Q48" s="20" t="n">
        <v>1</v>
      </c>
      <c r="R48" s="19" t="inlineStr">
        <is>
          <t>No conflict is recorded between Gautam and Sandhya. The relationship develops steadily and she is his ally throughout, including at the point where she intervenes to save him.</t>
        </is>
      </c>
      <c r="S48" s="20" t="n">
        <v>7</v>
      </c>
      <c r="T48" s="5" t="inlineStr">
        <is>
          <t>Villain; Community</t>
        </is>
      </c>
      <c r="U48" s="19" t="inlineStr">
        <is>
          <t>Dharam Dutt's hold over the village, his repeated orders to have Gautam killed, and the bribery rumour spread by his brother Bagga that turns the villagers against Gautam while he is away.</t>
        </is>
      </c>
      <c r="V48" s="20" t="n">
        <v>4</v>
      </c>
      <c r="W48" s="19" t="inlineStr">
        <is>
          <t>The film is about a police officer reforming a village and discovering a brother, and the romance develops alongside that rather than driving it. Gautam's defining acts are official and fraternal; the attachment is a reward rather than a motivation.</t>
        </is>
      </c>
      <c r="X48" s="20" t="n">
        <v>5</v>
      </c>
      <c r="Y48" s="20" t="n">
        <v>8</v>
      </c>
      <c r="Z48" s="20" t="n">
        <v>6</v>
      </c>
      <c r="AA48" s="20" t="n">
        <v>7</v>
      </c>
      <c r="AB48" s="20" t="n">
        <v>6</v>
      </c>
      <c r="AC48" s="19" t="inlineStr">
        <is>
          <t>Interpretive reading; no fetched review assesses this pairing. The relationship is given a slow build that the genre rarely allows, and Sandhya's intervention at the climax gives the pairing a payoff most of the batch's secondary romances lack.</t>
        </is>
      </c>
      <c r="AD48" s="5" t="inlineStr">
        <is>
          <t>Partial</t>
        </is>
      </c>
      <c r="AE48" s="5" t="inlineStr">
        <is>
          <t>No</t>
        </is>
      </c>
      <c r="AF48" s="5" t="inlineStr">
        <is>
          <t>No</t>
        </is>
      </c>
      <c r="AG48" s="5" t="inlineStr">
        <is>
          <t>Partial</t>
        </is>
      </c>
      <c r="AH48" s="5" t="inlineStr">
        <is>
          <t>Partial</t>
        </is>
      </c>
      <c r="AI48" s="5" t="inlineStr">
        <is>
          <t>Yes</t>
        </is>
      </c>
      <c r="AJ48" s="5" t="inlineStr">
        <is>
          <t>Yes</t>
        </is>
      </c>
      <c r="AK48" s="19" t="inlineStr">
        <is>
          <t>Gautam reveals his true identity to Sandhya before confronting Govinda, which is the one moment he trusts anyone with it.</t>
        </is>
      </c>
      <c r="AL48" s="19" t="inlineStr">
        <is>
          <t>Sandhya moves from respect to love, and is the person who reveals Gautam's identity to Govinda and Ganga, which turns the climax.</t>
        </is>
      </c>
      <c r="AM48" s="5" t="inlineStr">
        <is>
          <t>Intact; she is instrumental in the rescue that resolves the film.</t>
        </is>
      </c>
      <c r="AN48" s="5" t="inlineStr">
        <is>
          <t>Unclear</t>
        </is>
      </c>
      <c r="AO48" s="5" t="inlineStr">
        <is>
          <t>Happy</t>
        </is>
      </c>
      <c r="AP48" s="5" t="n"/>
      <c r="AQ48" s="19" t="inlineStr">
        <is>
          <t>A secondary romance that nonetheless does narrative work: Sandhya is the only person Gautam tells who he is, and her disclosure to Govinda and Ganga is what converts the enforcer into a rescuer. That is a materially higher function than most heroines in this batch are given, and the female-agency score reflects it.</t>
        </is>
      </c>
      <c r="AR48" s="19" t="inlineStr">
        <is>
          <t>The film follows the convention in which a village woman's love is earned by a man's public virtue rather than by anything between them, but it departs from convention by making her the holder of the secret that resolves the plot rather than the hostage who occasions it.</t>
        </is>
      </c>
      <c r="AS48" s="5" t="inlineStr">
        <is>
          <t>SOURCE-001; SOURCE-070</t>
        </is>
      </c>
      <c r="AT48" s="5" t="inlineStr">
        <is>
          <t>Medium</t>
        </is>
      </c>
    </row>
    <row r="49" ht="214" customHeight="1">
      <c r="A49" s="15" t="inlineStr">
        <is>
          <t>PAIR-048</t>
        </is>
      </c>
      <c r="B49" s="18" t="inlineStr">
        <is>
          <t>FILM-084</t>
        </is>
      </c>
      <c r="C49" s="5" t="inlineStr">
        <is>
          <t>Junoon</t>
        </is>
      </c>
      <c r="D49" s="17" t="n">
        <v>1979</v>
      </c>
      <c r="E49" s="5" t="inlineStr">
        <is>
          <t>Javed Khan</t>
        </is>
      </c>
      <c r="F49" s="5" t="inlineStr">
        <is>
          <t>Nafisa Ali</t>
        </is>
      </c>
      <c r="G49" s="5" t="inlineStr">
        <is>
          <t>Ruth Labadoor</t>
        </is>
      </c>
      <c r="H49" s="5" t="inlineStr">
        <is>
          <t>Female lead</t>
        </is>
      </c>
      <c r="I49" s="5" t="inlineStr">
        <is>
          <t>Yes</t>
        </is>
      </c>
      <c r="J49" s="19" t="inlineStr">
        <is>
          <t>Forbidden love</t>
        </is>
      </c>
      <c r="K49" s="5" t="inlineStr">
        <is>
          <t>A Pathan chieftain and the Anglo-Indian girl he takes into his house by force</t>
        </is>
      </c>
      <c r="L49" s="5" t="inlineStr">
        <is>
          <t>Javed seizes Ruth and her family from the Hindu household sheltering them after the massacre of the British at church, and brings them to his own house.</t>
        </is>
      </c>
      <c r="M49" s="5" t="inlineStr">
        <is>
          <t>Javed, by abduction</t>
        </is>
      </c>
      <c r="N49" s="19" t="inlineStr">
        <is>
          <t>Not courtship: possession first, and then a slow, watched, half-permitted attachment inside a household where she is effectively captive.</t>
        </is>
      </c>
      <c r="O49" s="19" t="inlineStr">
        <is>
          <t>Obsession on his side, which the title names, and something unresolved on hers, conducted under the eyes of his wife and her mother.</t>
        </is>
      </c>
      <c r="P49" s="19" t="inlineStr">
        <is>
          <t>She is a captive, he is married, and her mother has made the marriage conditional on an Indian victory.</t>
        </is>
      </c>
      <c r="Q49" s="20" t="n">
        <v>6</v>
      </c>
      <c r="R49" s="19" t="inlineStr">
        <is>
          <t>The relationship is founded on force and conducted under duress, which is friction of a structural kind even where the film shows tenderness. The plot records a simmering affair rather than open conflict between them, but the imbalance of power is total.</t>
        </is>
      </c>
      <c r="S49" s="20" t="n">
        <v>9</v>
      </c>
      <c r="T49" s="5" t="inlineStr">
        <is>
          <t>War or politics; Family; Religion; Community</t>
        </is>
      </c>
      <c r="U49" s="19" t="inlineStr">
        <is>
          <t>The 1857 rebellion itself, on whose outcome Miriam makes the marriage conditional; Javed's wife Firdaus; his politically committed brother-in-law Sarfaraz, who destroys his pigeon coops when the Indian forces lose; and the religious and communal gulf between a Pathan household and an Anglo-Indian family in hiding.</t>
        </is>
      </c>
      <c r="V49" s="20" t="n">
        <v>6</v>
      </c>
      <c r="W49" s="19" t="inlineStr">
        <is>
          <t>The obsession is total and the character is organised entirely around it, which is the archetype's intensity, but it is expressed through abduction and possession rather than courtship or devotion. Scored above the midpoint for the completeness of the fixation and held down by what the fixation actually consists of.</t>
        </is>
      </c>
      <c r="X49" s="20" t="n">
        <v>9</v>
      </c>
      <c r="Y49" s="20" t="n">
        <v>2</v>
      </c>
      <c r="Z49" s="20" t="n">
        <v>4</v>
      </c>
      <c r="AA49" s="20" t="n">
        <v>5</v>
      </c>
      <c r="AB49" s="20" t="n">
        <v>7</v>
      </c>
      <c r="AC49" s="19" t="inlineStr">
        <is>
          <t>Interpretive reading; the retrospective notice located calls the film a bittersweet, entirely futile love story without assessing the performers. The pairing works because Kapoor plays the obsession as helplessness rather than swagger, which keeps a coercive situation legible as tragedy. The Hindu's Blast from the Past notice calls Nafisa Ali's Ruth brilliantly played and perfect in her role as a bewildered and panic-stricken girl, which supports her side of the attachment without addressing the two together, so this stays an interpretive reading of the pairing.</t>
        </is>
      </c>
      <c r="AD49" s="5" t="inlineStr">
        <is>
          <t>No</t>
        </is>
      </c>
      <c r="AE49" s="5" t="inlineStr">
        <is>
          <t>Yes</t>
        </is>
      </c>
      <c r="AF49" s="5" t="inlineStr">
        <is>
          <t>Yes</t>
        </is>
      </c>
      <c r="AG49" s="5" t="inlineStr">
        <is>
          <t>No</t>
        </is>
      </c>
      <c r="AH49" s="5" t="inlineStr">
        <is>
          <t>Yes</t>
        </is>
      </c>
      <c r="AI49" s="5" t="inlineStr">
        <is>
          <t>Yes</t>
        </is>
      </c>
      <c r="AJ49" s="5" t="inlineStr">
        <is>
          <t>No</t>
        </is>
      </c>
      <c r="AK49" s="19" t="inlineStr">
        <is>
          <t>From a chieftain indifferent to the rebellion to a man who needs it to succeed for private reasons, and who is destroyed with it.</t>
        </is>
      </c>
      <c r="AL49" s="19" t="inlineStr">
        <is>
          <t>Ruth passes from a fugitive to a captive to the object of a bargain struck over her by her mother and her captor.</t>
        </is>
      </c>
      <c r="AM49" s="5" t="inlineStr">
        <is>
          <t>Futile. The British win, the condition fails, and the attachment ends with the rebellion.</t>
        </is>
      </c>
      <c r="AN49" s="5" t="inlineStr">
        <is>
          <t>No</t>
        </is>
      </c>
      <c r="AO49" s="5" t="inlineStr">
        <is>
          <t>Tragic</t>
        </is>
      </c>
      <c r="AP49" s="5" t="n"/>
      <c r="AQ49" s="19" t="inlineStr">
        <is>
          <t>The most artistically regarded film in the batch and the most ethically complicated pairing in the filmography so far. Junoon means obsession, and the film is candid that what Javed feels is not courtship: he takes Ruth by force and then waits on a war to legitimise it. That Kapoor produced it, and cast his own wife as the mother who negotiates the bargain, makes it the clearest statement of his ambitions as a producer of serious cinema.</t>
        </is>
      </c>
      <c r="AR49" s="19" t="inlineStr">
        <is>
          <t>The film is markedly more clear-eyed than its contemporaries about the coercion at the centre of its romance, declining to convert the abduction into consent or to reward the obsession. A modern reading can still note that Ruth remains largely an object of the men's and her mother's negotiations, and that the film's sympathy for Javed's futility is more developed than its interest in what the arrangement costs her.</t>
        </is>
      </c>
      <c r="AS49" s="5" t="inlineStr">
        <is>
          <t>SOURCE-001; SOURCE-071; SOURCE-364</t>
        </is>
      </c>
      <c r="AT49" s="5" t="inlineStr">
        <is>
          <t>Medium</t>
        </is>
      </c>
    </row>
    <row r="50" ht="199" customHeight="1">
      <c r="A50" s="15" t="inlineStr">
        <is>
          <t>PAIR-049</t>
        </is>
      </c>
      <c r="B50" s="18" t="inlineStr">
        <is>
          <t>FILM-084</t>
        </is>
      </c>
      <c r="C50" s="5" t="inlineStr">
        <is>
          <t>Junoon</t>
        </is>
      </c>
      <c r="D50" s="17" t="n">
        <v>1979</v>
      </c>
      <c r="E50" s="5" t="inlineStr">
        <is>
          <t>Javed Khan</t>
        </is>
      </c>
      <c r="F50" s="5" t="inlineStr">
        <is>
          <t>Shabana Azmi</t>
        </is>
      </c>
      <c r="G50" s="5" t="inlineStr">
        <is>
          <t>Firdaus</t>
        </is>
      </c>
      <c r="H50" s="5" t="inlineStr">
        <is>
          <t>Principal supporting</t>
        </is>
      </c>
      <c r="I50" s="5" t="inlineStr">
        <is>
          <t>No</t>
        </is>
      </c>
      <c r="J50" s="19" t="inlineStr">
        <is>
          <t>Marriage under strain</t>
        </is>
      </c>
      <c r="K50" s="5" t="inlineStr">
        <is>
          <t>Married, with her brother living in the household</t>
        </is>
      </c>
      <c r="L50" s="5" t="inlineStr">
        <is>
          <t>Not dramatised; the marriage predates the film.</t>
        </is>
      </c>
      <c r="M50" s="5" t="inlineStr">
        <is>
          <t>Not recorded</t>
        </is>
      </c>
      <c r="N50" s="19" t="inlineStr">
        <is>
          <t>None. The marriage is established and the film shows it only under the pressure of Javed's obsession.</t>
        </is>
      </c>
      <c r="O50" s="19" t="inlineStr">
        <is>
          <t>A wife watching her husband install another woman in their house and fall in love with her, with the household's customs preventing her from refusing the guests.</t>
        </is>
      </c>
      <c r="P50" s="19" t="inlineStr">
        <is>
          <t>Javed's pursuit of Ruth, conducted inside the marital home.</t>
        </is>
      </c>
      <c r="Q50" s="20" t="n">
        <v>7</v>
      </c>
      <c r="R50" s="19" t="inlineStr">
        <is>
          <t>Severe and sustained, though largely silent: the plot records Firdaus's jealousy and her watchful suspicion as a continuous presence through the second half. The injury is unambiguous and it is entirely her husband's doing.</t>
        </is>
      </c>
      <c r="S50" s="20" t="n">
        <v>6</v>
      </c>
      <c r="T50" s="5" t="inlineStr">
        <is>
          <t>War or politics; Community</t>
        </is>
      </c>
      <c r="U50" s="19" t="inlineStr">
        <is>
          <t>The rebellion that brought the Labadoors into the house, and the Pathan obligation of hospitality and sanctuary that her brother invokes to keep them there over his own objections.</t>
        </is>
      </c>
      <c r="V50" s="20" t="n">
        <v>2</v>
      </c>
      <c r="W50" s="19" t="inlineStr">
        <is>
          <t>Toward Firdaus the character shows no romantic conduct whatever: the marriage is the thing his obsession is conducted across. Scored near the floor because the relationship exists and is not hostile, only abandoned.</t>
        </is>
      </c>
      <c r="X50" s="20" t="n">
        <v>6</v>
      </c>
      <c r="Y50" s="20" t="n">
        <v>3</v>
      </c>
      <c r="Z50" s="20" t="n">
        <v>3</v>
      </c>
      <c r="AA50" s="20" t="n">
        <v>6</v>
      </c>
      <c r="AB50" s="20" t="n">
        <v>6</v>
      </c>
      <c r="AC50" s="19" t="inlineStr">
        <is>
          <t>Interpretive reading; no fetched review assesses this pairing. Shabana Azmi is given little dialogue in the relationship and plays it almost entirely in observation, which makes the marriage register as a standing rebuke to the romance the film is ostensibly about. The Hindu's Blast from the Past notice describes Firdaus only as a wife who pines for her husband's attention, and its praise of 'Shashi Kapoor and Jennifer' refers to Jennifer Kendal's Mariam Labadoor rather than to Shabana Azmi, so no located review assesses this pairing.</t>
        </is>
      </c>
      <c r="AD50" s="5" t="inlineStr">
        <is>
          <t>No</t>
        </is>
      </c>
      <c r="AE50" s="5" t="inlineStr">
        <is>
          <t>Yes</t>
        </is>
      </c>
      <c r="AF50" s="5" t="inlineStr">
        <is>
          <t>Yes</t>
        </is>
      </c>
      <c r="AG50" s="5" t="inlineStr">
        <is>
          <t>Partial</t>
        </is>
      </c>
      <c r="AH50" s="5" t="inlineStr">
        <is>
          <t>Partial</t>
        </is>
      </c>
      <c r="AI50" s="5" t="inlineStr">
        <is>
          <t>Yes</t>
        </is>
      </c>
      <c r="AJ50" s="5" t="inlineStr">
        <is>
          <t>No</t>
        </is>
      </c>
      <c r="AK50" s="19" t="inlineStr">
        <is>
          <t>None toward Firdaus; the film's changes in Javed are all directed elsewhere.</t>
        </is>
      </c>
      <c r="AL50" s="19" t="inlineStr">
        <is>
          <t>Firdaus moves from wife to witness, holding the household together around a husband who has stopped attending to it.</t>
        </is>
      </c>
      <c r="AM50" s="5" t="inlineStr">
        <is>
          <t>The marriage survives the obsession because the obsession fails, not because anything between them is repaired.</t>
        </is>
      </c>
      <c r="AN50" s="5" t="inlineStr">
        <is>
          <t>Yes</t>
        </is>
      </c>
      <c r="AO50" s="5" t="inlineStr">
        <is>
          <t>Tragic</t>
        </is>
      </c>
      <c r="AP50" s="5" t="n"/>
      <c r="AQ50" s="19" t="inlineStr">
        <is>
          <t>A second row for Junoon is warranted because Firdaus is not a briefly glimpsed spouse: her jealousy is named in the plot as one of the forces the household runs on, and her presence is what makes the central romance a transgression rather than a courtship. The pairing carries the batch's sharpest contrast, a marriage with high friction and no romance beside an obsession with high centrality and no consent.</t>
        </is>
      </c>
      <c r="AR50" s="19" t="inlineStr">
        <is>
          <t>The film is more interested in Javed's futility than in Firdaus's position, and gives her endurance rather than recourse. Read now, she is the person with the strongest claim in the story and the least voice in it, and the Pathan hospitality code that the film treats as noble is precisely what obliges her to house her husband's obsession.</t>
        </is>
      </c>
      <c r="AS50" s="5" t="inlineStr">
        <is>
          <t>SOURCE-001; SOURCE-071; SOURCE-364</t>
        </is>
      </c>
      <c r="AT50" s="5" t="inlineStr">
        <is>
          <t>Medium</t>
        </is>
      </c>
    </row>
    <row r="51" ht="94" customHeight="1">
      <c r="A51" s="15" t="inlineStr">
        <is>
          <t>PAIR-050</t>
        </is>
      </c>
      <c r="B51" s="18" t="inlineStr">
        <is>
          <t>FILM-085</t>
        </is>
      </c>
      <c r="C51" s="5" t="inlineStr">
        <is>
          <t>Kaala Patthar</t>
        </is>
      </c>
      <c r="D51" s="17" t="n">
        <v>1979</v>
      </c>
      <c r="E51" s="5" t="inlineStr">
        <is>
          <t>Ravi Malhotra</t>
        </is>
      </c>
      <c r="F51" s="5" t="inlineStr">
        <is>
          <t>Parveen Babi</t>
        </is>
      </c>
      <c r="G51" s="5" t="inlineStr">
        <is>
          <t>Anita</t>
        </is>
      </c>
      <c r="H51" s="5" t="inlineStr">
        <is>
          <t>Supporting female lead</t>
        </is>
      </c>
      <c r="I51" s="5" t="inlineStr">
        <is>
          <t>No</t>
        </is>
      </c>
      <c r="J51" s="19" t="inlineStr">
        <is>
          <t>Romance subordinate to another genre</t>
        </is>
      </c>
      <c r="K51" s="5" t="inlineStr">
        <is>
          <t>A mine engineer and a press reporter covering the mine</t>
        </is>
      </c>
      <c r="L51" s="5" t="inlineStr">
        <is>
          <t>Not dramatised in detail; Anita is a press reporter and photographer working around the colliery where Ravi is the engineer.</t>
        </is>
      </c>
      <c r="M51" s="5" t="inlineStr">
        <is>
          <t>Not recorded</t>
        </is>
      </c>
      <c r="N51" s="19" t="inlineStr">
        <is>
          <t>A light thread running beside the main action, one of three romances the film distributes among its three male leads.</t>
        </is>
      </c>
      <c r="O51" s="19" t="inlineStr">
        <is>
          <t>Companionable and untroubled; the film gives the relationship no crisis of its own.</t>
        </is>
      </c>
      <c r="P51" s="19" t="inlineStr">
        <is>
          <t>None recorded.</t>
        </is>
      </c>
      <c r="Q51" s="20" t="n">
        <v>1</v>
      </c>
      <c r="R51" s="19" t="inlineStr">
        <is>
          <t>No conflict between the pair appears in the article's plot account. The film's antagonisms are between the miners and the owner, and among the three men.</t>
        </is>
      </c>
      <c r="S51" s="20" t="n">
        <v>3</v>
      </c>
      <c r="T51" s="5" t="inlineStr">
        <is>
          <t>Other</t>
        </is>
      </c>
      <c r="U51" s="19" t="inlineStr">
        <is>
          <t>No family, class or personal obstacle is placed against the pair. What threatens them is the mine itself, which threatens everyone in the film equally.</t>
        </is>
      </c>
      <c r="V51" s="20" t="n">
        <v>3</v>
      </c>
      <c r="W51" s="19" t="inlineStr">
        <is>
          <t>Ravi's function is professional and civic: he runs the pit, takes the workers' side against the owner and leads the rescue. The romance is a genre requirement rather than a motivation, and nothing he does in the film is done for Anita.</t>
        </is>
      </c>
      <c r="X51" s="20" t="n">
        <v>3</v>
      </c>
      <c r="Y51" s="20" t="n">
        <v>8</v>
      </c>
      <c r="Z51" s="20" t="n">
        <v>7</v>
      </c>
      <c r="AA51" s="20" t="n">
        <v>6</v>
      </c>
      <c r="AB51" s="20" t="n">
        <v>6</v>
      </c>
      <c r="AC51" s="19" t="inlineStr">
        <is>
          <t>Interpretive reading; no fetched review assesses this pairing. Anita is written as a working journalist rather than an ornament, which gives the scenes a brisk equality, but the film's attention is on the disaster and on Bachchan's Vijay.</t>
        </is>
      </c>
      <c r="AD51" s="5" t="inlineStr">
        <is>
          <t>Yes</t>
        </is>
      </c>
      <c r="AE51" s="5" t="inlineStr">
        <is>
          <t>No</t>
        </is>
      </c>
      <c r="AF51" s="5" t="inlineStr">
        <is>
          <t>No</t>
        </is>
      </c>
      <c r="AG51" s="5" t="inlineStr">
        <is>
          <t>No</t>
        </is>
      </c>
      <c r="AH51" s="5" t="inlineStr">
        <is>
          <t>No</t>
        </is>
      </c>
      <c r="AI51" s="5" t="inlineStr">
        <is>
          <t>No</t>
        </is>
      </c>
      <c r="AJ51" s="5" t="inlineStr">
        <is>
          <t>Partial</t>
        </is>
      </c>
      <c r="AK51" s="19" t="inlineStr">
        <is>
          <t>None attributable to the relationship.</t>
        </is>
      </c>
      <c r="AL51" s="19" t="inlineStr">
        <is>
          <t>None recorded.</t>
        </is>
      </c>
      <c r="AM51" s="5" t="inlineStr">
        <is>
          <t>Intact; Ravi survives the flooding with an injured leg.</t>
        </is>
      </c>
      <c r="AN51" s="5" t="inlineStr">
        <is>
          <t>Unclear</t>
        </is>
      </c>
      <c r="AO51" s="5" t="inlineStr">
        <is>
          <t>Happy</t>
        </is>
      </c>
      <c r="AP51" s="5" t="n"/>
      <c r="AQ51" s="19" t="inlineStr">
        <is>
          <t>The third romance in a film that gives one to each of its three male leads, and the clearest illustration of the late-1970s pattern in Kapoor's work: romance centrality of three, friction of one, opposition of three, and a character whose real relationships are with the men he works beside. Anita's profession as a reporter gives her more independent standing than the score for centrality suggests.</t>
        </is>
      </c>
      <c r="AR51" s="19" t="inlineStr">
        <is>
          <t>Distributing a romance to each hero is the multi-starrer's way of servicing its stars rather than its story, and all three women here, a doctor, a reporter and a bangle seller, are given occupations and then very little to do with them. The film's genuine subject, industrial negligence at Chasnala, has no room for any of them.</t>
        </is>
      </c>
      <c r="AS51" s="5" t="inlineStr">
        <is>
          <t>SOURCE-001; SOURCE-073</t>
        </is>
      </c>
      <c r="AT51" s="5" t="inlineStr">
        <is>
          <t>Medium</t>
        </is>
      </c>
    </row>
    <row r="52" ht="124" customHeight="1">
      <c r="A52" s="15" t="inlineStr">
        <is>
          <t>PAIR-051</t>
        </is>
      </c>
      <c r="B52" s="18" t="inlineStr">
        <is>
          <t>FILM-091</t>
        </is>
      </c>
      <c r="C52" s="5" t="inlineStr">
        <is>
          <t>Kali Ghata</t>
        </is>
      </c>
      <c r="D52" s="17" t="n">
        <v>1980</v>
      </c>
      <c r="E52" s="5" t="inlineStr">
        <is>
          <t>Prem</t>
        </is>
      </c>
      <c r="F52" s="5" t="inlineStr">
        <is>
          <t>Rekha</t>
        </is>
      </c>
      <c r="G52" s="5" t="inlineStr">
        <is>
          <t>Rekha</t>
        </is>
      </c>
      <c r="H52" s="5" t="inlineStr">
        <is>
          <t>Female lead, in a double role</t>
        </is>
      </c>
      <c r="I52" s="5" t="inlineStr">
        <is>
          <t>Yes</t>
        </is>
      </c>
      <c r="J52" s="19" t="inlineStr">
        <is>
          <t>Relationship damaged by mistrust</t>
        </is>
      </c>
      <c r="K52" s="5" t="inlineStr">
        <is>
          <t>Strangers; he stops to repair her broken-down car</t>
        </is>
      </c>
      <c r="L52" s="5" t="inlineStr">
        <is>
          <t>Rekha's car breaks down while she is driving through her own estate and Prem, who has a gift for machines, fixes it.</t>
        </is>
      </c>
      <c r="M52" s="5" t="inlineStr">
        <is>
          <t>Mutual, over a series of meetings</t>
        </is>
      </c>
      <c r="N52" s="19" t="inlineStr">
        <is>
          <t>A few chance meetings on the estate, then love, then an engagement announced abruptly enough to surprise the whole household.</t>
        </is>
      </c>
      <c r="O52" s="19" t="inlineStr">
        <is>
          <t>Ardent on both sides and, from the household's point of view, suspiciously rapid.</t>
        </is>
      </c>
      <c r="P52" s="19" t="inlineStr">
        <is>
          <t>Nothing between them while she is alive; afterwards, the suspicion that he arranged her death.</t>
        </is>
      </c>
      <c r="Q52" s="20" t="n">
        <v>3</v>
      </c>
      <c r="R52" s="19" t="inlineStr">
        <is>
          <t>The couple themselves never quarrel. The friction is the audience's and the investigators': Prem is absent at the engagement when the police inspector arrives, and absent from the houseboat when she is pushed into the lake, which makes him a suspect rather than an antagonist.</t>
        </is>
      </c>
      <c r="S52" s="20" t="n">
        <v>7</v>
      </c>
      <c r="T52" s="5" t="inlineStr">
        <is>
          <t>Family; Villain; Crime</t>
        </is>
      </c>
      <c r="U52" s="19" t="inlineStr">
        <is>
          <t>An unidentified murderer inside the household, the estate's servants and managers, and Kishore's determination to marry Rashmi, whose inheritance depends on Rekha's arrangements. The attempt on Rekha's life is the opposition made literal.</t>
        </is>
      </c>
      <c r="V52" s="20" t="n">
        <v>6</v>
      </c>
      <c r="W52" s="19" t="inlineStr">
        <is>
          <t>The role is a romantic lead in a thriller, and its most telling moment is Prem declaring his intense love for the dead Rekha to a woman he believes is her sister. Devotion is present but is deployed as evidence in a mystery rather than as the character's purpose.</t>
        </is>
      </c>
      <c r="X52" s="20" t="n">
        <v>8</v>
      </c>
      <c r="Y52" s="20" t="n">
        <v>5</v>
      </c>
      <c r="Z52" s="20" t="n">
        <v>6</v>
      </c>
      <c r="AA52" s="20" t="n">
        <v>8</v>
      </c>
      <c r="AB52" s="20" t="n">
        <v>6</v>
      </c>
      <c r="AC52" s="19" t="inlineStr">
        <is>
          <t>Interpretive reading; no fetched review assesses this pairing. The film asks Kapoor to be simultaneously ardent and plausibly guilty, and the courtship is played warmly enough that the suspicion has something to work against; Rekha carries the more demanding assignment, playing her own sister investigating her own murder.</t>
        </is>
      </c>
      <c r="AD52" s="5" t="inlineStr">
        <is>
          <t>Partial</t>
        </is>
      </c>
      <c r="AE52" s="5" t="inlineStr">
        <is>
          <t>No</t>
        </is>
      </c>
      <c r="AF52" s="5" t="inlineStr">
        <is>
          <t>No</t>
        </is>
      </c>
      <c r="AG52" s="5" t="inlineStr">
        <is>
          <t>Yes</t>
        </is>
      </c>
      <c r="AH52" s="5" t="inlineStr">
        <is>
          <t>Yes</t>
        </is>
      </c>
      <c r="AI52" s="5" t="inlineStr">
        <is>
          <t>Unclear</t>
        </is>
      </c>
      <c r="AJ52" s="5" t="inlineStr">
        <is>
          <t>No</t>
        </is>
      </c>
      <c r="AK52" s="19" t="inlineStr">
        <is>
          <t>From suitor to suspect, and his constancy to the dead Rekha is what finally tells against the suspicion.</t>
        </is>
      </c>
      <c r="AL52" s="19" t="inlineStr">
        <is>
          <t>Rekha survives the attempt, takes her sister's identity, and investigates her own murder, including by testing the man she was to marry.</t>
        </is>
      </c>
      <c r="AM52" s="5" t="inlineStr">
        <is>
          <t>Prem is cleared when the murderer is revealed in the climax.</t>
        </is>
      </c>
      <c r="AN52" s="5" t="inlineStr">
        <is>
          <t>Unclear</t>
        </is>
      </c>
      <c r="AO52" s="5" t="inlineStr">
        <is>
          <t>Happy</t>
        </is>
      </c>
      <c r="AP52" s="5" t="n"/>
      <c r="AQ52" s="19" t="inlineStr">
        <is>
          <t>A romance built to be doubted, and a rare instance in this filmography of the woman holding the investigative position: Rekha interrogates her own fiance while disguised as her sister. Female agency is scored high for that, and pair friction stays low because the couple never actually oppose each other.</t>
        </is>
      </c>
      <c r="AR52" s="19" t="inlineStr">
        <is>
          <t>The film's pleasure is in a woman auditing the man who says he loves her, which is a sharper premise than the genre usually allows; it retreats from it by making him innocent and the murderer someone else, so the test she conducts changes nothing she believed.</t>
        </is>
      </c>
      <c r="AS52" s="5" t="inlineStr">
        <is>
          <t>SOURCE-001; SOURCE-075</t>
        </is>
      </c>
      <c r="AT52" s="5" t="inlineStr">
        <is>
          <t>Medium</t>
        </is>
      </c>
    </row>
    <row r="53" ht="109" customHeight="1">
      <c r="A53" s="15" t="inlineStr">
        <is>
          <t>PAIR-052</t>
        </is>
      </c>
      <c r="B53" s="18" t="inlineStr">
        <is>
          <t>FILM-092</t>
        </is>
      </c>
      <c r="C53" s="5" t="inlineStr">
        <is>
          <t>Do Aur Do Paanch</t>
        </is>
      </c>
      <c r="D53" s="17" t="n">
        <v>1980</v>
      </c>
      <c r="E53" s="5" t="inlineStr">
        <is>
          <t>Sunil</t>
        </is>
      </c>
      <c r="F53" s="5" t="inlineStr">
        <is>
          <t>Hema Malini</t>
        </is>
      </c>
      <c r="G53" s="5" t="inlineStr">
        <is>
          <t>Shalu</t>
        </is>
      </c>
      <c r="H53" s="5" t="inlineStr">
        <is>
          <t>Female lead</t>
        </is>
      </c>
      <c r="I53" s="5" t="inlineStr">
        <is>
          <t>Partial</t>
        </is>
      </c>
      <c r="J53" s="19" t="inlineStr">
        <is>
          <t>Romance subordinate to another genre</t>
        </is>
      </c>
      <c r="K53" s="5" t="inlineStr">
        <is>
          <t>A school's dance teacher and the new music teacher, who is a burglar in disguise</t>
        </is>
      </c>
      <c r="L53" s="5" t="inlineStr">
        <is>
          <t>Sunil joins the school as Lakshman, the music teacher, on a job to abduct a pupil, and meets Shalu, who teaches dance there.</t>
        </is>
      </c>
      <c r="M53" s="5" t="inlineStr">
        <is>
          <t>Sunil</t>
        </is>
      </c>
      <c r="N53" s="19" t="inlineStr">
        <is>
          <t>A staffroom courtship conducted entirely under a false name and a false purpose.</t>
        </is>
      </c>
      <c r="O53" s="19" t="inlineStr">
        <is>
          <t>Light and comic, with the deception known only to him until she discovers it.</t>
        </is>
      </c>
      <c r="P53" s="19" t="inlineStr">
        <is>
          <t>He is at the school to kidnap a child, and she finds out.</t>
        </is>
      </c>
      <c r="Q53" s="20" t="n">
        <v>4</v>
      </c>
      <c r="R53" s="19" t="inlineStr">
        <is>
          <t>No hostility, but a real breach: she learns his identity and motive, and the film's turn is that she and Anju talk the two men out of the crime rather than denouncing them. The friction is the discovery and its aftermath, compressed and comic.</t>
        </is>
      </c>
      <c r="S53" s="20" t="n">
        <v>5</v>
      </c>
      <c r="T53" s="5" t="inlineStr">
        <is>
          <t>Crime; Villain</t>
        </is>
      </c>
      <c r="U53" s="19" t="inlineStr">
        <is>
          <t>Uncle Jagdish, Sunil's boss, who loses patience and abducts the boy himself, and the rival gang employing Vijay. The criminal world both men belong to is what stands between the courtship and any future.</t>
        </is>
      </c>
      <c r="V53" s="20" t="n">
        <v>5</v>
      </c>
      <c r="W53" s="19" t="inlineStr">
        <is>
          <t>The courtship is substantial and the reform it produces is the film's moral engine, but Sunil is a comic burglar first and the relationship with the child does as much work as the romance. A romantic lead in an action comedy rather than a devotee.</t>
        </is>
      </c>
      <c r="X53" s="20" t="n">
        <v>6</v>
      </c>
      <c r="Y53" s="20" t="n">
        <v>6</v>
      </c>
      <c r="Z53" s="20" t="n">
        <v>6</v>
      </c>
      <c r="AA53" s="20" t="n">
        <v>7</v>
      </c>
      <c r="AB53" s="20" t="n">
        <v>6</v>
      </c>
      <c r="AC53" s="19" t="inlineStr">
        <is>
          <t>Interpretive reading; no fetched review assesses this pairing. Kapoor and Hema Malini, in their sixth film together, play the impersonation comedy lightly, and the pairing works better as farce than as romance; the film's real double act is Kapoor and Bachchan.</t>
        </is>
      </c>
      <c r="AD53" s="5" t="inlineStr">
        <is>
          <t>Yes</t>
        </is>
      </c>
      <c r="AE53" s="5" t="inlineStr">
        <is>
          <t>No</t>
        </is>
      </c>
      <c r="AF53" s="5" t="inlineStr">
        <is>
          <t>No</t>
        </is>
      </c>
      <c r="AG53" s="5" t="inlineStr">
        <is>
          <t>Yes</t>
        </is>
      </c>
      <c r="AH53" s="5" t="inlineStr">
        <is>
          <t>No</t>
        </is>
      </c>
      <c r="AI53" s="5" t="inlineStr">
        <is>
          <t>Partial</t>
        </is>
      </c>
      <c r="AJ53" s="5" t="inlineStr">
        <is>
          <t>Yes</t>
        </is>
      </c>
      <c r="AK53" s="19" t="inlineStr">
        <is>
          <t>Shalu's word, with Anju's, is what turns Sunil off the kidnapping; the reform is explicitly credited to the two women.</t>
        </is>
      </c>
      <c r="AL53" s="19" t="inlineStr">
        <is>
          <t>Shalu moves from a woman courted under a false identity to one who changes the man rather than reporting him.</t>
        </is>
      </c>
      <c r="AM53" s="5" t="inlineStr">
        <is>
          <t>The boy is rescued, the boss arrested, and the couples are left intact.</t>
        </is>
      </c>
      <c r="AN53" s="5" t="inlineStr">
        <is>
          <t>Yes</t>
        </is>
      </c>
      <c r="AO53" s="5" t="inlineStr">
        <is>
          <t>Happy</t>
        </is>
      </c>
      <c r="AP53" s="5" t="n"/>
      <c r="AQ53" s="19" t="inlineStr">
        <is>
          <t>One of the few comedies in this stretch where the heroines are given the film's decisive moral act: the article states plainly that the two women change the men for good by their word. That lifts the female-agency score well above the norm for Kapoor's 1980 output, even though the romance itself is thinly drawn.</t>
        </is>
      </c>
      <c r="AR53" s="19" t="inlineStr">
        <is>
          <t>The reform-by-good-woman device gives Shalu and Anju agency of a narrow kind, the power to improve men rather than to pursue anything of their own, and the film shows neither woman outside the school or the couple. It is still a marked improvement on the hostage heroines of the surrounding action films.</t>
        </is>
      </c>
      <c r="AS53" s="5" t="inlineStr">
        <is>
          <t>SOURCE-001; SOURCE-076</t>
        </is>
      </c>
      <c r="AT53" s="5" t="inlineStr">
        <is>
          <t>Medium</t>
        </is>
      </c>
    </row>
    <row r="54" ht="109" customHeight="1">
      <c r="A54" s="15" t="inlineStr">
        <is>
          <t>PAIR-053</t>
        </is>
      </c>
      <c r="B54" s="18" t="inlineStr">
        <is>
          <t>FILM-093</t>
        </is>
      </c>
      <c r="C54" s="5" t="inlineStr">
        <is>
          <t>Neeyat</t>
        </is>
      </c>
      <c r="D54" s="17" t="n">
        <v>1980</v>
      </c>
      <c r="E54" s="5" t="inlineStr">
        <is>
          <t>Vijay</t>
        </is>
      </c>
      <c r="F54" s="5" t="inlineStr">
        <is>
          <t>Rekha</t>
        </is>
      </c>
      <c r="G54" s="5" t="inlineStr">
        <is>
          <t>Rekha</t>
        </is>
      </c>
      <c r="H54" s="5" t="inlineStr">
        <is>
          <t>Female lead</t>
        </is>
      </c>
      <c r="I54" s="5" t="inlineStr">
        <is>
          <t>Yes</t>
        </is>
      </c>
      <c r="J54" s="19" t="inlineStr">
        <is>
          <t>Love triangle</t>
        </is>
      </c>
      <c r="K54" s="5" t="inlineStr">
        <is>
          <t>One of three childhood friends who all come to love the same woman</t>
        </is>
      </c>
      <c r="L54" s="5" t="inlineStr">
        <is>
          <t>Not dramatised; the article records that Vijay, Jeet and Ajay each love Rekha at different moments and that she reciprocates Vijay's feeling.</t>
        </is>
      </c>
      <c r="M54" s="5" t="inlineStr">
        <is>
          <t>Not recorded</t>
        </is>
      </c>
      <c r="N54" s="19" t="inlineStr">
        <is>
          <t>Not shown in detail. The attachment is stated and then overtaken by the criminal plot.</t>
        </is>
      </c>
      <c r="O54" s="19" t="inlineStr">
        <is>
          <t>Mutual, and then suspended when she accepts another man out of obligation.</t>
        </is>
      </c>
      <c r="P54" s="19" t="inlineStr">
        <is>
          <t>Rekha accepts Jeet's proposal in gratitude after his father secures her own father's acquittal.</t>
        </is>
      </c>
      <c r="Q54" s="20" t="n">
        <v>4</v>
      </c>
      <c r="R54" s="19" t="inlineStr">
        <is>
          <t>Not antagonism but a displacement: she is the one who chooses Vijay and then accepts Jeet, for reasons of debt rather than feeling. The article records the sequence without describing a quarrel between them.</t>
        </is>
      </c>
      <c r="S54" s="20" t="n">
        <v>7</v>
      </c>
      <c r="T54" s="5" t="inlineStr">
        <is>
          <t>Family; Crime; Villain</t>
        </is>
      </c>
      <c r="U54" s="19" t="inlineStr">
        <is>
          <t>Mohanlal Saxena, Jeet's father, a criminal behind a respectable front, who has Rekha's father framed and then cleared, engineers the marriage proposal that follows, and has Vijay's brother killed.</t>
        </is>
      </c>
      <c r="V54" s="20" t="n">
        <v>5</v>
      </c>
      <c r="W54" s="19" t="inlineStr">
        <is>
          <t>The attachment is real and is the reason the three friendships fracture, but the second half is a revenge plot over a murdered brother. Romance is the cause of the rift rather than the character's continuing motivation.</t>
        </is>
      </c>
      <c r="X54" s="20" t="n">
        <v>6</v>
      </c>
      <c r="Y54" s="20" t="n">
        <v>5</v>
      </c>
      <c r="Z54" s="20" t="n">
        <v>6</v>
      </c>
      <c r="AA54" s="20" t="n">
        <v>4</v>
      </c>
      <c r="AB54" s="20" t="n">
        <v>5</v>
      </c>
      <c r="AC54" s="19" t="inlineStr">
        <is>
          <t>Interpretive reading; no fetched review assesses this pairing. The article's plot gives the relationship a sentence and then moves to the men's rivalry; there is little in the documented material on which to base more than a neutral reading, and the film was a failure that attracted no writing.</t>
        </is>
      </c>
      <c r="AD54" s="5" t="inlineStr">
        <is>
          <t>Unclear</t>
        </is>
      </c>
      <c r="AE54" s="5" t="inlineStr">
        <is>
          <t>Partial</t>
        </is>
      </c>
      <c r="AF54" s="5" t="inlineStr">
        <is>
          <t>Yes</t>
        </is>
      </c>
      <c r="AG54" s="5" t="inlineStr">
        <is>
          <t>Partial</t>
        </is>
      </c>
      <c r="AH54" s="5" t="inlineStr">
        <is>
          <t>Yes</t>
        </is>
      </c>
      <c r="AI54" s="5" t="inlineStr">
        <is>
          <t>Partial</t>
        </is>
      </c>
      <c r="AJ54" s="5" t="inlineStr">
        <is>
          <t>No</t>
        </is>
      </c>
      <c r="AK54" s="19" t="inlineStr">
        <is>
          <t>Not attributable to the relationship; Vijay's change is driven by his brother's murder.</t>
        </is>
      </c>
      <c r="AL54" s="19" t="inlineStr">
        <is>
          <t>Rekha moves from choosing Vijay to accepting Jeet out of gratitude for her father's acquittal.</t>
        </is>
      </c>
      <c r="AM54" s="5" t="inlineStr">
        <is>
          <t>Not stated; the film closes on Jeet's death shielding Vijay rather than on the romance.</t>
        </is>
      </c>
      <c r="AN54" s="5" t="inlineStr">
        <is>
          <t>Unclear</t>
        </is>
      </c>
      <c r="AO54" s="5" t="inlineStr">
        <is>
          <t>Unresolved</t>
        </is>
      </c>
      <c r="AP54" s="5" t="n"/>
      <c r="AQ54" s="19" t="inlineStr">
        <is>
          <t>A triangle in which the woman's choice is overridden by a debt her family owes, and in which the film's interest is entirely in what happens between the three men afterwards. The pattern, a woman transferred between men as settlement of an obligation, recurs across this filmography from Patanga onward.</t>
        </is>
      </c>
      <c r="AR54" s="19" t="inlineStr">
        <is>
          <t>Rekha's acceptance of Jeet is presented as gratitude and therefore as creditable, which is how the period's scripts convert a woman's coerced choice into a virtue. The film never returns to ask what she wanted, and its resolution is a death between two men.</t>
        </is>
      </c>
      <c r="AS54" s="5" t="inlineStr">
        <is>
          <t>SOURCE-001; SOURCE-077</t>
        </is>
      </c>
      <c r="AT54" s="5" t="inlineStr">
        <is>
          <t>Low</t>
        </is>
      </c>
    </row>
    <row r="55" ht="109" customHeight="1">
      <c r="A55" s="15" t="inlineStr">
        <is>
          <t>PAIR-054</t>
        </is>
      </c>
      <c r="B55" s="18" t="inlineStr">
        <is>
          <t>FILM-094</t>
        </is>
      </c>
      <c r="C55" s="5" t="inlineStr">
        <is>
          <t>Shaan</t>
        </is>
      </c>
      <c r="D55" s="17" t="n">
        <v>1980</v>
      </c>
      <c r="E55" s="5" t="inlineStr">
        <is>
          <t>Ravi Kumar</t>
        </is>
      </c>
      <c r="F55" s="5" t="inlineStr">
        <is>
          <t>Bindiya Goswami</t>
        </is>
      </c>
      <c r="G55" s="5" t="inlineStr">
        <is>
          <t>Renu, using the name Pushpa</t>
        </is>
      </c>
      <c r="H55" s="5" t="inlineStr">
        <is>
          <t>Supporting female lead</t>
        </is>
      </c>
      <c r="I55" s="5" t="inlineStr">
        <is>
          <t>No</t>
        </is>
      </c>
      <c r="J55" s="19" t="inlineStr">
        <is>
          <t>Playful conflict masking attraction</t>
        </is>
      </c>
      <c r="K55" s="5" t="inlineStr">
        <is>
          <t>A con man and a woman running a con of her own</t>
        </is>
      </c>
      <c r="L55" s="5" t="inlineStr">
        <is>
          <t>Ravi and Vijay meet her at a restaurant, where she is being pressed for a debt of Rs 30,000 by a middle-aged man; Ravi is attracted to her.</t>
        </is>
      </c>
      <c r="M55" s="5" t="inlineStr">
        <is>
          <t>Ravi</t>
        </is>
      </c>
      <c r="N55" s="19" t="inlineStr">
        <is>
          <t>Not courtship so much as mutual professional recognition: he tries to rescue her, discovers she has swindled him, and the two parties merge their operations.</t>
        </is>
      </c>
      <c r="O55" s="19" t="inlineStr">
        <is>
          <t>Light, wary and transactional, warming once the pretences are dropped on both sides.</t>
        </is>
      </c>
      <c r="P55" s="19" t="inlineStr">
        <is>
          <t>She and her uncle take the brothers for Rs 5,000 with a stolen car and a fake debt.</t>
        </is>
      </c>
      <c r="Q55" s="20" t="n">
        <v>3</v>
      </c>
      <c r="R55" s="19" t="inlineStr">
        <is>
          <t>The deception is mutual and is treated as a professional courtesy rather than a betrayal: the brothers are impressed enough to propose a partnership. Nothing that follows is played as a grievance between them.</t>
        </is>
      </c>
      <c r="S55" s="20" t="n">
        <v>6</v>
      </c>
      <c r="T55" s="5" t="inlineStr">
        <is>
          <t>Villain; Crime</t>
        </is>
      </c>
      <c r="U55" s="19" t="inlineStr">
        <is>
          <t>Shakaal, whose killing of the brothers' eldest sibling turns the whole group from confidence tricksters into avengers, and the island operation they eventually have to breach.</t>
        </is>
      </c>
      <c r="V55" s="20" t="n">
        <v>3</v>
      </c>
      <c r="W55" s="19" t="inlineStr">
        <is>
          <t>The film is a heist-and-revenge picture built on three men, and the attraction is a few scenes in the first act. Nothing in Ravi's arc is driven by Renu, and the relationship all but disappears once the revenge plot begins.</t>
        </is>
      </c>
      <c r="X55" s="20" t="n">
        <v>4</v>
      </c>
      <c r="Y55" s="20" t="n">
        <v>6</v>
      </c>
      <c r="Z55" s="20" t="n">
        <v>6</v>
      </c>
      <c r="AA55" s="20" t="n">
        <v>7</v>
      </c>
      <c r="AB55" s="20" t="n">
        <v>6</v>
      </c>
      <c r="AC55" s="19" t="inlineStr">
        <is>
          <t>Interpretive reading; no fetched review assesses this pairing. The scenes are brisk and the joke, that each is trying to swindle the other, gives the pairing more to play than most third-act-free romances in this filmography; the film's attention is elsewhere from the midpoint on.</t>
        </is>
      </c>
      <c r="AD55" s="5" t="inlineStr">
        <is>
          <t>Yes</t>
        </is>
      </c>
      <c r="AE55" s="5" t="inlineStr">
        <is>
          <t>No</t>
        </is>
      </c>
      <c r="AF55" s="5" t="inlineStr">
        <is>
          <t>No</t>
        </is>
      </c>
      <c r="AG55" s="5" t="inlineStr">
        <is>
          <t>Yes</t>
        </is>
      </c>
      <c r="AH55" s="5" t="inlineStr">
        <is>
          <t>No</t>
        </is>
      </c>
      <c r="AI55" s="5" t="inlineStr">
        <is>
          <t>No</t>
        </is>
      </c>
      <c r="AJ55" s="5" t="inlineStr">
        <is>
          <t>Yes</t>
        </is>
      </c>
      <c r="AK55" s="19" t="inlineStr">
        <is>
          <t>None attributable to the relationship.</t>
        </is>
      </c>
      <c r="AL55" s="19" t="inlineStr">
        <is>
          <t>Renu moves from running a con on the brothers to joining their operation.</t>
        </is>
      </c>
      <c r="AM55" s="5" t="inlineStr">
        <is>
          <t>Not separately resolved; she is part of the group by the end.</t>
        </is>
      </c>
      <c r="AN55" s="5" t="inlineStr">
        <is>
          <t>Unclear</t>
        </is>
      </c>
      <c r="AO55" s="5" t="inlineStr">
        <is>
          <t>Happy</t>
        </is>
      </c>
      <c r="AP55" s="5" t="n"/>
      <c r="AQ55" s="19" t="inlineStr">
        <is>
          <t>Notable mainly because the woman is a confidence trickster rather than a victim: Renu's debt, her name and her car are all fabrications, and she takes the brothers' money before they take hers. The female-agency score is unusually high for a romance this peripheral.</t>
        </is>
      </c>
      <c r="AR55" s="19" t="inlineStr">
        <is>
          <t>Having established a heroine who is nobody's dupe, the film promptly absorbs her into a male gang and gives her nothing to do in the assault that forms its climax. That pattern, a capable woman introduced and then parked, recurs across the multi-starrers of this period.</t>
        </is>
      </c>
      <c r="AS55" s="5" t="inlineStr">
        <is>
          <t>SOURCE-001; SOURCE-078</t>
        </is>
      </c>
      <c r="AT55" s="5" t="inlineStr">
        <is>
          <t>Medium</t>
        </is>
      </c>
    </row>
    <row r="56" ht="124" customHeight="1">
      <c r="A56" s="15" t="inlineStr">
        <is>
          <t>PAIR-055</t>
        </is>
      </c>
      <c r="B56" s="18" t="inlineStr">
        <is>
          <t>FILM-095</t>
        </is>
      </c>
      <c r="C56" s="5" t="inlineStr">
        <is>
          <t>Baseraa</t>
        </is>
      </c>
      <c r="D56" s="17" t="n">
        <v>1981</v>
      </c>
      <c r="E56" s="5" t="inlineStr">
        <is>
          <t>Balraj Kohli</t>
        </is>
      </c>
      <c r="F56" s="5" t="inlineStr">
        <is>
          <t>Raakhee</t>
        </is>
      </c>
      <c r="G56" s="5" t="inlineStr">
        <is>
          <t>Sharada</t>
        </is>
      </c>
      <c r="H56" s="5" t="inlineStr">
        <is>
          <t>Female lead</t>
        </is>
      </c>
      <c r="I56" s="5" t="inlineStr">
        <is>
          <t>Yes</t>
        </is>
      </c>
      <c r="J56" s="19" t="inlineStr">
        <is>
          <t>Marriage under strain</t>
        </is>
      </c>
      <c r="K56" s="5" t="inlineStr">
        <is>
          <t>His first wife, comatose in an institution for fourteen years</t>
        </is>
      </c>
      <c r="L56" s="5" t="inlineStr">
        <is>
          <t>Not dramatised; the marriage predates the film and is interrupted by her fall.</t>
        </is>
      </c>
      <c r="M56" s="5" t="inlineStr">
        <is>
          <t>Not recorded</t>
        </is>
      </c>
      <c r="N56" s="19" t="inlineStr">
        <is>
          <t>None. The relationship exists as an unresolved first marriage running underneath a second one.</t>
        </is>
      </c>
      <c r="O56" s="19" t="inlineStr">
        <is>
          <t>Genuine affection on his side, expressed almost entirely as the wish not to harm her with the truth.</t>
        </is>
      </c>
      <c r="P56" s="19" t="inlineStr">
        <is>
          <t>He has married her sister in her absence, and the household is staged to conceal it from her.</t>
        </is>
      </c>
      <c r="Q56" s="20" t="n">
        <v>6</v>
      </c>
      <c r="R56" s="19" t="inlineStr">
        <is>
          <t>Severe once she recovers, though it is never a quarrel: the injury is the concealment itself, and when it comes out she loses consciousness, becomes violent, and has to be sent back to the institution. The damage is total and it was done, however defensibly, by him.</t>
        </is>
      </c>
      <c r="S56" s="20" t="n">
        <v>7</v>
      </c>
      <c r="T56" s="5" t="inlineStr">
        <is>
          <t>Family; Illness; Fate</t>
        </is>
      </c>
      <c r="U56" s="19" t="inlineStr">
        <is>
          <t>The fall that put her in a coma for fourteen years, the doctor's decision not to tell her of the second marriage, and the presence of her sister as the current wife. The obstacle is circumstance compounded by a family conspiracy of silence.</t>
        </is>
      </c>
      <c r="V56" s="20" t="n">
        <v>3</v>
      </c>
      <c r="W56" s="19" t="inlineStr">
        <is>
          <t>There is no courtship and no romantic conduct toward Sharada; Balraj's behaviour is entirely protective and evasive. The role is a husband managing an impossible domestic arrangement, not a lover.</t>
        </is>
      </c>
      <c r="X56" s="20" t="n">
        <v>7</v>
      </c>
      <c r="Y56" s="20" t="n">
        <v>4</v>
      </c>
      <c r="Z56" s="20" t="n">
        <v>4</v>
      </c>
      <c r="AA56" s="20" t="n">
        <v>7</v>
      </c>
      <c r="AB56" s="20" t="n">
        <v>6</v>
      </c>
      <c r="AC56" s="19" t="inlineStr">
        <is>
          <t>Interpretive reading; no fetched review assesses this pairing, though Raakhee was nominated for the Filmfare Best Actress award for the film. The relationship is played almost entirely in what is withheld, and Raakhee's final turn, feigning madness to release the household, is the performance the nomination recognised.</t>
        </is>
      </c>
      <c r="AD56" s="5" t="inlineStr">
        <is>
          <t>No</t>
        </is>
      </c>
      <c r="AE56" s="5" t="inlineStr">
        <is>
          <t>Yes</t>
        </is>
      </c>
      <c r="AF56" s="5" t="inlineStr">
        <is>
          <t>Partial</t>
        </is>
      </c>
      <c r="AG56" s="5" t="inlineStr">
        <is>
          <t>Yes</t>
        </is>
      </c>
      <c r="AH56" s="5" t="inlineStr">
        <is>
          <t>Yes</t>
        </is>
      </c>
      <c r="AI56" s="5" t="inlineStr">
        <is>
          <t>Yes</t>
        </is>
      </c>
      <c r="AJ56" s="5" t="inlineStr">
        <is>
          <t>No</t>
        </is>
      </c>
      <c r="AK56" s="19" t="inlineStr">
        <is>
          <t>From a man relieved at his wife's recovery to one who must return her to an institution to keep his household standing.</t>
        </is>
      </c>
      <c r="AL56" s="19" t="inlineStr">
        <is>
          <t>Sharada wakes into a world fourteen years on, discovers her sister has her husband, and finally acts by pretending to be mad so that she can leave them to it.</t>
        </is>
      </c>
      <c r="AM56" s="5" t="inlineStr">
        <is>
          <t>She is returned to the institution and, as Sarita discovers, is play-acting her madness in order to exit the family.</t>
        </is>
      </c>
      <c r="AN56" s="5" t="inlineStr">
        <is>
          <t>No</t>
        </is>
      </c>
      <c r="AO56" s="5" t="inlineStr">
        <is>
          <t>Tragic</t>
        </is>
      </c>
      <c r="AP56" s="5" t="n"/>
      <c r="AQ56" s="19" t="inlineStr">
        <is>
          <t>The first of two rows for this film. The pairing is among the most quietly devastating in the filmography: a marriage that never ended, a wife who was never told, and a resolution in which she feigns insanity to release her husband and her sister. Her deception, unlike his, is an act of will, which is why female agency scores high against a very low health score.</t>
        </is>
      </c>
      <c r="AR56" s="19" t="inlineStr">
        <is>
          <t>The film's sympathy is arranged around Balraj's impossible position and Purnima's sacrifice in dressing as a widow, while the person actually deprived of fourteen years and then of her husband is asked to withdraw quietly. That the script gives Sharada the dignity of choosing her own exit is its best decision, and it is made almost in passing.</t>
        </is>
      </c>
      <c r="AS56" s="5" t="inlineStr">
        <is>
          <t>SOURCE-001; SOURCE-083</t>
        </is>
      </c>
      <c r="AT56" s="5" t="inlineStr">
        <is>
          <t>Medium</t>
        </is>
      </c>
    </row>
    <row r="57" ht="124" customHeight="1">
      <c r="A57" s="15" t="inlineStr">
        <is>
          <t>PAIR-056</t>
        </is>
      </c>
      <c r="B57" s="18" t="inlineStr">
        <is>
          <t>FILM-095</t>
        </is>
      </c>
      <c r="C57" s="5" t="inlineStr">
        <is>
          <t>Baseraa</t>
        </is>
      </c>
      <c r="D57" s="17" t="n">
        <v>1981</v>
      </c>
      <c r="E57" s="5" t="inlineStr">
        <is>
          <t>Balraj Kohli</t>
        </is>
      </c>
      <c r="F57" s="5" t="inlineStr">
        <is>
          <t>Rekha</t>
        </is>
      </c>
      <c r="G57" s="5" t="inlineStr">
        <is>
          <t>Purnima</t>
        </is>
      </c>
      <c r="H57" s="5" t="inlineStr">
        <is>
          <t>Female lead</t>
        </is>
      </c>
      <c r="I57" s="5" t="inlineStr">
        <is>
          <t>Yes</t>
        </is>
      </c>
      <c r="J57" s="19" t="inlineStr">
        <is>
          <t>Established relationship</t>
        </is>
      </c>
      <c r="K57" s="5" t="inlineStr">
        <is>
          <t>His second wife, and his first wife's younger sister</t>
        </is>
      </c>
      <c r="L57" s="5" t="inlineStr">
        <is>
          <t>Purnima is Sharada's younger sister, widowed young; she and Balraj married after years in which Sharada showed no sign of recovering.</t>
        </is>
      </c>
      <c r="M57" s="5" t="inlineStr">
        <is>
          <t>Not recorded; the marriage follows the loss of hope for Sharada</t>
        </is>
      </c>
      <c r="N57" s="19" t="inlineStr">
        <is>
          <t>None shown. The marriage is settled and happy when the film opens.</t>
        </is>
      </c>
      <c r="O57" s="19" t="inlineStr">
        <is>
          <t>A contented middle-aged marriage that is asked, without warning, to pretend it does not exist.</t>
        </is>
      </c>
      <c r="P57" s="19" t="inlineStr">
        <is>
          <t>Nothing between them; the strain is that Sharada's recovery requires Purnima to unmake her own position in the house.</t>
        </is>
      </c>
      <c r="Q57" s="20" t="n">
        <v>2</v>
      </c>
      <c r="R57" s="19" t="inlineStr">
        <is>
          <t>The couple are entirely aligned and act together throughout, including in the deception. Balraj's distress at seeing her in a widow's clothes is the closest the film comes to friction between them, and it is sympathy rather than conflict.</t>
        </is>
      </c>
      <c r="S57" s="20" t="n">
        <v>8</v>
      </c>
      <c r="T57" s="5" t="inlineStr">
        <is>
          <t>Family; Illness; Fate</t>
        </is>
      </c>
      <c r="U57" s="19" t="inlineStr">
        <is>
          <t>Sharada's recovery, which makes the marriage unspeakable; the doctor's instruction to conceal it; and the elaborate reconstruction of the household as it stood fourteen years earlier, with Purnima dressed as a widow and her own son sent away to Sarita's hostel.</t>
        </is>
      </c>
      <c r="V57" s="20" t="n">
        <v>3</v>
      </c>
      <c r="W57" s="19" t="inlineStr">
        <is>
          <t>A settled husband in a domestic drama, with no courtship, pursuit or romantic display. What the role expresses is partnership under pressure, which is the opposite pole of the archetype from Jab Jab Phool Khile.</t>
        </is>
      </c>
      <c r="X57" s="20" t="n">
        <v>8</v>
      </c>
      <c r="Y57" s="20" t="n">
        <v>7</v>
      </c>
      <c r="Z57" s="20" t="n">
        <v>8</v>
      </c>
      <c r="AA57" s="20" t="n">
        <v>6</v>
      </c>
      <c r="AB57" s="20" t="n">
        <v>7</v>
      </c>
      <c r="AC57" s="19" t="inlineStr">
        <is>
          <t>Interpretive reading; no fetched review assesses this pairing. Kapoor and Rekha play a marriage of long standing rather than an attraction, and the film asks them to convey it while acting out its absence; the scenes of Purnima in widow's dress with Balraj unable to look at her are where the pairing registers.</t>
        </is>
      </c>
      <c r="AD57" s="5" t="inlineStr">
        <is>
          <t>Partial</t>
        </is>
      </c>
      <c r="AE57" s="5" t="inlineStr">
        <is>
          <t>No</t>
        </is>
      </c>
      <c r="AF57" s="5" t="inlineStr">
        <is>
          <t>No</t>
        </is>
      </c>
      <c r="AG57" s="5" t="inlineStr">
        <is>
          <t>Yes</t>
        </is>
      </c>
      <c r="AH57" s="5" t="inlineStr">
        <is>
          <t>Partial</t>
        </is>
      </c>
      <c r="AI57" s="5" t="inlineStr">
        <is>
          <t>Yes</t>
        </is>
      </c>
      <c r="AJ57" s="5" t="inlineStr">
        <is>
          <t>Yes</t>
        </is>
      </c>
      <c r="AK57" s="19" t="inlineStr">
        <is>
          <t>Balraj holds the arrangement together and is finally forced to abandon it when the truth escapes.</t>
        </is>
      </c>
      <c r="AL57" s="19" t="inlineStr">
        <is>
          <t>Purnima erases herself, resuming a widow's clothes and sending away her own child, to protect the sister whose husband she married.</t>
        </is>
      </c>
      <c r="AM57" s="5" t="inlineStr">
        <is>
          <t>The marriage survives; Sharada is returned to the institution.</t>
        </is>
      </c>
      <c r="AN57" s="5" t="inlineStr">
        <is>
          <t>Yes</t>
        </is>
      </c>
      <c r="AO57" s="5" t="inlineStr">
        <is>
          <t>Unresolved</t>
        </is>
      </c>
      <c r="AP57" s="5" t="n"/>
      <c r="AQ57" s="19" t="inlineStr">
        <is>
          <t>The second row for Baseraa, and the reason the film needs two: Kapoor's character is married to both sisters within the same house, one legally and one in memory, and the drama is entirely in how the two marriages cannot occupy the same room. The pairing with Purnima scores high on mutuality and health precisely because its cost is paid by the other woman.</t>
        </is>
      </c>
      <c r="AR57" s="19" t="inlineStr">
        <is>
          <t>Purnima's sacrifice is the film's emotional centrepiece and is also, on inspection, the erasure of a woman's marriage and motherhood to spare her sister's feelings, undertaken on a doctor's advice and a husband's consent. The film admires it without asking whether anyone might simply have told Sharada the truth.</t>
        </is>
      </c>
      <c r="AS57" s="5" t="inlineStr">
        <is>
          <t>SOURCE-001; SOURCE-083</t>
        </is>
      </c>
      <c r="AT57" s="5" t="inlineStr">
        <is>
          <t>Medium</t>
        </is>
      </c>
    </row>
    <row r="58" ht="94" customHeight="1">
      <c r="A58" s="15" t="inlineStr">
        <is>
          <t>PAIR-057</t>
        </is>
      </c>
      <c r="B58" s="18" t="inlineStr">
        <is>
          <t>FILM-098</t>
        </is>
      </c>
      <c r="C58" s="5" t="inlineStr">
        <is>
          <t>Krodhi</t>
        </is>
      </c>
      <c r="D58" s="17" t="n">
        <v>1981</v>
      </c>
      <c r="E58" s="5" t="inlineStr">
        <is>
          <t>CBI Officer Kumar Sahni</t>
        </is>
      </c>
      <c r="F58" s="5" t="inlineStr">
        <is>
          <t>Zeenat Aman</t>
        </is>
      </c>
      <c r="G58" s="5" t="inlineStr">
        <is>
          <t>Neera Sahni</t>
        </is>
      </c>
      <c r="H58" s="5" t="inlineStr">
        <is>
          <t>Female lead</t>
        </is>
      </c>
      <c r="I58" s="5" t="inlineStr">
        <is>
          <t>Yes</t>
        </is>
      </c>
      <c r="J58" s="19" t="inlineStr">
        <is>
          <t>Romance subordinate to another genre</t>
        </is>
      </c>
      <c r="K58" s="5" t="inlineStr">
        <is>
          <t>A CBI officer and a woman who had been an associate of the don he is hunting</t>
        </is>
      </c>
      <c r="L58" s="5" t="inlineStr">
        <is>
          <t>Not dramatised; the article records only that one of Vicky's associates, Neera, marries the CBI officer Kumar Sahni, and that this changes the direction of the story.</t>
        </is>
      </c>
      <c r="M58" s="5" t="inlineStr">
        <is>
          <t>Not recorded</t>
        </is>
      </c>
      <c r="N58" s="19" t="inlineStr">
        <is>
          <t>Not shown. The marriage is reported rather than dramatised.</t>
        </is>
      </c>
      <c r="O58" s="19" t="inlineStr">
        <is>
          <t>Not developed by the article's summary; the marriage functions as a structural connection between the police and the underworld.</t>
        </is>
      </c>
      <c r="P58" s="19" t="inlineStr">
        <is>
          <t>Her past with Vicky, and her discovery years later that he is alive and living as a healer near her in-laws.</t>
        </is>
      </c>
      <c r="Q58" s="20" t="n">
        <v>4</v>
      </c>
      <c r="R58" s="19" t="inlineStr">
        <is>
          <t>No quarrel is recorded, but the marriage carries an unresolved connection to the man her husband was hunting, and it is she, not he, who finds Vicky alive. The friction is latent rather than enacted.</t>
        </is>
      </c>
      <c r="S58" s="20" t="n">
        <v>6</v>
      </c>
      <c r="T58" s="5" t="inlineStr">
        <is>
          <t>Crime; Villain; Existing relationship</t>
        </is>
      </c>
      <c r="U58" s="19" t="inlineStr">
        <is>
          <t>Vicky himself, whose survival puts Neera in the position of being the only witness, and the criminal organisation she was once part of.</t>
        </is>
      </c>
      <c r="V58" s="20" t="n">
        <v>3</v>
      </c>
      <c r="W58" s="19" t="inlineStr">
        <is>
          <t>The film belongs to Dharmendra's Vicky, whose own lost love drives it. Kapoor's officer is a husband and an investigator with no courtship and no romantic arc of his own.</t>
        </is>
      </c>
      <c r="X58" s="20" t="n">
        <v>5</v>
      </c>
      <c r="Y58" s="20" t="n">
        <v>6</v>
      </c>
      <c r="Z58" s="20" t="n">
        <v>5</v>
      </c>
      <c r="AA58" s="20" t="n">
        <v>6</v>
      </c>
      <c r="AB58" s="20" t="n">
        <v>5</v>
      </c>
      <c r="AC58" s="19" t="inlineStr">
        <is>
          <t>Interpretive reading; no fetched review assesses this pairing. The article's summary reports the marriage in a single clause and gives the couple no scenes to characterise, so there is little documented basis for more than a neutral assessment.</t>
        </is>
      </c>
      <c r="AD58" s="5" t="inlineStr">
        <is>
          <t>Unclear</t>
        </is>
      </c>
      <c r="AE58" s="5" t="inlineStr">
        <is>
          <t>Unclear</t>
        </is>
      </c>
      <c r="AF58" s="5" t="inlineStr">
        <is>
          <t>Partial</t>
        </is>
      </c>
      <c r="AG58" s="5" t="inlineStr">
        <is>
          <t>Partial</t>
        </is>
      </c>
      <c r="AH58" s="5" t="inlineStr">
        <is>
          <t>No</t>
        </is>
      </c>
      <c r="AI58" s="5" t="inlineStr">
        <is>
          <t>Unclear</t>
        </is>
      </c>
      <c r="AJ58" s="5" t="inlineStr">
        <is>
          <t>Partial</t>
        </is>
      </c>
      <c r="AK58" s="19" t="inlineStr">
        <is>
          <t>Not documented.</t>
        </is>
      </c>
      <c r="AL58" s="19" t="inlineStr">
        <is>
          <t>Neera moves from a don's associate to a CBI officer's wife, and then to the person who recognises him in his new life.</t>
        </is>
      </c>
      <c r="AM58" s="5" t="inlineStr">
        <is>
          <t>Not stated; the summary ends on Vicky's decision about the only witness to his survival.</t>
        </is>
      </c>
      <c r="AN58" s="5" t="inlineStr">
        <is>
          <t>Yes</t>
        </is>
      </c>
      <c r="AO58" s="5" t="n"/>
      <c r="AP58" s="5" t="n"/>
      <c r="AQ58" s="19" t="inlineStr">
        <is>
          <t>A marriage that exists to connect two halves of a plot: the woman who knew the don becomes the wife of the officer chasing him, and is then the one who finds him. It is a thin pairing, entered because the article gives the marriage explicit structural weight, and most categorical fields are marked unclear.</t>
        </is>
      </c>
      <c r="AR58" s="19" t="inlineStr">
        <is>
          <t>Neera is positioned between two men as the hinge of the plot, and the summary's framing, that the don must decide whether to kill this only witness, reduces her to a liability to be managed. The film's emotional investment is in Vicky's murdered first love rather than in the living wife.</t>
        </is>
      </c>
      <c r="AS58" s="5" t="inlineStr">
        <is>
          <t>SOURCE-001; SOURCE-080</t>
        </is>
      </c>
      <c r="AT58" s="5" t="inlineStr">
        <is>
          <t>Low</t>
        </is>
      </c>
    </row>
    <row r="59" ht="109" customHeight="1">
      <c r="A59" s="15" t="inlineStr">
        <is>
          <t>PAIR-058</t>
        </is>
      </c>
      <c r="B59" s="18" t="inlineStr">
        <is>
          <t>FILM-101</t>
        </is>
      </c>
      <c r="C59" s="5" t="inlineStr">
        <is>
          <t>Silsila</t>
        </is>
      </c>
      <c r="D59" s="17" t="n">
        <v>1981</v>
      </c>
      <c r="E59" s="5" t="inlineStr">
        <is>
          <t>Sqn. Ldr. Shekhar Malhotra</t>
        </is>
      </c>
      <c r="F59" s="5" t="inlineStr">
        <is>
          <t>Jaya Bachchan</t>
        </is>
      </c>
      <c r="G59" s="5" t="inlineStr">
        <is>
          <t>Shobha</t>
        </is>
      </c>
      <c r="H59" s="5" t="inlineStr">
        <is>
          <t>Female lead</t>
        </is>
      </c>
      <c r="I59" s="5" t="inlineStr">
        <is>
          <t>Partial</t>
        </is>
      </c>
      <c r="J59" s="19" t="inlineStr">
        <is>
          <t>Tragic lovers</t>
        </is>
      </c>
      <c r="K59" s="5" t="inlineStr">
        <is>
          <t>Engaged to be married</t>
        </is>
      </c>
      <c r="L59" s="5" t="inlineStr">
        <is>
          <t>Not dramatised; Shekhar introduces his fiancee Shobha to his brother Amit, and the three form a close friendship.</t>
        </is>
      </c>
      <c r="M59" s="5" t="inlineStr">
        <is>
          <t>Not recorded</t>
        </is>
      </c>
      <c r="N59" s="19" t="inlineStr">
        <is>
          <t>Settled before the film opens; what is shown is the camaraderie between the engaged couple and Shekhar's brother.</t>
        </is>
      </c>
      <c r="O59" s="19" t="inlineStr">
        <is>
          <t>Warm and uncomplicated, and the only unshadowed relationship in the film.</t>
        </is>
      </c>
      <c r="P59" s="19" t="inlineStr">
        <is>
          <t>None. The relationship is ended by his death, not by anything between them.</t>
        </is>
      </c>
      <c r="Q59" s="20" t="n">
        <v>1</v>
      </c>
      <c r="R59" s="19" t="inlineStr">
        <is>
          <t>No conflict of any kind is recorded. The engagement is happy and brief, and the film's every subsequent complication flows from its interruption rather than from any flaw in it.</t>
        </is>
      </c>
      <c r="S59" s="20" t="n">
        <v>8</v>
      </c>
      <c r="T59" s="5" t="inlineStr">
        <is>
          <t>War or politics; Fate</t>
        </is>
      </c>
      <c r="U59" s="19" t="inlineStr">
        <is>
          <t>The Indo-Pakistani War of 1971, in which Shekhar is killed before the marriage, leaving Shobha pregnant and unmarried and creating the social exposure that Amit marries her to prevent.</t>
        </is>
      </c>
      <c r="V59" s="20" t="n">
        <v>5</v>
      </c>
      <c r="W59" s="19" t="inlineStr">
        <is>
          <t>Shekhar is an uncomplicatedly loving fiance and nothing else: there is no pursuit, obstacle or sacrifice, and the part is short. Scored at the midpoint as a straightforwardly romantic role with very little screen time in which to be one.</t>
        </is>
      </c>
      <c r="X59" s="20" t="n">
        <v>6</v>
      </c>
      <c r="Y59" s="20" t="n">
        <v>8</v>
      </c>
      <c r="Z59" s="20" t="n">
        <v>8</v>
      </c>
      <c r="AA59" s="20" t="n">
        <v>5</v>
      </c>
      <c r="AB59" s="20" t="n">
        <v>6</v>
      </c>
      <c r="AC59" s="19" t="inlineStr">
        <is>
          <t>Interpretive reading; no fetched review assesses this pairing. The film needs the engagement to register quickly and warmly so that its loss can drive everything after, and Kapoor and Jaya Bachchan supply that economically; they have few scenes before he is killed.</t>
        </is>
      </c>
      <c r="AD59" s="5" t="inlineStr">
        <is>
          <t>Yes</t>
        </is>
      </c>
      <c r="AE59" s="5" t="inlineStr">
        <is>
          <t>No</t>
        </is>
      </c>
      <c r="AF59" s="5" t="inlineStr">
        <is>
          <t>No</t>
        </is>
      </c>
      <c r="AG59" s="5" t="inlineStr">
        <is>
          <t>No</t>
        </is>
      </c>
      <c r="AH59" s="5" t="inlineStr">
        <is>
          <t>Yes</t>
        </is>
      </c>
      <c r="AI59" s="5" t="inlineStr">
        <is>
          <t>No</t>
        </is>
      </c>
      <c r="AJ59" s="5" t="inlineStr">
        <is>
          <t>Yes</t>
        </is>
      </c>
      <c r="AK59" s="19" t="inlineStr">
        <is>
          <t>None; he dies in the first movement.</t>
        </is>
      </c>
      <c r="AL59" s="19" t="inlineStr">
        <is>
          <t>Shobha passes from a happily engaged woman to a pregnant widow-in-effect, married to her fiance's brother to spare her the stigma, and then into a passionless marriage she comes to value.</t>
        </is>
      </c>
      <c r="AM59" s="5" t="inlineStr">
        <is>
          <t>Ended by Shekhar's death in the 1971 war.</t>
        </is>
      </c>
      <c r="AN59" s="5" t="inlineStr">
        <is>
          <t>No</t>
        </is>
      </c>
      <c r="AO59" s="5" t="inlineStr">
        <is>
          <t>Tragic</t>
        </is>
      </c>
      <c r="AP59" s="5" t="n"/>
      <c r="AQ59" s="19" t="inlineStr">
        <is>
          <t>The shortest consequential pairing in the filmography: Kapoor's character is dead within the first movement, and the entire film, an adultery drama about his brother, exists because of it. It is the clearest case for scoring narrative weight separately from screen time, since the romance is minor in duration and foundational in effect.</t>
        </is>
      </c>
      <c r="AR59" s="19" t="inlineStr">
        <is>
          <t>Shobha's pregnancy is treated by the film as a problem of social exposure to be solved by a substitute husband, and the arrangement is made between brothers and circumstance rather than by her. The film is more interested in Amit's divided heart than in the woman married twice over to manage a scandal.</t>
        </is>
      </c>
      <c r="AS59" s="5" t="inlineStr">
        <is>
          <t>SOURCE-001; SOURCE-082</t>
        </is>
      </c>
      <c r="AT59" s="5" t="inlineStr">
        <is>
          <t>Medium</t>
        </is>
      </c>
    </row>
    <row r="60" ht="94" customHeight="1">
      <c r="A60" s="15" t="inlineStr">
        <is>
          <t>PAIR-059</t>
        </is>
      </c>
      <c r="B60" s="18" t="inlineStr">
        <is>
          <t>FILM-102</t>
        </is>
      </c>
      <c r="C60" s="5" t="inlineStr">
        <is>
          <t>Bezubaan</t>
        </is>
      </c>
      <c r="D60" s="17" t="n">
        <v>1982</v>
      </c>
      <c r="E60" s="5" t="inlineStr">
        <is>
          <t>Kumar</t>
        </is>
      </c>
      <c r="F60" s="5" t="inlineStr">
        <is>
          <t>Reena Roy</t>
        </is>
      </c>
      <c r="G60" s="5" t="inlineStr">
        <is>
          <t>Kalpana</t>
        </is>
      </c>
      <c r="H60" s="5" t="inlineStr">
        <is>
          <t>Female lead</t>
        </is>
      </c>
      <c r="I60" s="5" t="inlineStr">
        <is>
          <t>Yes</t>
        </is>
      </c>
      <c r="J60" s="19" t="inlineStr">
        <is>
          <t>Marriage under strain</t>
        </is>
      </c>
      <c r="K60" s="5" t="inlineStr">
        <is>
          <t>Married, with a history on her side he does not know about</t>
        </is>
      </c>
      <c r="L60" s="5" t="inlineStr">
        <is>
          <t>Not dramatised; Kalpana marries the industrialist Kumar after her relationship with Raman, her pregnancy and her attempted suicide.</t>
        </is>
      </c>
      <c r="M60" s="5" t="inlineStr">
        <is>
          <t>Not recorded</t>
        </is>
      </c>
      <c r="N60" s="19" t="inlineStr">
        <is>
          <t>Not shown. The film's interest begins with the marriage and the blackmail that follows it.</t>
        </is>
      </c>
      <c r="O60" s="19" t="inlineStr">
        <is>
          <t>A wealthy, apparently settled marriage carrying a secret and a blackmailer.</t>
        </is>
      </c>
      <c r="P60" s="19" t="inlineStr">
        <is>
          <t>Shivnath's blackmail over photographs of Kalpana with Raman, and the history she has not told her husband.</t>
        </is>
      </c>
      <c r="Q60" s="20" t="n">
        <v>5</v>
      </c>
      <c r="R60" s="19" t="inlineStr">
        <is>
          <t>The strain is substantial and sits between them, since it consists of what she is concealing, but it is resolved by her own disclosure rather than by a confrontation. The film ends with Shivnath guilty and the marriage intact.</t>
        </is>
      </c>
      <c r="S60" s="20" t="n">
        <v>7</v>
      </c>
      <c r="T60" s="5" t="inlineStr">
        <is>
          <t>Existing relationship; Crime; Villain</t>
        </is>
      </c>
      <c r="U60" s="19" t="inlineStr">
        <is>
          <t>Shivnath, a struggling photographer married to Kalpana's former roommate, who holds photographs of her with Raman and blackmails her with them, and Raman himself, who reappears as a taxi driver and helps her after an accident.</t>
        </is>
      </c>
      <c r="V60" s="20" t="n">
        <v>4</v>
      </c>
      <c r="W60" s="19" t="inlineStr">
        <is>
          <t>Kumar is a husband rather than a suitor: no courtship is shown, and his function is to be the man to whom the truth is eventually told. The romantic content is in Kalpana's past, not in his conduct.</t>
        </is>
      </c>
      <c r="X60" s="20" t="n">
        <v>8</v>
      </c>
      <c r="Y60" s="20" t="n">
        <v>6</v>
      </c>
      <c r="Z60" s="20" t="n">
        <v>5</v>
      </c>
      <c r="AA60" s="20" t="n">
        <v>7</v>
      </c>
      <c r="AB60" s="20" t="n">
        <v>6</v>
      </c>
      <c r="AC60" s="19" t="inlineStr">
        <is>
          <t>Interpretive reading; no fetched review assesses this pairing. The film is Reena Roy's, with Kapoor as the stable point she finally confides in; the pairing is written as security rather than attraction and is played accordingly.</t>
        </is>
      </c>
      <c r="AD60" s="5" t="inlineStr">
        <is>
          <t>No</t>
        </is>
      </c>
      <c r="AE60" s="5" t="inlineStr">
        <is>
          <t>Partial</t>
        </is>
      </c>
      <c r="AF60" s="5" t="inlineStr">
        <is>
          <t>Partial</t>
        </is>
      </c>
      <c r="AG60" s="5" t="inlineStr">
        <is>
          <t>Yes</t>
        </is>
      </c>
      <c r="AH60" s="5" t="inlineStr">
        <is>
          <t>No</t>
        </is>
      </c>
      <c r="AI60" s="5" t="inlineStr">
        <is>
          <t>Partial</t>
        </is>
      </c>
      <c r="AJ60" s="5" t="inlineStr">
        <is>
          <t>Partial</t>
        </is>
      </c>
      <c r="AK60" s="19" t="inlineStr">
        <is>
          <t>From an unknowing husband to one told everything and remaining.</t>
        </is>
      </c>
      <c r="AL60" s="19" t="inlineStr">
        <is>
          <t>Kalpana moves from concealment and vulnerability to blackmail, to telling her husband the whole of it herself.</t>
        </is>
      </c>
      <c r="AM60" s="5" t="inlineStr">
        <is>
          <t>She reveals everything to Kumar and Shivnath is left guilty; the marriage holds.</t>
        </is>
      </c>
      <c r="AN60" s="5" t="inlineStr">
        <is>
          <t>Yes</t>
        </is>
      </c>
      <c r="AO60" s="5" t="inlineStr">
        <is>
          <t>Happy</t>
        </is>
      </c>
      <c r="AP60" s="5" t="n"/>
      <c r="AQ60" s="19" t="inlineStr">
        <is>
          <t>One of a small group of films in which Kapoor plays the husband who is told a difficult truth and does not punish the teller. Set against Satyam Shivam Sundaram, made four years earlier, the contrast is instructive: the same actor, a comparable revelation, and the opposite response.</t>
        </is>
      </c>
      <c r="AR60" s="19" t="inlineStr">
        <is>
          <t>The film treats a woman's pre-marital relationship and pregnancy as a secret requiring blackmail and confession, which is the period's standard moral arithmetic. What distinguishes it is that the disclosure is hers to make and that the husband's acceptance, rather than her punishment, is the resolution.</t>
        </is>
      </c>
      <c r="AS60" s="5" t="inlineStr">
        <is>
          <t>SOURCE-001; SOURCE-089</t>
        </is>
      </c>
      <c r="AT60" s="5" t="inlineStr">
        <is>
          <t>Medium</t>
        </is>
      </c>
    </row>
    <row r="61" ht="109" customHeight="1">
      <c r="A61" s="15" t="inlineStr">
        <is>
          <t>PAIR-060</t>
        </is>
      </c>
      <c r="B61" s="18" t="inlineStr">
        <is>
          <t>FILM-103</t>
        </is>
      </c>
      <c r="C61" s="5" t="inlineStr">
        <is>
          <t>Vijeta</t>
        </is>
      </c>
      <c r="D61" s="17" t="n">
        <v>1982</v>
      </c>
      <c r="E61" s="5" t="inlineStr">
        <is>
          <t>Nihal Singh</t>
        </is>
      </c>
      <c r="F61" s="5" t="inlineStr">
        <is>
          <t>Rekha</t>
        </is>
      </c>
      <c r="G61" s="5" t="inlineStr">
        <is>
          <t>Neelima Singh</t>
        </is>
      </c>
      <c r="H61" s="5" t="inlineStr">
        <is>
          <t>Female lead</t>
        </is>
      </c>
      <c r="I61" s="5" t="inlineStr">
        <is>
          <t>Yes</t>
        </is>
      </c>
      <c r="J61" s="19" t="inlineStr">
        <is>
          <t>Marriage under strain</t>
        </is>
      </c>
      <c r="K61" s="5" t="inlineStr">
        <is>
          <t>A long marriage across a cultural divide, already failing</t>
        </is>
      </c>
      <c r="L61" s="5" t="inlineStr">
        <is>
          <t>Not dramatised; the marriage of a Punjabi Sikh man and a Maharashtrian Hindu woman predates the film.</t>
        </is>
      </c>
      <c r="M61" s="5" t="inlineStr">
        <is>
          <t>Not recorded</t>
        </is>
      </c>
      <c r="N61" s="19" t="inlineStr">
        <is>
          <t>None. The film opens on a marriage in difficulty and observes it through their adolescent son.</t>
        </is>
      </c>
      <c r="O61" s="19" t="inlineStr">
        <is>
          <t>Estrangement conducted in front of a teenager who reads it as the condition of his own life.</t>
        </is>
      </c>
      <c r="P61" s="19" t="inlineStr">
        <is>
          <t>A marriage neither can repair, and a son caught between them.</t>
        </is>
      </c>
      <c r="Q61" s="20" t="n">
        <v>6</v>
      </c>
      <c r="R61" s="19" t="inlineStr">
        <is>
          <t>Sustained marital conflict is the film's domestic premise, and it is severe enough that escaping it is part of why Angad leaves for the Air Force. The article describes marital problems rather than a rupture, so the score stops short of the highest band.</t>
        </is>
      </c>
      <c r="S61" s="20" t="n">
        <v>3</v>
      </c>
      <c r="T61" s="5" t="inlineStr">
        <is>
          <t>Community; Family</t>
        </is>
      </c>
      <c r="U61" s="19" t="inlineStr">
        <is>
          <t>The cultural distance the film foregrounds, a clean-shaven Sikh married to a Hindu with a Sikh son, is context rather than active opposition; no third party works against the marriage.</t>
        </is>
      </c>
      <c r="V61" s="20" t="n">
        <v>2</v>
      </c>
      <c r="W61" s="19" t="inlineStr">
        <is>
          <t>Nihal is a father and a difficult husband, with no courtship, devotion or romantic display of any kind. The role is deliberately unromantic, and Kapoor cast himself in it as the film's producer.</t>
        </is>
      </c>
      <c r="X61" s="20" t="n">
        <v>5</v>
      </c>
      <c r="Y61" s="20" t="n">
        <v>4</v>
      </c>
      <c r="Z61" s="20" t="n">
        <v>5</v>
      </c>
      <c r="AA61" s="20" t="n">
        <v>6</v>
      </c>
      <c r="AB61" s="20" t="n">
        <v>6</v>
      </c>
      <c r="AC61" s="19" t="inlineStr">
        <is>
          <t>Interpretive reading; no fetched review assesses this pairing, and the notices located address the film's treatment of the Air Force rather than its performances. Kapoor and Rekha, in their fifth film together, play a failing marriage with a flatness that suits Nihalani's register.</t>
        </is>
      </c>
      <c r="AD61" s="5" t="inlineStr">
        <is>
          <t>No</t>
        </is>
      </c>
      <c r="AE61" s="5" t="inlineStr">
        <is>
          <t>Yes</t>
        </is>
      </c>
      <c r="AF61" s="5" t="inlineStr">
        <is>
          <t>Partial</t>
        </is>
      </c>
      <c r="AG61" s="5" t="inlineStr">
        <is>
          <t>No</t>
        </is>
      </c>
      <c r="AH61" s="5" t="inlineStr">
        <is>
          <t>Partial</t>
        </is>
      </c>
      <c r="AI61" s="5" t="inlineStr">
        <is>
          <t>Partial</t>
        </is>
      </c>
      <c r="AJ61" s="5" t="inlineStr">
        <is>
          <t>No</t>
        </is>
      </c>
      <c r="AK61" s="19" t="inlineStr">
        <is>
          <t>Nihal is reconciled to his son's choice, which is the film's concession to him; the marriage itself is not repaired on screen.</t>
        </is>
      </c>
      <c r="AL61" s="19" t="inlineStr">
        <is>
          <t>Neelima's position is observed rather than resolved.</t>
        </is>
      </c>
      <c r="AM61" s="5" t="inlineStr">
        <is>
          <t>Unresolved as a marriage; the film's closure belongs to Angad.</t>
        </is>
      </c>
      <c r="AN61" s="5" t="inlineStr">
        <is>
          <t>Yes</t>
        </is>
      </c>
      <c r="AO61" s="5" t="inlineStr">
        <is>
          <t>Unresolved</t>
        </is>
      </c>
      <c r="AP61" s="5" t="n"/>
      <c r="AQ61" s="19" t="inlineStr">
        <is>
          <t>The lowest lover-boy score Kapoor had taken in a leading role to this point, in a film he produced and in which he cast his own son as the protagonist. It belongs with The Householder, Abhinetri and Baseraa in the group where he plays a husband, and it is the least flattering of them.</t>
        </is>
      </c>
      <c r="AR61" s="19" t="inlineStr">
        <is>
          <t>The film uses the parents' marriage as the condition its protagonist must grow out of, which gives Neelima little existence beyond her difficulty; the coming-of-age structure requires the adults to be static. That Kapoor, as producer, took the unsympathetic parental role rather than the heroic one is the more interesting decision.</t>
        </is>
      </c>
      <c r="AS61" s="5" t="inlineStr">
        <is>
          <t>SOURCE-001; SOURCE-086</t>
        </is>
      </c>
      <c r="AT61" s="5" t="inlineStr">
        <is>
          <t>Medium</t>
        </is>
      </c>
    </row>
    <row r="62" ht="109" customHeight="1">
      <c r="A62" s="15" t="inlineStr">
        <is>
          <t>PAIR-061</t>
        </is>
      </c>
      <c r="B62" s="18" t="inlineStr">
        <is>
          <t>FILM-104</t>
        </is>
      </c>
      <c r="C62" s="5" t="inlineStr">
        <is>
          <t>Vakil Babu</t>
        </is>
      </c>
      <c r="D62" s="17" t="n">
        <v>1982</v>
      </c>
      <c r="E62" s="5" t="inlineStr">
        <is>
          <t>Shekhar</t>
        </is>
      </c>
      <c r="F62" s="5" t="inlineStr">
        <is>
          <t>Zeenat Aman</t>
        </is>
      </c>
      <c r="G62" s="5" t="inlineStr">
        <is>
          <t>Kalpana Chaudhary</t>
        </is>
      </c>
      <c r="H62" s="5" t="inlineStr">
        <is>
          <t>Female lead</t>
        </is>
      </c>
      <c r="I62" s="5" t="inlineStr">
        <is>
          <t>Yes</t>
        </is>
      </c>
      <c r="J62" s="19" t="inlineStr">
        <is>
          <t>Romance subordinate to another genre</t>
        </is>
      </c>
      <c r="K62" s="5" t="inlineStr">
        <is>
          <t>Married</t>
        </is>
      </c>
      <c r="L62" s="5" t="inlineStr">
        <is>
          <t>Not dramatised; the marriage predates the film.</t>
        </is>
      </c>
      <c r="M62" s="5" t="inlineStr">
        <is>
          <t>Not recorded</t>
        </is>
      </c>
      <c r="N62" s="19" t="inlineStr">
        <is>
          <t>None. The marriage exists to supply the motive the prosecution attributes to him.</t>
        </is>
      </c>
      <c r="O62" s="19" t="inlineStr">
        <is>
          <t>Not developed; the couple's function is to be the reason a murder charge looks plausible.</t>
        </is>
      </c>
      <c r="P62" s="19" t="inlineStr">
        <is>
          <t>None between them; the pressure comes from Prem Oberoi's pursuit of Kalpana and the charge that follows his death.</t>
        </is>
      </c>
      <c r="Q62" s="20" t="n">
        <v>2</v>
      </c>
      <c r="R62" s="19" t="inlineStr">
        <is>
          <t>No conflict between husband and wife is recorded. The film's antagonism is between Shekhar and a dead man's reputation, and between the lawyer and the real killer.</t>
        </is>
      </c>
      <c r="S62" s="20" t="n">
        <v>7</v>
      </c>
      <c r="T62" s="5" t="inlineStr">
        <is>
          <t>Villain; Crime</t>
        </is>
      </c>
      <c r="U62" s="19" t="inlineStr">
        <is>
          <t>Prem Oberoi, who was lustful toward Kalpana, and the murder charge his death produces, which carries a plausible motive for a husband. The real culprit, the steward Suresh Talwar, killed Prem over his own fiancee and then killed her as a witness.</t>
        </is>
      </c>
      <c r="V62" s="20" t="n">
        <v>3</v>
      </c>
      <c r="W62" s="19" t="inlineStr">
        <is>
          <t>A courtroom drama in which Kapoor's character is largely passive and the active role belongs to Raj Kapoor's advocate. The marriage is a plot premise, not a romance the film examines.</t>
        </is>
      </c>
      <c r="X62" s="20" t="n">
        <v>5</v>
      </c>
      <c r="Y62" s="20" t="n">
        <v>7</v>
      </c>
      <c r="Z62" s="20" t="n">
        <v>6</v>
      </c>
      <c r="AA62" s="20" t="n">
        <v>4</v>
      </c>
      <c r="AB62" s="20" t="n">
        <v>5</v>
      </c>
      <c r="AC62" s="19" t="inlineStr">
        <is>
          <t>Interpretive reading; no fetched review assesses this pairing. The film gives the marriage almost no screen time of its own, existing as it does to establish a motive; the picture's interest is in the courtroom and in the rare pairing of Shashi Kapoor with his eldest brother.</t>
        </is>
      </c>
      <c r="AD62" s="5" t="inlineStr">
        <is>
          <t>Unclear</t>
        </is>
      </c>
      <c r="AE62" s="5" t="inlineStr">
        <is>
          <t>No</t>
        </is>
      </c>
      <c r="AF62" s="5" t="inlineStr">
        <is>
          <t>Partial</t>
        </is>
      </c>
      <c r="AG62" s="5" t="inlineStr">
        <is>
          <t>No</t>
        </is>
      </c>
      <c r="AH62" s="5" t="inlineStr">
        <is>
          <t>Yes</t>
        </is>
      </c>
      <c r="AI62" s="5" t="inlineStr">
        <is>
          <t>Unclear</t>
        </is>
      </c>
      <c r="AJ62" s="5" t="inlineStr">
        <is>
          <t>Partial</t>
        </is>
      </c>
      <c r="AK62" s="19" t="inlineStr">
        <is>
          <t>None.</t>
        </is>
      </c>
      <c r="AL62" s="19" t="inlineStr">
        <is>
          <t>None recorded.</t>
        </is>
      </c>
      <c r="AM62" s="5" t="inlineStr">
        <is>
          <t>The marriage survives; Shekhar is acquitted of all charges.</t>
        </is>
      </c>
      <c r="AN62" s="5" t="inlineStr">
        <is>
          <t>Yes</t>
        </is>
      </c>
      <c r="AO62" s="5" t="inlineStr">
        <is>
          <t>Happy</t>
        </is>
      </c>
      <c r="AP62" s="5" t="n"/>
      <c r="AQ62" s="19" t="inlineStr">
        <is>
          <t>A marriage that exists as a motive. The pairing is recorded because the wife's harassment by the victim is the reason the charge sticks, but the film has no interest in the relationship itself, and its distinction is that it puts Shashi and Raj Kapoor on screen together as actors.</t>
        </is>
      </c>
      <c r="AR62" s="19" t="inlineStr">
        <is>
          <t>Kalpana is pursued by one man, avenged by a plot she has no part in, and cleared of nothing because she was never accused; the script treats a woman's harassment purely as a fact about her husband's legal exposure.</t>
        </is>
      </c>
      <c r="AS62" s="5" t="inlineStr">
        <is>
          <t>SOURCE-001; SOURCE-085</t>
        </is>
      </c>
      <c r="AT62" s="5" t="inlineStr">
        <is>
          <t>Low</t>
        </is>
      </c>
    </row>
    <row r="63" ht="109" customHeight="1">
      <c r="A63" s="15" t="inlineStr">
        <is>
          <t>PAIR-062</t>
        </is>
      </c>
      <c r="B63" s="18" t="inlineStr">
        <is>
          <t>FILM-105</t>
        </is>
      </c>
      <c r="C63" s="5" t="inlineStr">
        <is>
          <t>Namak Halaal</t>
        </is>
      </c>
      <c r="D63" s="17" t="n">
        <v>1982</v>
      </c>
      <c r="E63" s="5" t="inlineStr">
        <is>
          <t>Raja Singh</t>
        </is>
      </c>
      <c r="F63" s="5" t="inlineStr">
        <is>
          <t>Parveen Babi</t>
        </is>
      </c>
      <c r="G63" s="5" t="inlineStr">
        <is>
          <t>Nisha</t>
        </is>
      </c>
      <c r="H63" s="5" t="inlineStr">
        <is>
          <t>Female lead</t>
        </is>
      </c>
      <c r="I63" s="5" t="inlineStr">
        <is>
          <t>Partial</t>
        </is>
      </c>
      <c r="J63" s="19" t="inlineStr">
        <is>
          <t>Relationship damaged by mistrust</t>
        </is>
      </c>
      <c r="K63" s="5" t="inlineStr">
        <is>
          <t>A hotel owner and the dancer hired to kill him</t>
        </is>
      </c>
      <c r="L63" s="5" t="inlineStr">
        <is>
          <t>Raja meets Nisha, a young dancer, at his hotel and is attracted to her; she has been engaged by Ranjit Singh to murder him.</t>
        </is>
      </c>
      <c r="M63" s="5" t="inlineStr">
        <is>
          <t>Raja, unknowingly, and Nisha under instruction</t>
        </is>
      </c>
      <c r="N63" s="19" t="inlineStr">
        <is>
          <t>An approach engineered as an assassination, which the assassin abandons because she falls in love with the target.</t>
        </is>
      </c>
      <c r="O63" s="19" t="inlineStr">
        <is>
          <t>Genuine attraction on his side and a job on hers, until the job becomes impossible.</t>
        </is>
      </c>
      <c r="P63" s="19" t="inlineStr">
        <is>
          <t>She is under contract to kill him, and arranges a party on a boat to do it.</t>
        </is>
      </c>
      <c r="Q63" s="20" t="n">
        <v>5</v>
      </c>
      <c r="R63" s="19" t="inlineStr">
        <is>
          <t>The deception is lethal and one-sided, and it persists to the point of a staged opportunity to murder him. It is scored in the middle band because Nisha never acts on it and the film treats her change of heart as the resolution rather than as a betrayal to be answered.</t>
        </is>
      </c>
      <c r="S63" s="20" t="n">
        <v>7</v>
      </c>
      <c r="T63" s="5" t="inlineStr">
        <is>
          <t>Villain; Family; Crime</t>
        </is>
      </c>
      <c r="U63" s="19" t="inlineStr">
        <is>
          <t>Ranjit Singh, son of the man who murdered Raja's father, who hired Nisha and later kidnaps the family to force a transfer of property, and the long conspiracy over the estate that has surrounded Raja since infancy.</t>
        </is>
      </c>
      <c r="V63" s="20" t="n">
        <v>5</v>
      </c>
      <c r="W63" s="19" t="inlineStr">
        <is>
          <t>Kapoor is second lead in a Bachchan masala vehicle, and the romance is one strand of a plot about a stolen inheritance and a mother's sacrifice. Raja is charming and genuinely attached, but the film's emotional weight is on Savitri and Arjun.</t>
        </is>
      </c>
      <c r="X63" s="20" t="n">
        <v>6</v>
      </c>
      <c r="Y63" s="20" t="n">
        <v>5</v>
      </c>
      <c r="Z63" s="20" t="n">
        <v>5</v>
      </c>
      <c r="AA63" s="20" t="n">
        <v>6</v>
      </c>
      <c r="AB63" s="20" t="n">
        <v>6</v>
      </c>
      <c r="AC63" s="19" t="inlineStr">
        <is>
          <t>Interpretive reading; no fetched review assesses this pairing. Kapoor and Parveen Babi had by this point made several films together and the rapport is easy, though the script keeps Nisha's real purpose hidden and gives the pairing little room to be anything but pleasant until the reversal.</t>
        </is>
      </c>
      <c r="AD63" s="5" t="inlineStr">
        <is>
          <t>Yes</t>
        </is>
      </c>
      <c r="AE63" s="5" t="inlineStr">
        <is>
          <t>Partial</t>
        </is>
      </c>
      <c r="AF63" s="5" t="inlineStr">
        <is>
          <t>No</t>
        </is>
      </c>
      <c r="AG63" s="5" t="inlineStr">
        <is>
          <t>Yes</t>
        </is>
      </c>
      <c r="AH63" s="5" t="inlineStr">
        <is>
          <t>No</t>
        </is>
      </c>
      <c r="AI63" s="5" t="inlineStr">
        <is>
          <t>Yes</t>
        </is>
      </c>
      <c r="AJ63" s="5" t="inlineStr">
        <is>
          <t>Partial</t>
        </is>
      </c>
      <c r="AK63" s="19" t="inlineStr">
        <is>
          <t>None attributable to the romance; Raja's change comes from learning the truth about Savitri.</t>
        </is>
      </c>
      <c r="AL63" s="19" t="inlineStr">
        <is>
          <t>Nisha moves from a hired killer to a woman who cannot carry out the contract and is finally married to her target.</t>
        </is>
      </c>
      <c r="AM63" s="5" t="inlineStr">
        <is>
          <t>Raja marries Nisha at the end, alongside Arjun's marriage to Poonam.</t>
        </is>
      </c>
      <c r="AN63" s="5" t="inlineStr">
        <is>
          <t>Yes</t>
        </is>
      </c>
      <c r="AO63" s="5" t="inlineStr">
        <is>
          <t>Happy</t>
        </is>
      </c>
      <c r="AP63" s="5" t="n"/>
      <c r="AQ63" s="19" t="inlineStr">
        <is>
          <t>The assassin-who-falls-in-love device, and a late instance of the pattern in which Kapoor's character is loved by a woman concealing her purpose, as in Fakira. The film forgives the deception entirely and marries them, which is the masala convention working at full strength.</t>
        </is>
      </c>
      <c r="AR63" s="19" t="inlineStr">
        <is>
          <t>Nisha is introduced as an instrument of the villain and redeemed by falling for the hero, so her entire characterisation is a function of what men want from her. That the film never requires her to answer for the contract is typical of how the period's masala scripts dispose of a heroine's culpability.</t>
        </is>
      </c>
      <c r="AS63" s="5" t="inlineStr">
        <is>
          <t>SOURCE-001; SOURCE-087</t>
        </is>
      </c>
      <c r="AT63" s="5" t="inlineStr">
        <is>
          <t>Medium</t>
        </is>
      </c>
    </row>
    <row r="64" ht="94" customHeight="1">
      <c r="A64" s="15" t="inlineStr">
        <is>
          <t>PAIR-063</t>
        </is>
      </c>
      <c r="B64" s="18" t="inlineStr">
        <is>
          <t>FILM-106</t>
        </is>
      </c>
      <c r="C64" s="5" t="inlineStr">
        <is>
          <t>Sawaal</t>
        </is>
      </c>
      <c r="D64" s="17" t="n">
        <v>1982</v>
      </c>
      <c r="E64" s="5" t="inlineStr">
        <is>
          <t>Inspector Ravi Malhotra</t>
        </is>
      </c>
      <c r="F64" s="5" t="inlineStr">
        <is>
          <t>Poonam Dhillon</t>
        </is>
      </c>
      <c r="G64" s="5" t="inlineStr">
        <is>
          <t>Sonia Mehta</t>
        </is>
      </c>
      <c r="H64" s="5" t="inlineStr">
        <is>
          <t>Supporting female lead</t>
        </is>
      </c>
      <c r="I64" s="5" t="inlineStr">
        <is>
          <t>No</t>
        </is>
      </c>
      <c r="J64" s="19" t="inlineStr">
        <is>
          <t>United couple versus external world</t>
        </is>
      </c>
      <c r="K64" s="5" t="inlineStr">
        <is>
          <t>A police officer and the daughter of the country's most powerful smuggler</t>
        </is>
      </c>
      <c r="L64" s="5" t="inlineStr">
        <is>
          <t>Not dramatised; the article records that Sonia falls in love with Ravi Malhotra, a police officer, and wants to marry him.</t>
        </is>
      </c>
      <c r="M64" s="5" t="inlineStr">
        <is>
          <t>Sonia</t>
        </is>
      </c>
      <c r="N64" s="19" t="inlineStr">
        <is>
          <t>Not shown. The attachment is stated and functions as one of the two choices by which Dhanpat Rai's children reject his world.</t>
        </is>
      </c>
      <c r="O64" s="19" t="inlineStr">
        <is>
          <t>Not developed by the article's summary.</t>
        </is>
      </c>
      <c r="P64" s="19" t="inlineStr">
        <is>
          <t>None between them; the obstacle is entirely her father.</t>
        </is>
      </c>
      <c r="Q64" s="20" t="n">
        <v>2</v>
      </c>
      <c r="R64" s="19" t="inlineStr">
        <is>
          <t>No conflict between the pair is recorded. The film's question is the father's, whether children's happiness matters more than power and money, and the couple are aligned on one side of it.</t>
        </is>
      </c>
      <c r="S64" s="20" t="n">
        <v>8</v>
      </c>
      <c r="T64" s="5" t="inlineStr">
        <is>
          <t>Family; Crime; Class</t>
        </is>
      </c>
      <c r="U64" s="19" t="inlineStr">
        <is>
          <t>Dhanpat Rai Mehta, described as the country's most powerful smuggler, surrounded by a fortress of power and money, whose daughter proposes to marry the police officer whose job is to destroy him.</t>
        </is>
      </c>
      <c r="V64" s="20" t="n">
        <v>5</v>
      </c>
      <c r="W64" s="19" t="inlineStr">
        <is>
          <t>The romance is the character's whole function in the film, which gives it weight, but Kapoor is third-billed and the part is written as a position in the father's dilemma rather than as a performance of devotion.</t>
        </is>
      </c>
      <c r="X64" s="20" t="n">
        <v>6</v>
      </c>
      <c r="Y64" s="20" t="n">
        <v>7</v>
      </c>
      <c r="Z64" s="20" t="n">
        <v>6</v>
      </c>
      <c r="AA64" s="20" t="n">
        <v>6</v>
      </c>
      <c r="AB64" s="20" t="n">
        <v>5</v>
      </c>
      <c r="AC64" s="19" t="inlineStr">
        <is>
          <t>Interpretive reading; no fetched review assesses this pairing. The article's plot summary is four sentences and gives the couple no scenes to characterise, so the score reflects the absence of documented material rather than a judgement about the playing.</t>
        </is>
      </c>
      <c r="AD64" s="5" t="inlineStr">
        <is>
          <t>Unclear</t>
        </is>
      </c>
      <c r="AE64" s="5" t="inlineStr">
        <is>
          <t>No</t>
        </is>
      </c>
      <c r="AF64" s="5" t="inlineStr">
        <is>
          <t>No</t>
        </is>
      </c>
      <c r="AG64" s="5" t="inlineStr">
        <is>
          <t>No</t>
        </is>
      </c>
      <c r="AH64" s="5" t="inlineStr">
        <is>
          <t>Unclear</t>
        </is>
      </c>
      <c r="AI64" s="5" t="inlineStr">
        <is>
          <t>Unclear</t>
        </is>
      </c>
      <c r="AJ64" s="5" t="inlineStr">
        <is>
          <t>Partial</t>
        </is>
      </c>
      <c r="AK64" s="19" t="inlineStr">
        <is>
          <t>Not documented.</t>
        </is>
      </c>
      <c r="AL64" s="19" t="inlineStr">
        <is>
          <t>Sonia chooses a police officer over her father's world, which is one half of the film's central question.</t>
        </is>
      </c>
      <c r="AM64" s="5" t="inlineStr">
        <is>
          <t>Not stated; the summary says only that Dhanpat Rai's question is answered soon.</t>
        </is>
      </c>
      <c r="AN64" s="5" t="inlineStr">
        <is>
          <t>Unclear</t>
        </is>
      </c>
      <c r="AO64" s="5" t="n"/>
      <c r="AP64" s="5" t="n"/>
      <c r="AQ64" s="19" t="inlineStr">
        <is>
          <t>A structurally pure version of the pattern that has organised Kapoor's romances since Jab Jab Phool Khile: zero friction inside the couple, very high opposition from the woman's father, and a resolution that depends on the father changing rather than on the couple doing anything. Here it is doubled, since his son's engagement to a poor girl poses the same question.</t>
        </is>
      </c>
      <c r="AR64" s="19" t="inlineStr">
        <is>
          <t>The film frames the daughter's choice as a test of her father's values rather than as her own act, and the title question, what matters more, is addressed entirely to him. Sonia's love is the occasion for a man's moral crisis.</t>
        </is>
      </c>
      <c r="AS64" s="5" t="inlineStr">
        <is>
          <t>SOURCE-001; SOURCE-088</t>
        </is>
      </c>
      <c r="AT64" s="5" t="inlineStr">
        <is>
          <t>Low</t>
        </is>
      </c>
    </row>
    <row r="65" ht="94" customHeight="1">
      <c r="A65" s="15" t="inlineStr">
        <is>
          <t>PAIR-064</t>
        </is>
      </c>
      <c r="B65" s="18" t="inlineStr">
        <is>
          <t>FILM-108</t>
        </is>
      </c>
      <c r="C65" s="5" t="inlineStr">
        <is>
          <t>Bandhan Kuchchey Dhaagon Ka</t>
        </is>
      </c>
      <c r="D65" s="17" t="n">
        <v>1983</v>
      </c>
      <c r="E65" s="5" t="inlineStr">
        <is>
          <t>Prem Kapoor</t>
        </is>
      </c>
      <c r="F65" s="5" t="inlineStr">
        <is>
          <t>Raakhee</t>
        </is>
      </c>
      <c r="G65" s="5" t="inlineStr">
        <is>
          <t>Bhavna</t>
        </is>
      </c>
      <c r="H65" s="5" t="inlineStr">
        <is>
          <t>Female lead</t>
        </is>
      </c>
      <c r="I65" s="5" t="inlineStr">
        <is>
          <t>Yes</t>
        </is>
      </c>
      <c r="J65" s="19" t="inlineStr">
        <is>
          <t>Marriage under strain</t>
        </is>
      </c>
      <c r="K65" s="5" t="inlineStr">
        <is>
          <t>Married with two children; she is a judge</t>
        </is>
      </c>
      <c r="L65" s="5" t="inlineStr">
        <is>
          <t>Not dramatised; the marriage is settled when the film opens.</t>
        </is>
      </c>
      <c r="M65" s="5" t="inlineStr">
        <is>
          <t>Not recorded</t>
        </is>
      </c>
      <c r="N65" s="19" t="inlineStr">
        <is>
          <t>None. The film opens on a quiet small-town household and breaks it.</t>
        </is>
      </c>
      <c r="O65" s="19" t="inlineStr">
        <is>
          <t>A settled marriage confronted with a seven-year-old child from an affair its wife knew nothing about.</t>
        </is>
      </c>
      <c r="P65" s="19" t="inlineStr">
        <is>
          <t>Prem brings home a son by another woman, and a blackmailer threatens to tell Bhavna and the children how he came by him.</t>
        </is>
      </c>
      <c r="Q65" s="20" t="n">
        <v>7</v>
      </c>
      <c r="R65" s="19" t="inlineStr">
        <is>
          <t>Severe and direct: the film's second half is Prem confronted by his wife on one side and his children on the other over a child produced by an affair he concealed for seven years. The injury is unambiguous and it is his.</t>
        </is>
      </c>
      <c r="S65" s="20" t="n">
        <v>6</v>
      </c>
      <c r="T65" s="5" t="inlineStr">
        <is>
          <t>Villain; Existing relationship; Illness</t>
        </is>
      </c>
      <c r="U65" s="19" t="inlineStr">
        <is>
          <t>Prakash Dutt, the blackmailer demanding a large sum to keep the affair quiet, and Sneh's terminal cancer, which is what forces the child into the household in the first place.</t>
        </is>
      </c>
      <c r="V65" s="20" t="n">
        <v>3</v>
      </c>
      <c r="W65" s="19" t="inlineStr">
        <is>
          <t>There is no courtship anywhere in the film and Prem's conduct toward his wife consists of concealment followed by an unavoidable disclosure. The role is a husband in the wrong, with the romantic content displaced into a past affair.</t>
        </is>
      </c>
      <c r="X65" s="20" t="n">
        <v>8</v>
      </c>
      <c r="Y65" s="20" t="n">
        <v>4</v>
      </c>
      <c r="Z65" s="20" t="n">
        <v>5</v>
      </c>
      <c r="AA65" s="20" t="n">
        <v>7</v>
      </c>
      <c r="AB65" s="20" t="n">
        <v>6</v>
      </c>
      <c r="AC65" s="19" t="inlineStr">
        <is>
          <t>Interpretive reading; no fetched review assesses this pairing. Casting Raakhee as a judge gives the wife an authority the confrontation needs, and the pairing plays best in the scenes where her professional composure is what Prem has to face.</t>
        </is>
      </c>
      <c r="AD65" s="5" t="inlineStr">
        <is>
          <t>No</t>
        </is>
      </c>
      <c r="AE65" s="5" t="inlineStr">
        <is>
          <t>Yes</t>
        </is>
      </c>
      <c r="AF65" s="5" t="inlineStr">
        <is>
          <t>Yes</t>
        </is>
      </c>
      <c r="AG65" s="5" t="inlineStr">
        <is>
          <t>Yes</t>
        </is>
      </c>
      <c r="AH65" s="5" t="inlineStr">
        <is>
          <t>Partial</t>
        </is>
      </c>
      <c r="AI65" s="5" t="inlineStr">
        <is>
          <t>Partial</t>
        </is>
      </c>
      <c r="AJ65" s="5" t="inlineStr">
        <is>
          <t>No</t>
        </is>
      </c>
      <c r="AK65" s="19" t="inlineStr">
        <is>
          <t>From a man with a concealed past to one whose household contains the evidence of it.</t>
        </is>
      </c>
      <c r="AL65" s="19" t="inlineStr">
        <is>
          <t>Bhavna moves from an unknowing wife to the person who must decide what the marriage and the household will do with the boy.</t>
        </is>
      </c>
      <c r="AM65" s="5" t="inlineStr">
        <is>
          <t>Not stated; the article's plot ends inside the confrontation.</t>
        </is>
      </c>
      <c r="AN65" s="5" t="inlineStr">
        <is>
          <t>Yes</t>
        </is>
      </c>
      <c r="AO65" s="5" t="inlineStr">
        <is>
          <t>Unresolved</t>
        </is>
      </c>
      <c r="AP65" s="5" t="n"/>
      <c r="AQ65" s="19" t="inlineStr">
        <is>
          <t>The first of two rows for this film, which needs both because its subject is the collision between a marriage and a seven-year relationship that produced a child. The wife being a judge is the script's sharpest idea, putting the person best equipped to weigh the case in the position of being unable to be impartial about it.</t>
        </is>
      </c>
      <c r="AR65" s="19" t="inlineStr">
        <is>
          <t>The film's sympathies are arranged around Prem's decency in taking the boy in, which quietly converts a seven-year deception into an act of responsibility. The two women are set against each other, one dying and one wronged, and the narrative's attention stays on the man deciding between them.</t>
        </is>
      </c>
      <c r="AS65" s="5" t="inlineStr">
        <is>
          <t>SOURCE-001; SOURCE-092</t>
        </is>
      </c>
      <c r="AT65" s="5" t="inlineStr">
        <is>
          <t>Medium</t>
        </is>
      </c>
    </row>
    <row r="66" ht="109" customHeight="1">
      <c r="A66" s="15" t="inlineStr">
        <is>
          <t>PAIR-065</t>
        </is>
      </c>
      <c r="B66" s="18" t="inlineStr">
        <is>
          <t>FILM-108</t>
        </is>
      </c>
      <c r="C66" s="5" t="inlineStr">
        <is>
          <t>Bandhan Kuchchey Dhaagon Ka</t>
        </is>
      </c>
      <c r="D66" s="17" t="n">
        <v>1983</v>
      </c>
      <c r="E66" s="5" t="inlineStr">
        <is>
          <t>Prem Kapoor</t>
        </is>
      </c>
      <c r="F66" s="5" t="inlineStr">
        <is>
          <t>Zeenat Aman</t>
        </is>
      </c>
      <c r="G66" s="5" t="inlineStr">
        <is>
          <t>Sneh</t>
        </is>
      </c>
      <c r="H66" s="5" t="inlineStr">
        <is>
          <t>Female lead</t>
        </is>
      </c>
      <c r="I66" s="5" t="inlineStr">
        <is>
          <t>Yes</t>
        </is>
      </c>
      <c r="J66" s="19" t="inlineStr">
        <is>
          <t>Forbidden love</t>
        </is>
      </c>
      <c r="K66" s="5" t="inlineStr">
        <is>
          <t>A seven-year relationship outside his marriage, conducted in another city</t>
        </is>
      </c>
      <c r="L66" s="5" t="inlineStr">
        <is>
          <t>Not dramatised; the article records that Sneh has known Prem for seven years and lives in Bombay, and that their son is now seven years old.</t>
        </is>
      </c>
      <c r="M66" s="5" t="inlineStr">
        <is>
          <t>Not recorded</t>
        </is>
      </c>
      <c r="N66" s="19" t="inlineStr">
        <is>
          <t>Not shown. The relationship is established entirely in retrospect, by a letter delivered after seven years.</t>
        </is>
      </c>
      <c r="O66" s="19" t="inlineStr">
        <is>
          <t>Sustained attachment conducted at a distance and in secret, surfacing only when she is dying.</t>
        </is>
      </c>
      <c r="P66" s="19" t="inlineStr">
        <is>
          <t>None recorded between them; what ends it is her illness.</t>
        </is>
      </c>
      <c r="Q66" s="20" t="n">
        <v>2</v>
      </c>
      <c r="R66" s="19" t="inlineStr">
        <is>
          <t>The article records no conflict between Prem and Sneh. Their relationship is presented as long-standing and settled in its own terms, and it is terminal illness rather than discord that brings it into the open.</t>
        </is>
      </c>
      <c r="S66" s="20" t="n">
        <v>8</v>
      </c>
      <c r="T66" s="5" t="inlineStr">
        <is>
          <t>Family; Illness; Villain</t>
        </is>
      </c>
      <c r="U66" s="19" t="inlineStr">
        <is>
          <t>Prem's marriage to Bhavna and his two children by her, Sneh's cancer and the expectation that she will not live long, and Prakash Dutt's blackmail once the connection becomes usable.</t>
        </is>
      </c>
      <c r="V66" s="20" t="n">
        <v>5</v>
      </c>
      <c r="W66" s="19" t="inlineStr">
        <is>
          <t>A sustained clandestine attachment and the acceptance of a child are real commitments, which lifts the score above the marital rows, but everything about the relationship is retrospective and none of it is shown as courtship or devotion on screen.</t>
        </is>
      </c>
      <c r="X66" s="20" t="n">
        <v>7</v>
      </c>
      <c r="Y66" s="20" t="n">
        <v>4</v>
      </c>
      <c r="Z66" s="20" t="n">
        <v>6</v>
      </c>
      <c r="AA66" s="20" t="n">
        <v>7</v>
      </c>
      <c r="AB66" s="20" t="n">
        <v>6</v>
      </c>
      <c r="AC66" s="19" t="inlineStr">
        <is>
          <t>Interpretive reading; no fetched review assesses this pairing. The relationship is conveyed through a letter, a meeting and a handover rather than through courtship scenes, so what Kapoor and Zeenat Aman have to play is the residue of an attachment rather than the attachment itself.</t>
        </is>
      </c>
      <c r="AD66" s="5" t="inlineStr">
        <is>
          <t>No</t>
        </is>
      </c>
      <c r="AE66" s="5" t="inlineStr">
        <is>
          <t>No</t>
        </is>
      </c>
      <c r="AF66" s="5" t="inlineStr">
        <is>
          <t>No</t>
        </is>
      </c>
      <c r="AG66" s="5" t="inlineStr">
        <is>
          <t>Yes</t>
        </is>
      </c>
      <c r="AH66" s="5" t="inlineStr">
        <is>
          <t>Yes</t>
        </is>
      </c>
      <c r="AI66" s="5" t="inlineStr">
        <is>
          <t>Yes</t>
        </is>
      </c>
      <c r="AJ66" s="5" t="inlineStr">
        <is>
          <t>Partial</t>
        </is>
      </c>
      <c r="AK66" s="19" t="inlineStr">
        <is>
          <t>Prem accepts the son and takes him into his marital home, which is the act the rest of the film is about.</t>
        </is>
      </c>
      <c r="AL66" s="19" t="inlineStr">
        <is>
          <t>Sneh moves from a woman who has kept both the child and the connection to herself for seven years to one who discloses both in order to secure the boy's future, and leaves for treatment in America.</t>
        </is>
      </c>
      <c r="AM66" s="5" t="inlineStr">
        <is>
          <t>Ends with her illness and departure; the child passes to Prem.</t>
        </is>
      </c>
      <c r="AN66" s="5" t="inlineStr">
        <is>
          <t>No</t>
        </is>
      </c>
      <c r="AO66" s="5" t="inlineStr">
        <is>
          <t>Tragic</t>
        </is>
      </c>
      <c r="AP66" s="5" t="n"/>
      <c r="AQ66" s="19" t="inlineStr">
        <is>
          <t>The second row for Bandhan Kuchchey Dhaagon Ka, whose title, the bond of loose threads, describes exactly this arrangement. Together with the marital row it gives the clearest instance in the filmography of a Kapoor character sustaining two relationships in parallel, with the film's mechanism being the moment they are forced into the same house.</t>
        </is>
      </c>
      <c r="AR66" s="19" t="inlineStr">
        <is>
          <t>Sneh is given a terminal illness at precisely the moment her existence becomes inconvenient, which is the period's standard method of resolving a mistress: she discloses, hands over the child and leaves the country. Her seven years and her motherhood are treated as a problem the wife must absorb.</t>
        </is>
      </c>
      <c r="AS66" s="5" t="inlineStr">
        <is>
          <t>SOURCE-001; SOURCE-092</t>
        </is>
      </c>
      <c r="AT66" s="5" t="inlineStr">
        <is>
          <t>Medium</t>
        </is>
      </c>
    </row>
    <row r="67" ht="124" customHeight="1">
      <c r="A67" s="15" t="inlineStr">
        <is>
          <t>PAIR-066</t>
        </is>
      </c>
      <c r="B67" s="18" t="inlineStr">
        <is>
          <t>FILM-109</t>
        </is>
      </c>
      <c r="C67" s="5" t="inlineStr">
        <is>
          <t>Heat and Dust</t>
        </is>
      </c>
      <c r="D67" s="17" t="n">
        <v>1983</v>
      </c>
      <c r="E67" s="5" t="inlineStr">
        <is>
          <t>The Nawab</t>
        </is>
      </c>
      <c r="F67" s="5" t="inlineStr">
        <is>
          <t>Greta Scacchi</t>
        </is>
      </c>
      <c r="G67" s="5" t="inlineStr">
        <is>
          <t>Olivia Rivers</t>
        </is>
      </c>
      <c r="H67" s="5" t="inlineStr">
        <is>
          <t>Female lead</t>
        </is>
      </c>
      <c r="I67" s="5" t="inlineStr">
        <is>
          <t>Yes</t>
        </is>
      </c>
      <c r="J67" s="19" t="inlineStr">
        <is>
          <t>Forbidden love</t>
        </is>
      </c>
      <c r="K67" s="5" t="inlineStr">
        <is>
          <t>A ruling prince and the wife of a British colonial official in his district</t>
        </is>
      </c>
      <c r="L67" s="5" t="inlineStr">
        <is>
          <t>The Nawab invites the Anglo-Indian officials and their wives to a dinner party at his palace, where Olivia attracts his attention.</t>
        </is>
      </c>
      <c r="M67" s="5" t="inlineStr">
        <is>
          <t>The Nawab</t>
        </is>
      </c>
      <c r="N67" s="19" t="inlineStr">
        <is>
          <t>A courtship conducted across the colonial divide, through palace invitations and the mediation of his English friend Harry, against the disapproval of the entire British station.</t>
        </is>
      </c>
      <c r="O67" s="19" t="inlineStr">
        <is>
          <t>Mutual and illicit, sustained by her boredom with memsahib society and her fascination with India, and by his charm and idleness.</t>
        </is>
      </c>
      <c r="P67" s="19" t="inlineStr">
        <is>
          <t>She is married to a British civil servant and he is suspected by that administration of financing bandits.</t>
        </is>
      </c>
      <c r="Q67" s="20" t="n">
        <v>3</v>
      </c>
      <c r="R67" s="19" t="inlineStr">
        <is>
          <t>The article's lead records an illicit affair rather than a conflict between the pair. What presses on them is external and political; no antagonism between the two is documented.</t>
        </is>
      </c>
      <c r="S67" s="20" t="n">
        <v>9</v>
      </c>
      <c r="T67" s="5" t="inlineStr">
        <is>
          <t>Class; Community; Existing relationship; Crime; War or politics</t>
        </is>
      </c>
      <c r="U67" s="19" t="inlineStr">
        <is>
          <t>The entire apparatus of the Raj: Olivia's marriage to an assistant collector, the memsahib society that bores and watches her, Mrs. Saunders's warning that all Indian men are potential rapists, the racist Dr. Saunders, and the British suspicion that the Nawab shelters the bandits ransacking the region in exchange for a share of their takings.</t>
        </is>
      </c>
      <c r="V67" s="20" t="n">
        <v>6</v>
      </c>
      <c r="W67" s="19" t="inlineStr">
        <is>
          <t>The Nawab is a romantic and decadent figure whose pursuit of Olivia is the film's centre, and the affair carries real risk for both. It is held below the higher band because the article documents charm and appetite rather than devotion or sacrifice, and because his political position is a rival preoccupation.</t>
        </is>
      </c>
      <c r="X67" s="20" t="n">
        <v>9</v>
      </c>
      <c r="Y67" s="20" t="n">
        <v>4</v>
      </c>
      <c r="Z67" s="20" t="n">
        <v>6</v>
      </c>
      <c r="AA67" s="20" t="n">
        <v>7</v>
      </c>
      <c r="AB67" s="20" t="n">
        <v>7</v>
      </c>
      <c r="AC67" s="19" t="inlineStr">
        <is>
          <t>Vincent Canby, reviewing for the New York Times, found the film's modern strand less involving than the story of Olivia and the Nawab, which is an assessment of this pairing's effect relative to the other. The role is also the most conventionally romantic of Kapoor's late English-language parts.</t>
        </is>
      </c>
      <c r="AD67" s="5" t="inlineStr">
        <is>
          <t>Yes</t>
        </is>
      </c>
      <c r="AE67" s="5" t="inlineStr">
        <is>
          <t>No</t>
        </is>
      </c>
      <c r="AF67" s="5" t="inlineStr">
        <is>
          <t>Partial</t>
        </is>
      </c>
      <c r="AG67" s="5" t="inlineStr">
        <is>
          <t>Yes</t>
        </is>
      </c>
      <c r="AH67" s="5" t="inlineStr">
        <is>
          <t>Unclear</t>
        </is>
      </c>
      <c r="AI67" s="5" t="inlineStr">
        <is>
          <t>Unclear</t>
        </is>
      </c>
      <c r="AJ67" s="5" t="inlineStr">
        <is>
          <t>Partial</t>
        </is>
      </c>
      <c r="AK67" s="19" t="inlineStr">
        <is>
          <t>Not documented; the article carries no plot section and its lead stops at the fact of the affair.</t>
        </is>
      </c>
      <c r="AL67" s="19" t="inlineStr">
        <is>
          <t>Olivia moves from a young colonial wife bored by the station to a woman conducting an affair that the whole British community would regard as unforgivable.</t>
        </is>
      </c>
      <c r="AM67" s="5" t="inlineStr">
        <is>
          <t>Not stated by the sources consulted. The article has no plot section and its lead establishes the affair without describing how it ends.</t>
        </is>
      </c>
      <c r="AN67" s="5" t="inlineStr">
        <is>
          <t>Unclear</t>
        </is>
      </c>
      <c r="AO67" s="5" t="n"/>
      <c r="AP67" s="5" t="n"/>
      <c r="AQ67" s="19" t="inlineStr">
        <is>
          <t>The last major romantic lead of Kapoor's career and the one that most directly addresses what his English-language films had been circling since Shakespeare Wallah: an Indian man and an Englishwoman, with the colonial relation itself as the obstacle. The film pairs it with a 1982 strand in which Olivia's great-niece has an affair with a married Indian man, so the transgression is deliberately doubled across sixty years.</t>
        </is>
      </c>
      <c r="AR67" s="19" t="inlineStr">
        <is>
          <t>The film is knowing about the erotic charge the Raj invested in exactly this transgression, and it places Mrs. Saunders's warning that all Indian men are potential rapists in the mouth of a character it has already marked as morbid. What it cannot fully escape is that the Nawab remains a figure of decadent fascination, written partly from Forster's and Ackerley's accounts of their own Indian princes.</t>
        </is>
      </c>
      <c r="AS67" s="5" t="inlineStr">
        <is>
          <t>SOURCE-001; SOURCE-090</t>
        </is>
      </c>
      <c r="AT67" s="5" t="inlineStr">
        <is>
          <t>Medium</t>
        </is>
      </c>
    </row>
    <row r="68" ht="109" customHeight="1">
      <c r="A68" s="15" t="inlineStr">
        <is>
          <t>PAIR-067</t>
        </is>
      </c>
      <c r="B68" s="18" t="inlineStr">
        <is>
          <t>FILM-110</t>
        </is>
      </c>
      <c r="C68" s="5" t="inlineStr">
        <is>
          <t>Gehri Chot - Urf: Durdesh</t>
        </is>
      </c>
      <c r="D68" s="17" t="n">
        <v>1983</v>
      </c>
      <c r="E68" s="5" t="inlineStr">
        <is>
          <t>Arun Khanna</t>
        </is>
      </c>
      <c r="F68" s="5" t="inlineStr">
        <is>
          <t>Sharmila Tagore</t>
        </is>
      </c>
      <c r="G68" s="5" t="inlineStr">
        <is>
          <t>Shobha</t>
        </is>
      </c>
      <c r="H68" s="5" t="inlineStr">
        <is>
          <t>Female lead</t>
        </is>
      </c>
      <c r="I68" s="5" t="inlineStr">
        <is>
          <t>Yes</t>
        </is>
      </c>
      <c r="J68" s="19" t="inlineStr">
        <is>
          <t>Marriage under strain</t>
        </is>
      </c>
      <c r="K68" s="5" t="inlineStr">
        <is>
          <t>Married; he is settled in Toronto and she is newly arrived from India</t>
        </is>
      </c>
      <c r="L68" s="5" t="inlineStr">
        <is>
          <t>Not dramatised; Arun, an Indian in Toronto, marries a traditional Indian woman.</t>
        </is>
      </c>
      <c r="M68" s="5" t="inlineStr">
        <is>
          <t>Not recorded</t>
        </is>
      </c>
      <c r="N68" s="19" t="inlineStr">
        <is>
          <t>None shown. The film begins with the marriage and proceeds to its failure.</t>
        </is>
      </c>
      <c r="O68" s="19" t="inlineStr">
        <is>
          <t>A marriage that cannot survive the wife's inability to settle in a country the husband has already made his own.</t>
        </is>
      </c>
      <c r="P68" s="19" t="inlineStr">
        <is>
          <t>Shobha cannot fit into Canadian life and comes to suspect Arun of an affair with his secretary.</t>
        </is>
      </c>
      <c r="Q68" s="20" t="n">
        <v>6</v>
      </c>
      <c r="R68" s="19" t="inlineStr">
        <is>
          <t>Substantial and terminal for twenty years: the suspicion is hers, the failure to adapt is hers, and the separation divides the children between two countries. The article does not describe quarrels, but the outcome is a marriage abandoned.</t>
        </is>
      </c>
      <c r="S68" s="20" t="n">
        <v>6</v>
      </c>
      <c r="T68" s="5" t="inlineStr">
        <is>
          <t>Distance; Community; Crime</t>
        </is>
      </c>
      <c r="U68" s="19" t="inlineStr">
        <is>
          <t>Emigration itself, which the film treats as the corrosive agent, the cultural distance between Toronto and the life Shobha knows, and twenty years later the gang whose kidnapping of their daughter forces the family back together.</t>
        </is>
      </c>
      <c r="V68" s="20" t="n">
        <v>3</v>
      </c>
      <c r="W68" s="19" t="inlineStr">
        <is>
          <t>No courtship, pursuit or devotion is shown; Arun is a husband who loses a marriage to geography and suspicion and spends the rest of the film as a father. The romantic register is absent by design.</t>
        </is>
      </c>
      <c r="X68" s="20" t="n">
        <v>6</v>
      </c>
      <c r="Y68" s="20" t="n">
        <v>4</v>
      </c>
      <c r="Z68" s="20" t="n">
        <v>5</v>
      </c>
      <c r="AA68" s="20" t="n">
        <v>6</v>
      </c>
      <c r="AB68" s="20" t="n">
        <v>6</v>
      </c>
      <c r="AC68" s="19" t="inlineStr">
        <is>
          <t>Interpretive reading; no fetched review assesses this pairing. Kapoor and Sharmila Tagore, in their seventh and final film together, are asked to play estrangement rather than attraction, and the accumulated familiarity of six earlier pairings does most of the work of suggesting a shared past.</t>
        </is>
      </c>
      <c r="AD68" s="5" t="inlineStr">
        <is>
          <t>No</t>
        </is>
      </c>
      <c r="AE68" s="5" t="inlineStr">
        <is>
          <t>Yes</t>
        </is>
      </c>
      <c r="AF68" s="5" t="inlineStr">
        <is>
          <t>Yes</t>
        </is>
      </c>
      <c r="AG68" s="5" t="inlineStr">
        <is>
          <t>Unclear</t>
        </is>
      </c>
      <c r="AH68" s="5" t="inlineStr">
        <is>
          <t>Yes</t>
        </is>
      </c>
      <c r="AI68" s="5" t="inlineStr">
        <is>
          <t>Partial</t>
        </is>
      </c>
      <c r="AJ68" s="5" t="inlineStr">
        <is>
          <t>Partial</t>
        </is>
      </c>
      <c r="AK68" s="19" t="inlineStr">
        <is>
          <t>From a husband whose wife leaves him to a father reunited with the whole family through a crisis.</t>
        </is>
      </c>
      <c r="AL68" s="19" t="inlineStr">
        <is>
          <t>Shobha leaves Canada with her son, raises him without telling him who his father is, and returns twenty years later into the search for her daughter.</t>
        </is>
      </c>
      <c r="AM68" s="5" t="inlineStr">
        <is>
          <t>Reunited at the end, with Pinky restored to her father, mother and brother.</t>
        </is>
      </c>
      <c r="AN68" s="5" t="inlineStr">
        <is>
          <t>Yes</t>
        </is>
      </c>
      <c r="AO68" s="5" t="inlineStr">
        <is>
          <t>Happy</t>
        </is>
      </c>
      <c r="AP68" s="5" t="n"/>
      <c r="AQ68" s="19" t="inlineStr">
        <is>
          <t>The last of the seven Kapoor and Sharmila Tagore pairings, spanning 1967 to 1983, and the only one about a marriage failing rather than a courtship succeeding. It is also an early Hindi treatment of the emigrant marriage, with the wife's inability to settle presented as the cause.</t>
        </is>
      </c>
      <c r="AR68" s="19" t="inlineStr">
        <is>
          <t>The film locates the marriage's failure in the woman's refusal or inability to adapt, and in a suspicion it never confirms or denies, so the burden of the separation falls on her while Arun waits twenty years to be vindicated by a reunion. A retrospective Firstpost notice found the film short of the poignancy later diaspora cinema achieved, and the treatment of Shobha is part of why.</t>
        </is>
      </c>
      <c r="AS68" s="5" t="inlineStr">
        <is>
          <t>SOURCE-001; SOURCE-091</t>
        </is>
      </c>
      <c r="AT68" s="5" t="inlineStr">
        <is>
          <t>Medium</t>
        </is>
      </c>
    </row>
    <row r="69" ht="94" customHeight="1">
      <c r="A69" s="15" t="inlineStr">
        <is>
          <t>PAIR-068</t>
        </is>
      </c>
      <c r="B69" s="18" t="inlineStr">
        <is>
          <t>FILM-112</t>
        </is>
      </c>
      <c r="C69" s="5" t="inlineStr">
        <is>
          <t>Ghar Ek Mandir</t>
        </is>
      </c>
      <c r="D69" s="17" t="n">
        <v>1984</v>
      </c>
      <c r="E69" s="5" t="inlineStr">
        <is>
          <t>Prem</t>
        </is>
      </c>
      <c r="F69" s="5" t="inlineStr">
        <is>
          <t>Moushumi Chatterjee</t>
        </is>
      </c>
      <c r="G69" s="5" t="inlineStr">
        <is>
          <t>Laxmi</t>
        </is>
      </c>
      <c r="H69" s="5" t="inlineStr">
        <is>
          <t>Female lead</t>
        </is>
      </c>
      <c r="I69" s="5" t="inlineStr">
        <is>
          <t>Yes</t>
        </is>
      </c>
      <c r="J69" s="19" t="inlineStr">
        <is>
          <t>Established relationship</t>
        </is>
      </c>
      <c r="K69" s="5" t="inlineStr">
        <is>
          <t>Married, at the head of a joint family</t>
        </is>
      </c>
      <c r="L69" s="5" t="inlineStr">
        <is>
          <t>Not dramatised; the marriage is settled when the film opens.</t>
        </is>
      </c>
      <c r="M69" s="5" t="inlineStr">
        <is>
          <t>Not recorded</t>
        </is>
      </c>
      <c r="N69" s="19" t="inlineStr">
        <is>
          <t>None. The film opens on a happy joint household and destroys it.</t>
        </is>
      </c>
      <c r="O69" s="19" t="inlineStr">
        <is>
          <t>Affectionate and domestic, the emotional centre of a house the family calls a temple of love.</t>
        </is>
      </c>
      <c r="P69" s="19" t="inlineStr">
        <is>
          <t>None between them.</t>
        </is>
      </c>
      <c r="Q69" s="20" t="n">
        <v>1</v>
      </c>
      <c r="R69" s="19" t="inlineStr">
        <is>
          <t>No conflict of any kind is recorded between Prem and Laxmi. The marriage is presented as the household's stable centre, which is what makes his death the catastrophe the rest of the film works against.</t>
        </is>
      </c>
      <c r="S69" s="20" t="n">
        <v>7</v>
      </c>
      <c r="T69" s="5" t="inlineStr">
        <is>
          <t>Villain; Crime</t>
        </is>
      </c>
      <c r="U69" s="19" t="inlineStr">
        <is>
          <t>Seth Dharampal, who sets out to cheat the family of its home, and the killing of Prem, which removes the household's head and leaves Laxmi and Ravi to defend it.</t>
        </is>
      </c>
      <c r="V69" s="20" t="n">
        <v>3</v>
      </c>
      <c r="W69" s="19" t="inlineStr">
        <is>
          <t>A supporting role as a married elder brother, with no courtship and no romantic display; the part's register is familial. Kapoor is killed partway through and the film belongs to the widow and the surviving brothers.</t>
        </is>
      </c>
      <c r="X69" s="20" t="n">
        <v>5</v>
      </c>
      <c r="Y69" s="20" t="n">
        <v>8</v>
      </c>
      <c r="Z69" s="20" t="n">
        <v>7</v>
      </c>
      <c r="AA69" s="20" t="n">
        <v>7</v>
      </c>
      <c r="AB69" s="20" t="n">
        <v>6</v>
      </c>
      <c r="AC69" s="19" t="inlineStr">
        <is>
          <t>Interpretive reading; no fetched review assesses this pairing. The marriage has to read as worth defending in a short span before Prem is killed, and Kapoor and Moushumi Chatterjee, in their third film together, establish it efficiently and without ornament.</t>
        </is>
      </c>
      <c r="AD69" s="5" t="inlineStr">
        <is>
          <t>Partial</t>
        </is>
      </c>
      <c r="AE69" s="5" t="inlineStr">
        <is>
          <t>No</t>
        </is>
      </c>
      <c r="AF69" s="5" t="inlineStr">
        <is>
          <t>No</t>
        </is>
      </c>
      <c r="AG69" s="5" t="inlineStr">
        <is>
          <t>No</t>
        </is>
      </c>
      <c r="AH69" s="5" t="inlineStr">
        <is>
          <t>Yes</t>
        </is>
      </c>
      <c r="AI69" s="5" t="inlineStr">
        <is>
          <t>Yes</t>
        </is>
      </c>
      <c r="AJ69" s="5" t="inlineStr">
        <is>
          <t>Yes</t>
        </is>
      </c>
      <c r="AK69" s="19" t="inlineStr">
        <is>
          <t>None; he is killed.</t>
        </is>
      </c>
      <c r="AL69" s="19" t="inlineStr">
        <is>
          <t>Laxmi moves from wife to widow and becomes, with Ravi, the defender of the household against Dharampal.</t>
        </is>
      </c>
      <c r="AM69" s="5" t="inlineStr">
        <is>
          <t>Ended by Prem's killing; Laxmi carries the family afterwards.</t>
        </is>
      </c>
      <c r="AN69" s="5" t="inlineStr">
        <is>
          <t>Yes</t>
        </is>
      </c>
      <c r="AO69" s="5" t="inlineStr">
        <is>
          <t>Tragic</t>
        </is>
      </c>
      <c r="AP69" s="5" t="n"/>
      <c r="AQ69" s="19" t="inlineStr">
        <is>
          <t>A short, warm marriage whose function is to be destroyed, in the superhit that marked Kapoor's move into supporting roles. The high health and mutuality scores against a low lover-boy score are characteristic of the late filmography: the marriages are good, and he is rarely in them for long.</t>
        </is>
      </c>
      <c r="AR69" s="19" t="inlineStr">
        <is>
          <t>Widowing the heroine to motivate the surviving brothers is a standard device, and the film does at least give Laxmi the active defence of the house rather than only grief. The contrast with his 1960s leads is stark: by 1984 the romantic function has passed entirely to younger actors in the same films.</t>
        </is>
      </c>
      <c r="AS69" s="5" t="inlineStr">
        <is>
          <t>SOURCE-001; SOURCE-093</t>
        </is>
      </c>
      <c r="AT69" s="5" t="inlineStr">
        <is>
          <t>Medium</t>
        </is>
      </c>
    </row>
    <row r="70" ht="124" customHeight="1">
      <c r="A70" s="15" t="inlineStr">
        <is>
          <t>PAIR-069</t>
        </is>
      </c>
      <c r="B70" s="18" t="inlineStr">
        <is>
          <t>FILM-115</t>
        </is>
      </c>
      <c r="C70" s="5" t="inlineStr">
        <is>
          <t>Pighalta Aasman</t>
        </is>
      </c>
      <c r="D70" s="17" t="n">
        <v>1985</v>
      </c>
      <c r="E70" s="5" t="inlineStr">
        <is>
          <t>Suraj Arora</t>
        </is>
      </c>
      <c r="F70" s="5" t="inlineStr">
        <is>
          <t>Raakhee</t>
        </is>
      </c>
      <c r="G70" s="5" t="inlineStr">
        <is>
          <t>Aarti Singh Rathod</t>
        </is>
      </c>
      <c r="H70" s="5" t="inlineStr">
        <is>
          <t>Female lead</t>
        </is>
      </c>
      <c r="I70" s="5" t="inlineStr">
        <is>
          <t>Yes</t>
        </is>
      </c>
      <c r="J70" s="19" t="inlineStr">
        <is>
          <t>Rivals to lovers</t>
        </is>
      </c>
      <c r="K70" s="5" t="inlineStr">
        <is>
          <t>A landowner in Delhi and the man occupying the Kashmir land she has come to repossess</t>
        </is>
      </c>
      <c r="L70" s="5" t="inlineStr">
        <is>
          <t>Aarti travels to Kashmir to take possession of land occupied by Suraj Arora, whose family, her nanny tells her, raised her before her father became wealthy and cut them off.</t>
        </is>
      </c>
      <c r="M70" s="5" t="inlineStr">
        <is>
          <t>Mutual, once the dispute dissolves</t>
        </is>
      </c>
      <c r="N70" s="19" t="inlineStr">
        <is>
          <t>Adversarial arrival, then the discovery of the old family debt, then an attachment formed in the place her father had abandoned.</t>
        </is>
      </c>
      <c r="O70" s="19" t="inlineStr">
        <is>
          <t>Antagonism converting quickly to love, complicated by a friend who wants the same man.</t>
        </is>
      </c>
      <c r="P70" s="19" t="inlineStr">
        <is>
          <t>A property claim at the outset, and afterwards Anuradha's competing attachment.</t>
        </is>
      </c>
      <c r="Q70" s="20" t="n">
        <v>4</v>
      </c>
      <c r="R70" s="19" t="inlineStr">
        <is>
          <t>The initial conflict is a land dispute rather than a personal antagonism, and the article records that all differences are forgotten once she arrives. The continuing friction comes from the triangle rather than from anything between the two of them.</t>
        </is>
      </c>
      <c r="S70" s="20" t="n">
        <v>6</v>
      </c>
      <c r="T70" s="5" t="inlineStr">
        <is>
          <t>Family; Class; Existing relationship</t>
        </is>
      </c>
      <c r="U70" s="19" t="inlineStr">
        <is>
          <t>Aarti's father Karan Singh, who broke with the Arora family once he became wealthy, the property claim that brings her north, and Anuradha, her friend and employee, whose love for Suraj creates a rivalry between the two women.</t>
        </is>
      </c>
      <c r="V70" s="20" t="n">
        <v>6</v>
      </c>
      <c r="W70" s="19" t="inlineStr">
        <is>
          <t>The role is the object of two women's attachment in a romance built around him, which is squarely the archetype's position, though the article's account gives him little active courtship and the film's complications belong to the women.</t>
        </is>
      </c>
      <c r="X70" s="20" t="n">
        <v>9</v>
      </c>
      <c r="Y70" s="20" t="n">
        <v>6</v>
      </c>
      <c r="Z70" s="20" t="n">
        <v>6</v>
      </c>
      <c r="AA70" s="20" t="n">
        <v>7</v>
      </c>
      <c r="AB70" s="20" t="n">
        <v>6</v>
      </c>
      <c r="AC70" s="19" t="inlineStr">
        <is>
          <t>Interpretive reading; no fetched review assesses this pairing. Raakhee's Aarti is written as a Delhi businesswoman with her own establishment, which gives the pairing an adult footing, and Kapoor plays the Kashmir occupier with the unforced ease he had used in the same setting twenty years earlier in Jab Jab Phool Khile.</t>
        </is>
      </c>
      <c r="AD70" s="5" t="inlineStr">
        <is>
          <t>Yes</t>
        </is>
      </c>
      <c r="AE70" s="5" t="inlineStr">
        <is>
          <t>Partial</t>
        </is>
      </c>
      <c r="AF70" s="5" t="inlineStr">
        <is>
          <t>Yes</t>
        </is>
      </c>
      <c r="AG70" s="5" t="inlineStr">
        <is>
          <t>No</t>
        </is>
      </c>
      <c r="AH70" s="5" t="inlineStr">
        <is>
          <t>Unclear</t>
        </is>
      </c>
      <c r="AI70" s="5" t="inlineStr">
        <is>
          <t>Unclear</t>
        </is>
      </c>
      <c r="AJ70" s="5" t="inlineStr">
        <is>
          <t>Partial</t>
        </is>
      </c>
      <c r="AK70" s="19" t="inlineStr">
        <is>
          <t>Not documented beyond the shift from adversary to lover.</t>
        </is>
      </c>
      <c r="AL70" s="19" t="inlineStr">
        <is>
          <t>Aarti learns who raised her, abandons the property claim, and then finds herself in competition with her own employee.</t>
        </is>
      </c>
      <c r="AM70" s="5" t="inlineStr">
        <is>
          <t>Not stated; the article says the discovery will change everyone's lives and stops there.</t>
        </is>
      </c>
      <c r="AN70" s="5" t="inlineStr">
        <is>
          <t>Unclear</t>
        </is>
      </c>
      <c r="AO70" s="5" t="n"/>
      <c r="AP70" s="5" t="n"/>
      <c r="AQ70" s="19" t="inlineStr">
        <is>
          <t>A late return to the Kashmir romance that made Kapoor a star, with the class positions reversed: here the wealthy party is the woman, the land is hers, and he is the occupier. That inversion, twenty years after Jab Jab Phool Khile, is the most interesting thing about an otherwise conventional triangle.</t>
        </is>
      </c>
      <c r="AR70" s="19" t="inlineStr">
        <is>
          <t>The film gives Aarti money, a business and a household of her own and then organises the plot around which of two women will get the man, which is how the period's romantic dramas routinely spend a heroine's independence. Anuradha, her employee, is positioned as a rival rather than as a person with a claim of her own.</t>
        </is>
      </c>
      <c r="AS70" s="5" t="inlineStr">
        <is>
          <t>SOURCE-001; SOURCE-096</t>
        </is>
      </c>
      <c r="AT70" s="5" t="inlineStr">
        <is>
          <t>Low</t>
        </is>
      </c>
    </row>
    <row r="71" ht="94" customHeight="1">
      <c r="A71" s="15" t="inlineStr">
        <is>
          <t>PAIR-070</t>
        </is>
      </c>
      <c r="B71" s="18" t="inlineStr">
        <is>
          <t>FILM-116</t>
        </is>
      </c>
      <c r="C71" s="5" t="inlineStr">
        <is>
          <t>Aandhi-Toofan</t>
        </is>
      </c>
      <c r="D71" s="17" t="n">
        <v>1985</v>
      </c>
      <c r="E71" s="5" t="inlineStr">
        <is>
          <t>Inspector Ranjit Singh</t>
        </is>
      </c>
      <c r="F71" s="5" t="inlineStr">
        <is>
          <t>Hema Malini</t>
        </is>
      </c>
      <c r="G71" s="5" t="inlineStr">
        <is>
          <t>Sheela</t>
        </is>
      </c>
      <c r="H71" s="5" t="inlineStr">
        <is>
          <t>Female lead of the film</t>
        </is>
      </c>
      <c r="I71" s="5" t="inlineStr">
        <is>
          <t>Yes</t>
        </is>
      </c>
      <c r="J71" s="19" t="inlineStr">
        <is>
          <t>Tragic lovers</t>
        </is>
      </c>
      <c r="K71" s="5" t="inlineStr">
        <is>
          <t>Married; he is a police inspector</t>
        </is>
      </c>
      <c r="L71" s="5" t="inlineStr">
        <is>
          <t>Not dramatised; the marriage is established when the film opens.</t>
        </is>
      </c>
      <c r="M71" s="5" t="inlineStr">
        <is>
          <t>Not recorded</t>
        </is>
      </c>
      <c r="N71" s="19" t="inlineStr">
        <is>
          <t>None. The marriage exists to be destroyed in the opening movement.</t>
        </is>
      </c>
      <c r="O71" s="19" t="inlineStr">
        <is>
          <t>Not developed; the article gives the couple no scenes before he is killed.</t>
        </is>
      </c>
      <c r="P71" s="19" t="inlineStr">
        <is>
          <t>None between them.</t>
        </is>
      </c>
      <c r="Q71" s="20" t="n">
        <v>1</v>
      </c>
      <c r="R71" s="19" t="inlineStr">
        <is>
          <t>No conflict is recorded. The marriage is the film's starting condition and is ended by murder within the opening sequence.</t>
        </is>
      </c>
      <c r="S71" s="20" t="n">
        <v>10</v>
      </c>
      <c r="T71" s="5" t="inlineStr">
        <is>
          <t>Villain; Crime</t>
        </is>
      </c>
      <c r="U71" s="19" t="inlineStr">
        <is>
          <t>Balvir, the biker-gangster whom Ranjit Singh arrests and who kills him for it and then rapes Sheela. The opposition destroys the marriage outright and sets the entire remaining plot in motion.</t>
        </is>
      </c>
      <c r="V71" s="20" t="n">
        <v>2</v>
      </c>
      <c r="W71" s="19" t="inlineStr">
        <is>
          <t>The character is a police officer killed in the opening movement, with no courtship, devotion or romantic action of any kind. Scored near the floor as a husband who exists to be lost.</t>
        </is>
      </c>
      <c r="X71" s="20" t="n">
        <v>4</v>
      </c>
      <c r="Y71" s="20" t="n">
        <v>7</v>
      </c>
      <c r="Z71" s="20" t="n">
        <v>6</v>
      </c>
      <c r="AA71" s="20" t="n">
        <v>8</v>
      </c>
      <c r="AB71" s="20" t="n">
        <v>5</v>
      </c>
      <c r="AC71" s="19" t="inlineStr">
        <is>
          <t>Interpretive reading; no fetched review assesses this pairing, and the article gives the couple almost no screen time together before the killing. The score reflects the near-absence of documented material rather than a judgement about the playing.</t>
        </is>
      </c>
      <c r="AD71" s="5" t="inlineStr">
        <is>
          <t>Unclear</t>
        </is>
      </c>
      <c r="AE71" s="5" t="inlineStr">
        <is>
          <t>No</t>
        </is>
      </c>
      <c r="AF71" s="5" t="inlineStr">
        <is>
          <t>No</t>
        </is>
      </c>
      <c r="AG71" s="5" t="inlineStr">
        <is>
          <t>No</t>
        </is>
      </c>
      <c r="AH71" s="5" t="inlineStr">
        <is>
          <t>Yes</t>
        </is>
      </c>
      <c r="AI71" s="5" t="inlineStr">
        <is>
          <t>Yes</t>
        </is>
      </c>
      <c r="AJ71" s="5" t="inlineStr">
        <is>
          <t>Partial</t>
        </is>
      </c>
      <c r="AK71" s="19" t="inlineStr">
        <is>
          <t>None; he is murdered.</t>
        </is>
      </c>
      <c r="AL71" s="19" t="inlineStr">
        <is>
          <t>Sheela moves from a police officer's wife to a rape survivor who hires two men to bring her husband's killer to her alive, which is the whole of the film's action.</t>
        </is>
      </c>
      <c r="AM71" s="5" t="inlineStr">
        <is>
          <t>Ended by his murder.</t>
        </is>
      </c>
      <c r="AN71" s="5" t="inlineStr">
        <is>
          <t>No</t>
        </is>
      </c>
      <c r="AO71" s="5" t="inlineStr">
        <is>
          <t>Tragic</t>
        </is>
      </c>
      <c r="AP71" s="5" t="n"/>
      <c r="AQ71" s="19" t="inlineStr">
        <is>
          <t>Recorded because the marriage and its destruction are the engine of the entire film, not because the relationship is dramatised: Kapoor is third-billed and killed early, and Hema Malini's Sheela carries everything that follows. The external-opposition score of ten reflects opposition that actually causes the death and the assault, which the rubric reserves for exactly this case.</t>
        </is>
      </c>
      <c r="AR71" s="19" t="inlineStr">
        <is>
          <t>The film uses a woman's rape as the licence for a revenge plot, which was a common and ugly convention of mid-1980s Hindi action cinema. What partially distinguishes it is that the revenge is hers to direct rather than a male relative's, and the men she hires work to her instruction.</t>
        </is>
      </c>
      <c r="AS71" s="5" t="inlineStr">
        <is>
          <t>SOURCE-001; SOURCE-097</t>
        </is>
      </c>
      <c r="AT71" s="5" t="inlineStr">
        <is>
          <t>Low</t>
        </is>
      </c>
    </row>
    <row r="72" ht="109" customHeight="1">
      <c r="A72" s="15" t="inlineStr">
        <is>
          <t>PAIR-071</t>
        </is>
      </c>
      <c r="B72" s="18" t="inlineStr">
        <is>
          <t>FILM-117</t>
        </is>
      </c>
      <c r="C72" s="5" t="inlineStr">
        <is>
          <t>Bepanaah</t>
        </is>
      </c>
      <c r="D72" s="17" t="n">
        <v>1985</v>
      </c>
      <c r="E72" s="5" t="inlineStr">
        <is>
          <t>Ravi Malhotra</t>
        </is>
      </c>
      <c r="F72" s="5" t="inlineStr">
        <is>
          <t>Rati Agnihotri</t>
        </is>
      </c>
      <c r="G72" s="5" t="inlineStr">
        <is>
          <t>Bhavna Bharadwaj</t>
        </is>
      </c>
      <c r="H72" s="5" t="inlineStr">
        <is>
          <t>Female lead</t>
        </is>
      </c>
      <c r="I72" s="5" t="inlineStr">
        <is>
          <t>Yes</t>
        </is>
      </c>
      <c r="J72" s="19" t="inlineStr">
        <is>
          <t>Relationship manipulated by outsiders</t>
        </is>
      </c>
      <c r="K72" s="5" t="inlineStr">
        <is>
          <t>A CBI officer and an advocate who love each other</t>
        </is>
      </c>
      <c r="L72" s="5" t="inlineStr">
        <is>
          <t>Not dramatised; the article records that Bhavna loves Ravi Malhotra and that the two become intimate before circumstances separate them.</t>
        </is>
      </c>
      <c r="M72" s="5" t="inlineStr">
        <is>
          <t>Not recorded; the article names her love first</t>
        </is>
      </c>
      <c r="N72" s="19" t="inlineStr">
        <is>
          <t>Not shown. The relationship is established, consummated and broken by circumstance in the space of the summary's opening.</t>
        </is>
      </c>
      <c r="O72" s="19" t="inlineStr">
        <is>
          <t>Mutual attachment cut off before it can be acknowledged, leaving her with a child she cannot attribute to him.</t>
        </is>
      </c>
      <c r="P72" s="19" t="inlineStr">
        <is>
          <t>They are separated by circumstances the article does not specify, and she cannot name him as the father.</t>
        </is>
      </c>
      <c r="Q72" s="20" t="n">
        <v>4</v>
      </c>
      <c r="R72" s="19" t="inlineStr">
        <is>
          <t>No quarrel is recorded and the separation is attributed to circumstance rather than to either party, but the consequences fall entirely on her, and by the film's present action he has married someone else. The friction is in the silence rather than in conflict.</t>
        </is>
      </c>
      <c r="S72" s="20" t="n">
        <v>8</v>
      </c>
      <c r="T72" s="5" t="inlineStr">
        <is>
          <t>Existing relationship; Crime; Family</t>
        </is>
      </c>
      <c r="U72" s="19" t="inlineStr">
        <is>
          <t>Ravi's subsequent marriage to Kalpana, Bhavna's inability to name the father of her child, the family name she accepts from Bajrang in order to give her son one, and Bajrang's turn to crime, which makes the man who sheltered her the man Ravi must arrest.</t>
        </is>
      </c>
      <c r="V72" s="20" t="n">
        <v>4</v>
      </c>
      <c r="W72" s="19" t="inlineStr">
        <is>
          <t>The romantic content is almost entirely in the past and its consequences fall on the woman; Ravi is a CBI officer married to another woman for the duration of the film. There is no courtship, pursuit or devotion on screen.</t>
        </is>
      </c>
      <c r="X72" s="20" t="n">
        <v>8</v>
      </c>
      <c r="Y72" s="20" t="n">
        <v>4</v>
      </c>
      <c r="Z72" s="20" t="n">
        <v>5</v>
      </c>
      <c r="AA72" s="20" t="n">
        <v>6</v>
      </c>
      <c r="AB72" s="20" t="n">
        <v>5</v>
      </c>
      <c r="AC72" s="19" t="inlineStr">
        <is>
          <t>Interpretive reading; no fetched review assesses this pairing, and the article's summary is written as a series of unanswered questions rather than as a plot. The pairing's affective content is almost wholly retrospective, which leaves little on which to base an assessment.</t>
        </is>
      </c>
      <c r="AD72" s="5" t="inlineStr">
        <is>
          <t>Unclear</t>
        </is>
      </c>
      <c r="AE72" s="5" t="inlineStr">
        <is>
          <t>Partial</t>
        </is>
      </c>
      <c r="AF72" s="5" t="inlineStr">
        <is>
          <t>Partial</t>
        </is>
      </c>
      <c r="AG72" s="5" t="inlineStr">
        <is>
          <t>Yes</t>
        </is>
      </c>
      <c r="AH72" s="5" t="inlineStr">
        <is>
          <t>Yes</t>
        </is>
      </c>
      <c r="AI72" s="5" t="inlineStr">
        <is>
          <t>Yes</t>
        </is>
      </c>
      <c r="AJ72" s="5" t="inlineStr">
        <is>
          <t>No</t>
        </is>
      </c>
      <c r="AK72" s="19" t="inlineStr">
        <is>
          <t>Not documented; the summary poses his knowledge of the truth as an open question.</t>
        </is>
      </c>
      <c r="AL72" s="19" t="inlineStr">
        <is>
          <t>Bhavna moves from an advocate in love to an unmarried mother taking another man's family name to protect her son.</t>
        </is>
      </c>
      <c r="AM72" s="5" t="inlineStr">
        <is>
          <t>Not stated; the article's summary ends on a set of questions about what Ravi knows and what becomes of Bhavna.</t>
        </is>
      </c>
      <c r="AN72" s="5" t="inlineStr">
        <is>
          <t>No</t>
        </is>
      </c>
      <c r="AO72" s="5" t="inlineStr">
        <is>
          <t>Unresolved</t>
        </is>
      </c>
      <c r="AP72" s="5" t="n"/>
      <c r="AQ72" s="19" t="inlineStr">
        <is>
          <t>The late-career version of a structure the filmography has used repeatedly since Aa Gale Lag Jaa: an intimacy, a pregnancy, a separation, and a child raised under another arrangement while the father is elsewhere. Here the woman is a practising advocate, which makes her inability to name the father the more pointed.</t>
        </is>
      </c>
      <c r="AR72" s="19" t="inlineStr">
        <is>
          <t>The consequences of the relationship fall entirely on Bhavna, who bears the child, loses the name and takes a gangster's family name to protect her son, while Ravi marries and continues his career. The summary's closing questions are all about what he knows, which is a fair indication of whose story the film thinks it is telling.</t>
        </is>
      </c>
      <c r="AS72" s="5" t="inlineStr">
        <is>
          <t>SOURCE-001; SOURCE-098</t>
        </is>
      </c>
      <c r="AT72" s="5" t="inlineStr">
        <is>
          <t>Low</t>
        </is>
      </c>
    </row>
    <row r="73" ht="109" customHeight="1">
      <c r="A73" s="15" t="inlineStr">
        <is>
          <t>PAIR-072</t>
        </is>
      </c>
      <c r="B73" s="18" t="inlineStr">
        <is>
          <t>FILM-120</t>
        </is>
      </c>
      <c r="C73" s="5" t="inlineStr">
        <is>
          <t>New Delhi Times</t>
        </is>
      </c>
      <c r="D73" s="17" t="n">
        <v>1986</v>
      </c>
      <c r="E73" s="5" t="inlineStr">
        <is>
          <t>Vikas Pande</t>
        </is>
      </c>
      <c r="F73" s="5" t="inlineStr">
        <is>
          <t>Sharmila Tagore</t>
        </is>
      </c>
      <c r="G73" s="5" t="inlineStr">
        <is>
          <t>Nisha</t>
        </is>
      </c>
      <c r="H73" s="5" t="inlineStr">
        <is>
          <t>Female lead</t>
        </is>
      </c>
      <c r="I73" s="5" t="inlineStr">
        <is>
          <t>Yes</t>
        </is>
      </c>
      <c r="J73" s="19" t="inlineStr">
        <is>
          <t>Established relationship</t>
        </is>
      </c>
      <c r="K73" s="5" t="inlineStr">
        <is>
          <t>Married; both are professionals in Delhi</t>
        </is>
      </c>
      <c r="L73" s="5" t="inlineStr">
        <is>
          <t>Not dramatised; the marriage is settled when the film opens.</t>
        </is>
      </c>
      <c r="M73" s="5" t="inlineStr">
        <is>
          <t>Not recorded</t>
        </is>
      </c>
      <c r="N73" s="19" t="inlineStr">
        <is>
          <t>None. The film is a political thriller and the marriage is its domestic ground.</t>
        </is>
      </c>
      <c r="O73" s="19" t="inlineStr">
        <is>
          <t>Two professionals working in parallel, he exposing a political murder and she fighting the case of a woman missing from her in-laws' house.</t>
        </is>
      </c>
      <c r="P73" s="19" t="inlineStr">
        <is>
          <t>None between them.</t>
        </is>
      </c>
      <c r="Q73" s="20" t="n">
        <v>1</v>
      </c>
      <c r="R73" s="19" t="inlineStr">
        <is>
          <t>No conflict is recorded between Vikas and Nisha. The marriage is a working partnership of two people pursuing separate cases, and the film's antagonism is entirely between the press and the political machine.</t>
        </is>
      </c>
      <c r="S73" s="20" t="n">
        <v>5</v>
      </c>
      <c r="T73" s="5" t="inlineStr">
        <is>
          <t>Crime; War or politics; Villain</t>
        </is>
      </c>
      <c r="U73" s="19" t="inlineStr">
        <is>
          <t>Ajay Singh's threats and goons, and the nexus between politicians and media owners that eventually closes on Vikas. The pressure falls on his work rather than on the marriage, though it reaches the household through him.</t>
        </is>
      </c>
      <c r="V73" s="20" t="n">
        <v>2</v>
      </c>
      <c r="W73" s="19" t="inlineStr">
        <is>
          <t>The performance that won Kapoor the National Film Award for Best Actor contains almost no romantic content: he is an editor pursuing a story, and the marriage is a settled fact rather than a subject. One of the lowest lover-boy scores in the filmography for a leading role.</t>
        </is>
      </c>
      <c r="X73" s="20" t="n">
        <v>3</v>
      </c>
      <c r="Y73" s="20" t="n">
        <v>8</v>
      </c>
      <c r="Z73" s="20" t="n">
        <v>8</v>
      </c>
      <c r="AA73" s="20" t="n">
        <v>8</v>
      </c>
      <c r="AB73" s="20" t="n">
        <v>6</v>
      </c>
      <c r="AC73" s="19" t="inlineStr">
        <is>
          <t>Interpretive reading; no fetched review assesses this pairing. Kapoor and Sharmila Tagore, in their eighth and final film together, play a marriage of equals with almost no demonstrativeness, which is precisely what a Gulzar-scripted political thriller requires of it.</t>
        </is>
      </c>
      <c r="AD73" s="5" t="inlineStr">
        <is>
          <t>Partial</t>
        </is>
      </c>
      <c r="AE73" s="5" t="inlineStr">
        <is>
          <t>No</t>
        </is>
      </c>
      <c r="AF73" s="5" t="inlineStr">
        <is>
          <t>No</t>
        </is>
      </c>
      <c r="AG73" s="5" t="inlineStr">
        <is>
          <t>No</t>
        </is>
      </c>
      <c r="AH73" s="5" t="inlineStr">
        <is>
          <t>No</t>
        </is>
      </c>
      <c r="AI73" s="5" t="inlineStr">
        <is>
          <t>Partial</t>
        </is>
      </c>
      <c r="AJ73" s="5" t="inlineStr">
        <is>
          <t>Yes</t>
        </is>
      </c>
      <c r="AK73" s="19" t="inlineStr">
        <is>
          <t>None attributable to the marriage; his change is professional and political.</t>
        </is>
      </c>
      <c r="AL73" s="19" t="inlineStr">
        <is>
          <t>None recorded; Nisha pursues her own case throughout.</t>
        </is>
      </c>
      <c r="AM73" s="5" t="inlineStr">
        <is>
          <t>Intact; the marriage is not what the film puts at risk.</t>
        </is>
      </c>
      <c r="AN73" s="5" t="inlineStr">
        <is>
          <t>Yes</t>
        </is>
      </c>
      <c r="AO73" s="5" t="inlineStr">
        <is>
          <t>Unresolved</t>
        </is>
      </c>
      <c r="AP73" s="5" t="n"/>
      <c r="AQ73" s="19" t="inlineStr">
        <is>
          <t>The last significant pairing of Kapoor's career and the one that least resembles the persona he built: a marriage between two working professionals, with a romance-centrality score of three and a female-agency score of eight, in the film that won him the National Award. Set against Jab Jab Phool Khile, twenty-one years earlier, it measures the whole distance the filmography travels.</t>
        </is>
      </c>
      <c r="AR73" s="19" t="inlineStr">
        <is>
          <t>Nisha is a practising lawyer with a case of her own, and the film neither romanticises nor marginalises her; that the missing woman she is fighting for was declared mad by her in-laws quietly rhymes with the political silencing Vikas is investigating. It is among the few marriages in this filmography written as a partnership rather than as a reward, an obstacle or a loss.</t>
        </is>
      </c>
      <c r="AS73" s="5" t="inlineStr">
        <is>
          <t>SOURCE-001; SOURCE-104</t>
        </is>
      </c>
      <c r="AT73" s="5" t="inlineStr">
        <is>
          <t>Medium</t>
        </is>
      </c>
    </row>
    <row r="74" ht="124" customHeight="1">
      <c r="A74" s="15" t="inlineStr">
        <is>
          <t>PAIR-073</t>
        </is>
      </c>
      <c r="B74" s="18" t="inlineStr">
        <is>
          <t>FILM-124</t>
        </is>
      </c>
      <c r="C74" s="5" t="inlineStr">
        <is>
          <t>Swati</t>
        </is>
      </c>
      <c r="D74" s="17" t="n">
        <v>1986</v>
      </c>
      <c r="E74" s="5" t="inlineStr">
        <is>
          <t>Dr. Rajendra Prasad</t>
        </is>
      </c>
      <c r="F74" s="5" t="inlineStr">
        <is>
          <t>Sharmila Tagore</t>
        </is>
      </c>
      <c r="G74" s="5" t="inlineStr">
        <is>
          <t>Sharda</t>
        </is>
      </c>
      <c r="H74" s="5" t="inlineStr">
        <is>
          <t>Principal supporting; the title role belongs to her daughter</t>
        </is>
      </c>
      <c r="I74" s="5" t="inlineStr">
        <is>
          <t>Partial</t>
        </is>
      </c>
      <c r="J74" s="19" t="inlineStr">
        <is>
          <t>Romance subordinate to another genre</t>
        </is>
      </c>
      <c r="K74" s="5" t="inlineStr">
        <is>
          <t>Employer and employee; he is a doctor, she the nurse he hires</t>
        </is>
      </c>
      <c r="L74" s="5" t="inlineStr">
        <is>
          <t>Sharda, having relocated to a small southern town with the daughter she bore alone, finds employment as a nurse with Dr. Rajendra.</t>
        </is>
      </c>
      <c r="M74" s="5" t="inlineStr">
        <is>
          <t>Neither; Swati proposes the marriage</t>
        </is>
      </c>
      <c r="N74" s="19" t="inlineStr">
        <is>
          <t>No courtship at all. The marriage is proposed by Sharda's daughter, who will not marry while her mother has no one, and Rajendra agrees to it.</t>
        </is>
      </c>
      <c r="O74" s="19" t="inlineStr">
        <is>
          <t>Respect and practical kindness between two people who have each lost a partner, rather than attraction.</t>
        </is>
      </c>
      <c r="P74" s="19" t="inlineStr">
        <is>
          <t>None recorded between them; the difficulty arriving is Sharda's past, not their marriage.</t>
        </is>
      </c>
      <c r="Q74" s="20" t="n">
        <v>1</v>
      </c>
      <c r="R74" s="19" t="inlineStr">
        <is>
          <t>No conflict of any kind is recorded between Rajendra and Sharda. The marriage is contracted amicably at a third party's request and the household it creates functions; every strain in the film comes from outside it.</t>
        </is>
      </c>
      <c r="S74" s="20" t="n">
        <v>6</v>
      </c>
      <c r="T74" s="5" t="inlineStr">
        <is>
          <t>Family; Community; Existing relationship</t>
        </is>
      </c>
      <c r="U74" s="19" t="inlineStr">
        <is>
          <t>Sharda's history with Satya Prakash, who believed her sold to him and who returns into her life at the end; the concealment of Swati's very existence from Anandi's in-laws; and the community that had already alienated mother and daughter before the marriage.</t>
        </is>
      </c>
      <c r="V74" s="20" t="n">
        <v>3</v>
      </c>
      <c r="W74" s="19" t="inlineStr">
        <is>
          <t>Rajendra is a widower agreeing to a practical marriage arranged by his employee's daughter. There is no courtship, pursuit or romantic declaration anywhere in the part, and his function in the film is to provide a household rather than a romance.</t>
        </is>
      </c>
      <c r="X74" s="20" t="n">
        <v>4</v>
      </c>
      <c r="Y74" s="20" t="n">
        <v>7</v>
      </c>
      <c r="Z74" s="20" t="n">
        <v>6</v>
      </c>
      <c r="AA74" s="20" t="n">
        <v>6</v>
      </c>
      <c r="AB74" s="20" t="n">
        <v>6</v>
      </c>
      <c r="AC74" s="19" t="inlineStr">
        <is>
          <t>Interpretive reading; no fetched review assesses this pairing. Kapoor and Sharmila Tagore, in the last of their eight films together, play a marriage of convenience between two middle-aged people with an ease that needs no charge; what registers is familiarity rather than attraction, which is what the part requires.</t>
        </is>
      </c>
      <c r="AD74" s="5" t="inlineStr">
        <is>
          <t>No</t>
        </is>
      </c>
      <c r="AE74" s="5" t="inlineStr">
        <is>
          <t>No</t>
        </is>
      </c>
      <c r="AF74" s="5" t="inlineStr">
        <is>
          <t>No</t>
        </is>
      </c>
      <c r="AG74" s="5" t="inlineStr">
        <is>
          <t>Partial</t>
        </is>
      </c>
      <c r="AH74" s="5" t="inlineStr">
        <is>
          <t>No</t>
        </is>
      </c>
      <c r="AI74" s="5" t="inlineStr">
        <is>
          <t>Yes</t>
        </is>
      </c>
      <c r="AJ74" s="5" t="inlineStr">
        <is>
          <t>Yes</t>
        </is>
      </c>
      <c r="AK74" s="19" t="inlineStr">
        <is>
          <t>From a widowed employer to the head of a blended household containing his own daughter, Sharda and Swati.</t>
        </is>
      </c>
      <c r="AL74" s="19" t="inlineStr">
        <is>
          <t>Sharda moves from an unmarried mother working as a nurse to a wife in a wealthy household, and then back into the reach of the man she bore a child to.</t>
        </is>
      </c>
      <c r="AM74" s="5" t="inlineStr">
        <is>
          <t>Not stated; the summary ends with Satya Prakash's return turning Sharda and Swati's lives upside down.</t>
        </is>
      </c>
      <c r="AN74" s="5" t="inlineStr">
        <is>
          <t>Yes</t>
        </is>
      </c>
      <c r="AO74" s="5" t="n"/>
      <c r="AP74" s="5" t="n"/>
      <c r="AQ74" s="19" t="inlineStr">
        <is>
          <t>The last Kapoor and Sharmila Tagore pairing, and the inverse of their first: Aamne Samne in 1967 was a courtship conducted under suspicion of murder, and this is a marriage with no courtship at all, proposed by a daughter so that she may marry in turn. It belongs with Alag Alag and Pyar Ki Jeet in the late group where Kapoor is paired on screen with a major actress in a deliberately unromantic relation.</t>
        </is>
      </c>
      <c r="AR74" s="19" t="inlineStr">
        <is>
          <t>The marriage exists to solve a problem the film has created for its heroine, that a daughter cannot marry while her mother is alone, and both middle-aged parties consent to an arrangement made by a younger woman. It is unusual in treating a second marriage for companionship as unremarkable, and in giving Swati the authority to propose it.</t>
        </is>
      </c>
      <c r="AS74" s="5" t="inlineStr">
        <is>
          <t>SOURCE-001; SOURCE-102</t>
        </is>
      </c>
      <c r="AT74" s="5" t="inlineStr">
        <is>
          <t>Medium</t>
        </is>
      </c>
    </row>
    <row r="75" ht="124" customHeight="1">
      <c r="A75" s="15" t="inlineStr">
        <is>
          <t>PAIR-074</t>
        </is>
      </c>
      <c r="B75" s="18" t="inlineStr">
        <is>
          <t>FILM-130</t>
        </is>
      </c>
      <c r="C75" s="5" t="inlineStr">
        <is>
          <t>Sindoor</t>
        </is>
      </c>
      <c r="D75" s="17" t="n">
        <v>1987</v>
      </c>
      <c r="E75" s="5" t="inlineStr">
        <is>
          <t>Professor Vijay Choudhury</t>
        </is>
      </c>
      <c r="F75" s="5" t="inlineStr">
        <is>
          <t>Jaya Prada</t>
        </is>
      </c>
      <c r="G75" s="5" t="inlineStr">
        <is>
          <t>Laxmi Choudhary</t>
        </is>
      </c>
      <c r="H75" s="5" t="inlineStr">
        <is>
          <t>Female lead</t>
        </is>
      </c>
      <c r="I75" s="5" t="inlineStr">
        <is>
          <t>Yes</t>
        </is>
      </c>
      <c r="J75" s="19" t="inlineStr">
        <is>
          <t>Relationship damaged by mistrust</t>
        </is>
      </c>
      <c r="K75" s="5" t="inlineStr">
        <is>
          <t>A happily married couple, he a professor and she a singer</t>
        </is>
      </c>
      <c r="L75" s="5" t="inlineStr">
        <is>
          <t>Not dramatised; the marriage is established in flashback as a happy one.</t>
        </is>
      </c>
      <c r="M75" s="5" t="inlineStr">
        <is>
          <t>Not recorded</t>
        </is>
      </c>
      <c r="N75" s="19" t="inlineStr">
        <is>
          <t>None shown. The film opens years after the marriage has already been destroyed and reconstructs it in flashback.</t>
        </is>
      </c>
      <c r="O75" s="19" t="inlineStr">
        <is>
          <t>Genuine happiness curdled by a husband's suspicion of his wife's professional partner, and then, years later, by a second suspicion on seeing her in widow's dress.</t>
        </is>
      </c>
      <c r="P75" s="19" t="inlineStr">
        <is>
          <t>Vijay suspects Laxmi's singing partnership with Kumar and forces her out of the house; the misconception is cleared the same day, too late to find her.</t>
        </is>
      </c>
      <c r="Q75" s="20" t="n">
        <v>7</v>
      </c>
      <c r="R75" s="19" t="inlineStr">
        <is>
          <t>Severe and entirely his doing: he expels his wife from their home over a partnership he has misread, and she is gone before he learns Kumar was marrying someone else. The damage costs them both years and costs him a daughter he does not know about, and when they meet again he misreads her situation a second time.</t>
        </is>
      </c>
      <c r="S75" s="20" t="n">
        <v>5</v>
      </c>
      <c r="T75" s="5" t="inlineStr">
        <is>
          <t>Existing relationship; Fate</t>
        </is>
      </c>
      <c r="U75" s="19" t="inlineStr">
        <is>
          <t>Kumar, whose singing partnership with Laxmi produces the misconception, and the years of separation in which she cannot be traced. There is no family veto or villain; the obstacle is a misunderstanding compounded by time.</t>
        </is>
      </c>
      <c r="V75" s="20" t="n">
        <v>5</v>
      </c>
      <c r="W75" s="19" t="inlineStr">
        <is>
          <t>The film is organised around a marriage and its recovery, and Vijay's whole late arc is the search for the wife he drove out, which is devotion of a kind. It is held at the midpoint because the defining act of the role is jealous expulsion rather than courtship or sacrifice.</t>
        </is>
      </c>
      <c r="X75" s="20" t="n">
        <v>9</v>
      </c>
      <c r="Y75" s="20" t="n">
        <v>4</v>
      </c>
      <c r="Z75" s="20" t="n">
        <v>5</v>
      </c>
      <c r="AA75" s="20" t="n">
        <v>7</v>
      </c>
      <c r="AB75" s="20" t="n">
        <v>6</v>
      </c>
      <c r="AC75" s="19" t="inlineStr">
        <is>
          <t>Interpretive reading; no fetched review assesses this pairing. Kapoor was fifty and playing a professor confronting his own younger self in flashback, and the film leans on the song 'Patjhad Saawan Basant Bahaar' to carry what the couple have lost; the pairing works better in the recognition scenes than in the flashback marriage.</t>
        </is>
      </c>
      <c r="AD75" s="5" t="inlineStr">
        <is>
          <t>Partial</t>
        </is>
      </c>
      <c r="AE75" s="5" t="inlineStr">
        <is>
          <t>Yes</t>
        </is>
      </c>
      <c r="AF75" s="5" t="inlineStr">
        <is>
          <t>Yes</t>
        </is>
      </c>
      <c r="AG75" s="5" t="inlineStr">
        <is>
          <t>Yes</t>
        </is>
      </c>
      <c r="AH75" s="5" t="inlineStr">
        <is>
          <t>Yes</t>
        </is>
      </c>
      <c r="AI75" s="5" t="inlineStr">
        <is>
          <t>Yes</t>
        </is>
      </c>
      <c r="AJ75" s="5" t="inlineStr">
        <is>
          <t>No</t>
        </is>
      </c>
      <c r="AK75" s="19" t="inlineStr">
        <is>
          <t>From a husband who expels his wife on a suspicion to a man who spends years unable to find her and then resigns his post rather than face what he sees.</t>
        </is>
      </c>
      <c r="AL75" s="19" t="inlineStr">
        <is>
          <t>Laxmi leaves, raises their daughter alone in a widow's attire so that the child may be respectable, and finally explains the life she built to the husband who caused it.</t>
        </is>
      </c>
      <c r="AM75" s="5" t="inlineStr">
        <is>
          <t>Laxmi meets Vijay at his residence and tells him the truth about her widowhood; the film moves toward reunion.</t>
        </is>
      </c>
      <c r="AN75" s="5" t="inlineStr">
        <is>
          <t>Yes</t>
        </is>
      </c>
      <c r="AO75" s="5" t="inlineStr">
        <is>
          <t>Happy</t>
        </is>
      </c>
      <c r="AP75" s="5" t="n"/>
      <c r="AQ75" s="19" t="inlineStr">
        <is>
          <t>The last romantic lead of Kapoor's Hindi career and his last commercial success, and a summary of the pattern the filmography keeps returning to: a marriage destroyed by a husband's misreading rather than by any external veto. The title, sindoor, names the vermilion of a married woman, which is precisely what Laxmi gives up in order to survive as a supposed widow.</t>
        </is>
      </c>
      <c r="AR75" s="19" t="inlineStr">
        <is>
          <t>The film treats Vijay's jealousy as a tragic error to be forgiven rather than as conduct with a cost, and the cost is borne entirely by Laxmi, who loses her home, her name and her profession and raises a daughter under a false widowhood. That she must adopt the appearance of a dead husband to be respectable is the sharpest thing in the film, and it is not presented as a criticism.</t>
        </is>
      </c>
      <c r="AS75" s="5" t="inlineStr">
        <is>
          <t>SOURCE-001; SOURCE-107</t>
        </is>
      </c>
      <c r="AT75" s="5" t="inlineStr">
        <is>
          <t>Medium</t>
        </is>
      </c>
    </row>
    <row r="76" ht="109" customHeight="1">
      <c r="A76" s="15" t="inlineStr">
        <is>
          <t>PAIR-075</t>
        </is>
      </c>
      <c r="B76" s="18" t="inlineStr">
        <is>
          <t>FILM-135</t>
        </is>
      </c>
      <c r="C76" s="5" t="inlineStr">
        <is>
          <t>Hum To Chale Pardes</t>
        </is>
      </c>
      <c r="D76" s="17" t="n">
        <v>1988</v>
      </c>
      <c r="E76" s="5" t="inlineStr">
        <is>
          <t>Kumar</t>
        </is>
      </c>
      <c r="F76" s="5" t="inlineStr">
        <is>
          <t>Asha Parekh</t>
        </is>
      </c>
      <c r="G76" s="5" t="inlineStr">
        <is>
          <t>Suman</t>
        </is>
      </c>
      <c r="H76" s="5" t="inlineStr">
        <is>
          <t>Guest appearance</t>
        </is>
      </c>
      <c r="I76" s="5" t="inlineStr">
        <is>
          <t>No</t>
        </is>
      </c>
      <c r="J76" s="19" t="inlineStr">
        <is>
          <t>Tragic lovers</t>
        </is>
      </c>
      <c r="K76" s="5" t="inlineStr">
        <is>
          <t>Married for years and childless</t>
        </is>
      </c>
      <c r="L76" s="5" t="inlineStr">
        <is>
          <t>Not dramatised; the marriage is established when the film opens.</t>
        </is>
      </c>
      <c r="M76" s="5" t="inlineStr">
        <is>
          <t>Not recorded</t>
        </is>
      </c>
      <c r="N76" s="19" t="inlineStr">
        <is>
          <t>None. The film begins in a long marriage and ends it within its opening movement.</t>
        </is>
      </c>
      <c r="O76" s="19" t="inlineStr">
        <is>
          <t>Settled and close, and defined by a childlessness that finally resolves at the cost of her life.</t>
        </is>
      </c>
      <c r="P76" s="19" t="inlineStr">
        <is>
          <t>None between them.</t>
        </is>
      </c>
      <c r="Q76" s="20" t="n">
        <v>1</v>
      </c>
      <c r="R76" s="19" t="inlineStr">
        <is>
          <t>No conflict is recorded. The marriage is presented as close and untroubled, and what ends it is the childbirth she does not survive.</t>
        </is>
      </c>
      <c r="S76" s="20" t="n">
        <v>7</v>
      </c>
      <c r="T76" s="5" t="inlineStr">
        <is>
          <t>Illness; Fate</t>
        </is>
      </c>
      <c r="U76" s="19" t="inlineStr">
        <is>
          <t>Years of childlessness, and then a pregnancy she is unlikely to survive. The opposition is entirely biological and it is fatal.</t>
        </is>
      </c>
      <c r="V76" s="20" t="n">
        <v>4</v>
      </c>
      <c r="W76" s="19" t="inlineStr">
        <is>
          <t>A husband rather than a suitor, with no courtship shown, but the role is organised around a promise made to a dying wife and kept for the rest of his life, which is constancy of a demonstrable kind. Scored below the midpoint because the devotion is expressed as celibacy and fatherhood rather than as romance.</t>
        </is>
      </c>
      <c r="X76" s="20" t="n">
        <v>4</v>
      </c>
      <c r="Y76" s="20" t="n">
        <v>8</v>
      </c>
      <c r="Z76" s="20" t="n">
        <v>7</v>
      </c>
      <c r="AA76" s="20" t="n">
        <v>6</v>
      </c>
      <c r="AB76" s="20" t="n">
        <v>5</v>
      </c>
      <c r="AC76" s="19" t="inlineStr">
        <is>
          <t>Interpretive reading; no fetched review assesses this pairing, and the cast list marks Asha Parekh's appearance a guest role, so the couple have very little screen time together. The score reflects the slightness of the documented material rather than a judgement about the playing.</t>
        </is>
      </c>
      <c r="AD76" s="5" t="inlineStr">
        <is>
          <t>Unclear</t>
        </is>
      </c>
      <c r="AE76" s="5" t="inlineStr">
        <is>
          <t>No</t>
        </is>
      </c>
      <c r="AF76" s="5" t="inlineStr">
        <is>
          <t>No</t>
        </is>
      </c>
      <c r="AG76" s="5" t="inlineStr">
        <is>
          <t>No</t>
        </is>
      </c>
      <c r="AH76" s="5" t="inlineStr">
        <is>
          <t>Yes</t>
        </is>
      </c>
      <c r="AI76" s="5" t="inlineStr">
        <is>
          <t>Yes</t>
        </is>
      </c>
      <c r="AJ76" s="5" t="inlineStr">
        <is>
          <t>Yes</t>
        </is>
      </c>
      <c r="AK76" s="19" t="inlineStr">
        <is>
          <t>From a husband of long standing to a widower raising a daughter alone under a promise never to marry again.</t>
        </is>
      </c>
      <c r="AL76" s="19" t="inlineStr">
        <is>
          <t>Suman bears the child she waited years for and, dying, extracts the promise that governs the rest of Kumar's life.</t>
        </is>
      </c>
      <c r="AM76" s="5" t="inlineStr">
        <is>
          <t>Ended by her death after childbirth; Kumar keeps the promise and never remarries.</t>
        </is>
      </c>
      <c r="AN76" s="5" t="inlineStr">
        <is>
          <t>Yes</t>
        </is>
      </c>
      <c r="AO76" s="5" t="inlineStr">
        <is>
          <t>Tragic</t>
        </is>
      </c>
      <c r="AP76" s="5" t="n"/>
      <c r="AQ76" s="19" t="inlineStr">
        <is>
          <t>The fourth and last Kapoor and Asha Parekh pairing, and by some distance the briefest: a guest appearance that dies in the opening movement and then governs the whole film through a deathbed promise. It belongs with Silsila and Aandhi-Toofan in the late group where his character's marriage exists chiefly to be lost.</t>
        </is>
      </c>
      <c r="AR76" s="19" t="inlineStr">
        <is>
          <t>A wife who waits years for a child, dies producing one, and binds her husband to lifelong celibacy is a construction the period used often, and the film treats the promise as touching rather than as a demand. Suman's one action in the film is to determine what her husband may do for the rest of his life, which is agency of a distinctly circumscribed kind.</t>
        </is>
      </c>
      <c r="AS76" s="5" t="inlineStr">
        <is>
          <t>SOURCE-001; SOURCE-112</t>
        </is>
      </c>
      <c r="AT76" s="5" t="inlineStr">
        <is>
          <t>Low</t>
        </is>
      </c>
    </row>
    <row r="77" ht="109" customHeight="1">
      <c r="A77" s="15" t="inlineStr">
        <is>
          <t>PAIR-076</t>
        </is>
      </c>
      <c r="B77" s="18" t="inlineStr">
        <is>
          <t>FILM-144</t>
        </is>
      </c>
      <c r="C77" s="5" t="inlineStr">
        <is>
          <t>Oonch Neech Beech</t>
        </is>
      </c>
      <c r="D77" s="17" t="n">
        <v>1989</v>
      </c>
      <c r="E77" s="5" t="inlineStr">
        <is>
          <t>Motilal</t>
        </is>
      </c>
      <c r="F77" s="5" t="inlineStr">
        <is>
          <t>Smita Patil</t>
        </is>
      </c>
      <c r="G77" s="5" t="inlineStr">
        <is>
          <t>Sumita</t>
        </is>
      </c>
      <c r="H77" s="5" t="inlineStr">
        <is>
          <t>Female lead</t>
        </is>
      </c>
      <c r="I77" s="5" t="inlineStr">
        <is>
          <t>Partial</t>
        </is>
      </c>
      <c r="J77" s="19" t="inlineStr">
        <is>
          <t>Marriage under strain</t>
        </is>
      </c>
      <c r="K77" s="5" t="inlineStr">
        <is>
          <t>Married, living in a house near the railway station he runs</t>
        </is>
      </c>
      <c r="L77" s="5" t="inlineStr">
        <is>
          <t>Not dramatised; Motilal marries Sumita and they settle close to the station.</t>
        </is>
      </c>
      <c r="M77" s="5" t="inlineStr">
        <is>
          <t>Not recorded</t>
        </is>
      </c>
      <c r="N77" s="19" t="inlineStr">
        <is>
          <t>None shown. The marriage is established and the film observes what the station does to it.</t>
        </is>
      </c>
      <c r="O77" s="19" t="inlineStr">
        <is>
          <t>A settled marriage steadily undermined by the presence of another woman living on her husband's premises at his sufferance.</t>
        </is>
      </c>
      <c r="P77" s="19" t="inlineStr">
        <is>
          <t>Sumita suspects Motilal of an affair with Tulsi, the abandoned woman he has housed in the station waiting room, and the suspicion hardens when Tulsi becomes pregnant.</t>
        </is>
      </c>
      <c r="Q77" s="20" t="n">
        <v>6</v>
      </c>
      <c r="R77" s="19" t="inlineStr">
        <is>
          <t>Sustained and corrosive: the article describes an ongoing distrust between the two women driven by Sumita's suspicion of her husband, running across years of the film's chronology. It stops short of the highest band because no rupture is recorded and because the article never confirms that the suspicion is well founded.</t>
        </is>
      </c>
      <c r="S77" s="20" t="n">
        <v>6</v>
      </c>
      <c r="T77" s="5" t="inlineStr">
        <is>
          <t>Existing relationship; Community; Other</t>
        </is>
      </c>
      <c r="U77" s="19" t="inlineStr">
        <is>
          <t>Tulsi's presence in the waiting room, which Motilal permits and which his marriage cannot absorb; Gupta, his supervisor, whose complaints force him to evict her; and the station itself, a workplace that is also his household's boundary.</t>
        </is>
      </c>
      <c r="V77" s="20" t="n">
        <v>3</v>
      </c>
      <c r="W77" s="19" t="inlineStr">
        <is>
          <t>A station master in a rural ensemble drama, with no courtship, declaration or romantic action of any kind. The part's moral interest is in what he owes a destitute woman, not in what he feels for his wife, and the romance register is absent.</t>
        </is>
      </c>
      <c r="X77" s="20" t="n">
        <v>6</v>
      </c>
      <c r="Y77" s="20" t="n">
        <v>5</v>
      </c>
      <c r="Z77" s="20" t="n">
        <v>5</v>
      </c>
      <c r="AA77" s="20" t="n">
        <v>7</v>
      </c>
      <c r="AB77" s="20" t="n">
        <v>6</v>
      </c>
      <c r="AC77" s="19" t="inlineStr">
        <is>
          <t>Interpretive reading; no fetched review assesses this pairing. Smita Patil died in 1986 while the film was still in production and it was not released until 1989, with the storyline altered around her death and Sanjeev Kumar's, so what survives of the marriage on screen is necessarily partial.</t>
        </is>
      </c>
      <c r="AD77" s="5" t="inlineStr">
        <is>
          <t>No</t>
        </is>
      </c>
      <c r="AE77" s="5" t="inlineStr">
        <is>
          <t>Yes</t>
        </is>
      </c>
      <c r="AF77" s="5" t="inlineStr">
        <is>
          <t>Yes</t>
        </is>
      </c>
      <c r="AG77" s="5" t="inlineStr">
        <is>
          <t>Unclear</t>
        </is>
      </c>
      <c r="AH77" s="5" t="inlineStr">
        <is>
          <t>No</t>
        </is>
      </c>
      <c r="AI77" s="5" t="inlineStr">
        <is>
          <t>Partial</t>
        </is>
      </c>
      <c r="AJ77" s="5" t="inlineStr">
        <is>
          <t>No</t>
        </is>
      </c>
      <c r="AK77" s="19" t="inlineStr">
        <is>
          <t>From the station's quiet benefactor to the man who puts Tulsi out at his supervisor's insistence, with his marriage's suspicion unresolved.</t>
        </is>
      </c>
      <c r="AL77" s="19" t="inlineStr">
        <is>
          <t>Sumita moves from wife to the household's investigator, confronting Tulsi directly over the paternity of her child.</t>
        </is>
      </c>
      <c r="AM77" s="5" t="inlineStr">
        <is>
          <t>Not stated; the article's plot summary breaks off after years of accumulated tensions.</t>
        </is>
      </c>
      <c r="AN77" s="5" t="inlineStr">
        <is>
          <t>Yes</t>
        </is>
      </c>
      <c r="AO77" s="5" t="inlineStr">
        <is>
          <t>Unresolved</t>
        </is>
      </c>
      <c r="AP77" s="5" t="n"/>
      <c r="AQ77" s="19" t="inlineStr">
        <is>
          <t>The last marriage of substance in the filmography, and one of the few in which Kapoor's character is suspected rather than wronged. It closes a line that runs from Aamne Samne through Satyam Shivam Sundaram and Sindoor: a marriage in which one partner cannot establish what the other has done, with the difference that here the doubt is the wife's and the film never resolves it in his favour.</t>
        </is>
      </c>
      <c r="AR77" s="19" t="inlineStr">
        <is>
          <t>The film sets two women against each other over a man who has authority over both the house and the waiting room, and it is Tulsi, with no standing at all, who is evicted when the institution objects. Sumita's suspicion is treated as the marriage's problem rather than as a reasonable response to her husband housing another woman indefinitely, and the plot's sympathy sits with Motilal's decency.</t>
        </is>
      </c>
      <c r="AS77" s="5" t="inlineStr">
        <is>
          <t>SOURCE-001; SOURCE-119</t>
        </is>
      </c>
      <c r="AT77" s="5" t="inlineStr">
        <is>
          <t>Low</t>
        </is>
      </c>
    </row>
  </sheetData>
  <autoFilter ref="A1:AT77"/>
  <conditionalFormatting sqref="Q2:Q277">
    <cfRule type="colorScale" priority="1">
      <colorScale>
        <cfvo type="num" val="0"/>
        <cfvo type="num" val="5"/>
        <cfvo type="num" val="10"/>
        <color rgb="00FFFFFF"/>
        <color rgb="00FCE7B2"/>
        <color rgb="00E07B39"/>
      </colorScale>
    </cfRule>
  </conditionalFormatting>
  <conditionalFormatting sqref="S2:S277">
    <cfRule type="colorScale" priority="2">
      <colorScale>
        <cfvo type="num" val="0"/>
        <cfvo type="num" val="5"/>
        <cfvo type="num" val="10"/>
        <color rgb="00FFFFFF"/>
        <color rgb="00FCE7B2"/>
        <color rgb="00E07B39"/>
      </colorScale>
    </cfRule>
  </conditionalFormatting>
  <conditionalFormatting sqref="V2:V277">
    <cfRule type="colorScale" priority="3">
      <colorScale>
        <cfvo type="num" val="0"/>
        <cfvo type="num" val="5"/>
        <cfvo type="num" val="10"/>
        <color rgb="00FFFFFF"/>
        <color rgb="00FCE7B2"/>
        <color rgb="00E07B39"/>
      </colorScale>
    </cfRule>
  </conditionalFormatting>
  <conditionalFormatting sqref="X2:X277">
    <cfRule type="colorScale" priority="4">
      <colorScale>
        <cfvo type="num" val="0"/>
        <cfvo type="num" val="5"/>
        <cfvo type="num" val="10"/>
        <color rgb="00FFFFFF"/>
        <color rgb="00FCE7B2"/>
        <color rgb="00E07B39"/>
      </colorScale>
    </cfRule>
  </conditionalFormatting>
  <conditionalFormatting sqref="Y2:Y277">
    <cfRule type="colorScale" priority="5">
      <colorScale>
        <cfvo type="num" val="0"/>
        <cfvo type="num" val="5"/>
        <cfvo type="num" val="10"/>
        <color rgb="00FFFFFF"/>
        <color rgb="00FCE7B2"/>
        <color rgb="00E07B39"/>
      </colorScale>
    </cfRule>
  </conditionalFormatting>
  <conditionalFormatting sqref="Z2:Z277">
    <cfRule type="colorScale" priority="6">
      <colorScale>
        <cfvo type="num" val="0"/>
        <cfvo type="num" val="5"/>
        <cfvo type="num" val="10"/>
        <color rgb="00FFFFFF"/>
        <color rgb="00FCE7B2"/>
        <color rgb="00E07B39"/>
      </colorScale>
    </cfRule>
  </conditionalFormatting>
  <conditionalFormatting sqref="AA2:AA277">
    <cfRule type="colorScale" priority="7">
      <colorScale>
        <cfvo type="num" val="0"/>
        <cfvo type="num" val="5"/>
        <cfvo type="num" val="10"/>
        <color rgb="00FFFFFF"/>
        <color rgb="00FCE7B2"/>
        <color rgb="00E07B39"/>
      </colorScale>
    </cfRule>
  </conditionalFormatting>
  <conditionalFormatting sqref="AB2:AB277">
    <cfRule type="colorScale" priority="8">
      <colorScale>
        <cfvo type="num" val="0"/>
        <cfvo type="num" val="5"/>
        <cfvo type="num" val="10"/>
        <color rgb="00FFFFFF"/>
        <color rgb="00FCE7B2"/>
        <color rgb="00E07B39"/>
      </colorScale>
    </cfRule>
  </conditionalFormatting>
  <dataValidations count="20">
    <dataValidation sqref="I2:I277" showDropDown="0" showInputMessage="0" showErrorMessage="1" allowBlank="1" errorTitle="Principal Female Lead" error="Choose a value from the list." type="list">
      <formula1>"Yes,No,Partial,Unclear,Not applicable"</formula1>
    </dataValidation>
    <dataValidation sqref="J2:J277" showDropDown="0" showInputMessage="0" showErrorMessage="1" allowBlank="1" errorTitle="Relationship Category" error="Choose a value from the list." type="list">
      <formula1>Overview!$AN$2:$AN$20</formula1>
    </dataValidation>
    <dataValidation sqref="Q2:Q277" showDropDown="0" showInputMessage="0" showErrorMessage="1" allowBlank="1" errorTitle="Pair Friction Score" error="Enter a score from 0 to 10." type="decimal" operator="between">
      <formula1>0</formula1>
      <formula2>10</formula2>
    </dataValidation>
    <dataValidation sqref="S2:S277" showDropDown="0" showInputMessage="0" showErrorMessage="1" allowBlank="1" errorTitle="External Opposition Score" error="Enter a score from 0 to 10." type="decimal" operator="between">
      <formula1>0</formula1>
      <formula2>10</formula2>
    </dataValidation>
    <dataValidation sqref="V2:V277" showDropDown="0" showInputMessage="0" showErrorMessage="1" allowBlank="1" errorTitle="Lover-Boy Score" error="Enter a score from 0 to 10." type="decimal" operator="between">
      <formula1>0</formula1>
      <formula2>10</formula2>
    </dataValidation>
    <dataValidation sqref="X2:X277" showDropDown="0" showInputMessage="0" showErrorMessage="1" allowBlank="1" errorTitle="Romance Centrality Score" error="Enter a score from 0 to 10." type="decimal" operator="between">
      <formula1>0</formula1>
      <formula2>10</formula2>
    </dataValidation>
    <dataValidation sqref="Y2:Y277" showDropDown="0" showInputMessage="0" showErrorMessage="1" allowBlank="1" errorTitle="Relationship Health Score" error="Enter a score from 0 to 10." type="decimal" operator="between">
      <formula1>0</formula1>
      <formula2>10</formula2>
    </dataValidation>
    <dataValidation sqref="Z2:Z277" showDropDown="0" showInputMessage="0" showErrorMessage="1" allowBlank="1" errorTitle="Mutuality Score" error="Enter a score from 0 to 10." type="decimal" operator="between">
      <formula1>0</formula1>
      <formula2>10</formula2>
    </dataValidation>
    <dataValidation sqref="AA2:AA277" showDropDown="0" showInputMessage="0" showErrorMessage="1" allowBlank="1" errorTitle="Female Agency Score" error="Enter a score from 0 to 10." type="decimal" operator="between">
      <formula1>0</formula1>
      <formula2>10</formula2>
    </dataValidation>
    <dataValidation sqref="AB2:AB277" showDropDown="0" showInputMessage="0" showErrorMessage="1" allowBlank="1" errorTitle="Chemistry Score" error="Enter a score from 0 to 10." type="decimal" operator="between">
      <formula1>0</formula1>
      <formula2>10</formula2>
    </dataValidation>
    <dataValidation sqref="AD2:AD277" showDropDown="0" showInputMessage="0" showErrorMessage="1" allowBlank="1" errorTitle="Playful Banter" error="Choose a value from the list." type="list">
      <formula1>"Yes,No,Partial,Unclear,Not applicable"</formula1>
    </dataValidation>
    <dataValidation sqref="AE2:AE277" showDropDown="0" showInputMessage="0" showErrorMessage="1" allowBlank="1" errorTitle="Serious Conflict" error="Choose a value from the list." type="list">
      <formula1>"Yes,No,Partial,Unclear,Not applicable"</formula1>
    </dataValidation>
    <dataValidation sqref="AF2:AF277" showDropDown="0" showInputMessage="0" showErrorMessage="1" allowBlank="1" errorTitle="Jealousy or Possessiveness" error="Choose a value from the list." type="list">
      <formula1>"Yes,No,Partial,Unclear,Not applicable"</formula1>
    </dataValidation>
    <dataValidation sqref="AG2:AG277" showDropDown="0" showInputMessage="0" showErrorMessage="1" allowBlank="1" errorTitle="Deception or Mistaken Identity" error="Choose a value from the list." type="list">
      <formula1>"Yes,No,Partial,Unclear,Not applicable"</formula1>
    </dataValidation>
    <dataValidation sqref="AH2:AH277" showDropDown="0" showInputMessage="0" showErrorMessage="1" allowBlank="1" errorTitle="Separation or Estrangement" error="Choose a value from the list." type="list">
      <formula1>"Yes,No,Partial,Unclear,Not applicable"</formula1>
    </dataValidation>
    <dataValidation sqref="AI2:AI277" showDropDown="0" showInputMessage="0" showErrorMessage="1" allowBlank="1" errorTitle="Sacrifice" error="Choose a value from the list." type="list">
      <formula1>"Yes,No,Partial,Unclear,Not applicable"</formula1>
    </dataValidation>
    <dataValidation sqref="AJ2:AJ277" showDropDown="0" showInputMessage="0" showErrorMessage="1" allowBlank="1" errorTitle="Couple Functions as Team" error="Choose a value from the list." type="list">
      <formula1>"Yes,No,Partial,Unclear,Not applicable"</formula1>
    </dataValidation>
    <dataValidation sqref="AN2:AN277" showDropDown="0" showInputMessage="0" showErrorMessage="1" allowBlank="1" errorTitle="Marriage or Long-Term Union" error="Choose a value from the list." type="list">
      <formula1>"Yes,No,Partial,Unclear,Not applicable"</formula1>
    </dataValidation>
    <dataValidation sqref="AO2:AO277" showDropDown="0" showInputMessage="0" showErrorMessage="1" allowBlank="1" errorTitle="Happy, Tragic or Unresolved Ending" error="Choose a value from the list." type="list">
      <formula1>"Happy,Tragic,Unresolved"</formula1>
    </dataValidation>
    <dataValidation sqref="AT2:AT277"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2" customWidth="1" min="3" max="3"/>
    <col width="9" customWidth="1" min="4" max="4"/>
    <col width="9" customWidth="1" min="5" max="5"/>
    <col width="13" customWidth="1" min="6" max="6"/>
    <col width="18" customWidth="1" min="7" max="7"/>
    <col width="40" customWidth="1" min="8" max="8"/>
    <col width="30" customWidth="1" min="9" max="9"/>
    <col width="36" customWidth="1" min="10" max="10"/>
    <col width="32" customWidth="1" min="11" max="11"/>
    <col width="36" customWidth="1" min="12" max="12"/>
    <col width="32" customWidth="1" min="13" max="13"/>
    <col width="36" customWidth="1" min="14" max="14"/>
    <col width="36" customWidth="1" min="15" max="15"/>
    <col width="14" customWidth="1" min="16" max="16"/>
    <col width="26" customWidth="1" min="17" max="17"/>
    <col width="26" customWidth="1" min="18" max="18"/>
    <col width="90" customWidth="1" min="19" max="19"/>
    <col width="22" customWidth="1" min="20" max="20"/>
    <col width="12" customWidth="1" min="21" max="21"/>
  </cols>
  <sheetData>
    <row r="1" ht="36" customHeight="1">
      <c r="A1" s="12" t="inlineStr">
        <is>
          <t>Person ID</t>
        </is>
      </c>
      <c r="B1" s="12" t="inlineStr">
        <is>
          <t>Name</t>
        </is>
      </c>
      <c r="C1" s="12" t="inlineStr">
        <is>
          <t>Profession or Function</t>
        </is>
      </c>
      <c r="D1" s="12" t="inlineStr">
        <is>
          <t>Birth Year</t>
        </is>
      </c>
      <c r="E1" s="12" t="inlineStr">
        <is>
          <t>Death Year</t>
        </is>
      </c>
      <c r="F1" s="12" t="inlineStr">
        <is>
          <t>Years Active</t>
        </is>
      </c>
      <c r="G1" s="12" t="inlineStr">
        <is>
          <t>Industry or Primary Language</t>
        </is>
      </c>
      <c r="H1" s="12" t="inlineStr">
        <is>
          <t>Career Background</t>
        </is>
      </c>
      <c r="I1" s="12" t="inlineStr">
        <is>
          <t>Debut or Early Breakthrough</t>
        </is>
      </c>
      <c r="J1" s="12" t="inlineStr">
        <is>
          <t>Major Works</t>
        </is>
      </c>
      <c r="K1" s="13" t="inlineStr">
        <is>
          <t>Recurring Genres or Themes</t>
        </is>
      </c>
      <c r="L1" s="13" t="inlineStr">
        <is>
          <t>Creative Style</t>
        </is>
      </c>
      <c r="M1" s="12" t="inlineStr">
        <is>
          <t>Major Awards</t>
        </is>
      </c>
      <c r="N1" s="13" t="inlineStr">
        <is>
          <t>Historical Importance</t>
        </is>
      </c>
      <c r="O1" s="13" t="inlineStr">
        <is>
          <t>Relationship with Selected Actor</t>
        </is>
      </c>
      <c r="P1" s="12" t="inlineStr">
        <is>
          <t>Number of Collaborations</t>
        </is>
      </c>
      <c r="Q1" s="12" t="inlineStr">
        <is>
          <t>Collaboration Film IDs</t>
        </is>
      </c>
      <c r="R1" s="12" t="inlineStr">
        <is>
          <t>Most Important Collaboration</t>
        </is>
      </c>
      <c r="S1" s="12" t="inlineStr">
        <is>
          <t>Extended Biography</t>
        </is>
      </c>
      <c r="T1" s="12" t="inlineStr">
        <is>
          <t>Source IDs</t>
        </is>
      </c>
      <c r="U1" s="12" t="inlineStr">
        <is>
          <t>Confidence Grade</t>
        </is>
      </c>
    </row>
    <row r="2" ht="199" customHeight="1">
      <c r="A2" s="15" t="inlineStr">
        <is>
          <t>PERSON-001</t>
        </is>
      </c>
      <c r="B2" s="5" t="inlineStr">
        <is>
          <t>Laxmikant–Pyarelal</t>
        </is>
      </c>
      <c r="C2" s="5" t="inlineStr">
        <is>
          <t>Song composer (composing duo)</t>
        </is>
      </c>
      <c r="D2" s="18" t="n"/>
      <c r="E2" s="18" t="n"/>
      <c r="F2" s="5" t="inlineStr">
        <is>
          <t>1963–1998</t>
        </is>
      </c>
      <c r="G2" s="5" t="inlineStr">
        <is>
          <t>Hindi cinema</t>
        </is>
      </c>
      <c r="H2" s="5" t="inlineStr">
        <is>
          <t>An Indian composer duo of Laxmikant Shantaram Kudalkar (1937–1998) and Pyarelal Ramprasad Sharma (born 1940), known as L-P. Across a career running from 1963 to 1998 they composed for about 750 films, the largest output of any composing unit of the period.</t>
        </is>
      </c>
      <c r="I2" s="5" t="inlineStr">
        <is>
          <t>Parasmani (1963), for Babubhai Mistri; two of its songs became Binaca Geetmala hits and established the duo the following year.</t>
        </is>
      </c>
      <c r="J2" s="5" t="inlineStr">
        <is>
          <t>With Kapoor: Roti Kapda Aur Makaan (1974), Satyam Shivam Sundaram (1978), Suhaag (1979), Kranti (1981), Utsav (1984). The article's own list of their wider work runs from Parasmani (1963) through three decades of Hindi film scores.</t>
        </is>
      </c>
      <c r="K2" s="19" t="inlineStr">
        <is>
          <t>Hindi film songs and background scores across every commercial genre, from devotional and folk-inflected melody to the full orchestral idiom of the 1970s multi-starrer.</t>
        </is>
      </c>
      <c r="L2" s="19" t="inlineStr">
        <is>
          <t>Large-orchestra film scoring in the mainstream Bombay manner, built for playback stars and for songs designed to sell a film before its release.</t>
        </is>
      </c>
      <c r="M2" s="5" t="inlineStr">
        <is>
          <t>The article's infobox records the Padma Bhushan (2024). It credits the duo with music for roughly 750 films.</t>
        </is>
      </c>
      <c r="N2" s="19" t="inlineStr">
        <is>
          <t>The most prolific composing unit in Hindi film history, and the house sound of the commercial cinema in which Kapoor spent his peak years.</t>
        </is>
      </c>
      <c r="O2" s="19" t="inlineStr">
        <is>
          <t>The largest single collaboration in this filmography: 27 films, more than any director, writer or other composer. It runs from Pyar Kiye Jaa (1966) through the peak commercial decade — Roti Kapda Aur Makaan, Prem Kahani, Immaan Dharam, Satyam Shivam Sundaram, Suhaag, Kranti — and on to Ghar Ek Mandir (1984), Utsav (1984), Sindoor (1987) and a last credit on Akayla (1991). Every one of the 27 is a song-composing credit. Their article does not mention Kapoor; the relationship is established here from the film credits.</t>
        </is>
      </c>
      <c r="P2" s="17" t="n">
        <v>27</v>
      </c>
      <c r="Q2" s="5" t="inlineStr">
        <is>
          <t>FILM-019; FILM-032; FILM-033; FILM-050; FILM-051; FILM-053; FILM-056; FILM-057; FILM-059; FILM-065; FILM-067; FILM-074; FILM-075; FILM-076; FILM-077; FILM-083; FILM-087; FILM-091; FILM-097; FILM-098; FILM-104; FILM-112; FILM-114; FILM-124; FILM-130; FILM-144; FILM-146</t>
        </is>
      </c>
      <c r="R2" s="5" t="inlineStr">
        <is>
          <t>Roti Kapda Aur Makaan (1974)</t>
        </is>
      </c>
      <c r="S2" s="5" t="inlineStr">
        <is>
          <t>Laxmikant–Pyarelal were the defining commercial composing team of Hindi cinema's 1960s, 70s and 80s, and by a wide margin Shashi Kapoor's most frequent collaborators in any function. Laxmikant Kudalkar and Pyarelal Sharma began together on Parasmani in 1963 and went on to score some 750 films, working for nearly every major banner of the era. Their twenty-seven films with Kapoor track his career almost exactly: the mid-1960s comedies, the great run of 1974–81 multi-starrers that made him one of the decade's most saleable stars, and then the character and prestige work of the mid-1980s, including Utsav, which he produced himself. Their idiom — large orchestras, melody built around the leading playback voices, songs engineered to carry a film commercially — is the sound of the films in which Kapoor's romantic persona was fixed. Their Wikipedia article makes no mention of him, so the partnership is documented here entirely from the film credits, and the entry is graded High only for the collaboration count.</t>
        </is>
      </c>
      <c r="T2" s="5" t="inlineStr">
        <is>
          <t>SOURCE-129</t>
        </is>
      </c>
      <c r="U2" s="5" t="inlineStr">
        <is>
          <t>High</t>
        </is>
      </c>
    </row>
    <row r="3" ht="184" customHeight="1">
      <c r="A3" s="15" t="inlineStr">
        <is>
          <t>PERSON-002</t>
        </is>
      </c>
      <c r="B3" s="5" t="inlineStr">
        <is>
          <t>Kalyanji–Anandji</t>
        </is>
      </c>
      <c r="C3" s="5" t="inlineStr">
        <is>
          <t>Song composer; Background-score composer (composing duo)</t>
        </is>
      </c>
      <c r="D3" s="18" t="n"/>
      <c r="E3" s="18" t="n"/>
      <c r="F3" s="5" t="inlineStr">
        <is>
          <t>1954–1994</t>
        </is>
      </c>
      <c r="G3" s="5" t="inlineStr">
        <is>
          <t>Hindi cinema</t>
        </is>
      </c>
      <c r="H3" s="5" t="inlineStr">
        <is>
          <t>An Indian composer duo of the brothers Kalyanji Virji Shah (30 June 1928 – 24 August 2000) and Anandji Virji Shah (born 2 March 1933). Over a career of more than forty years they composed for about 250 films.</t>
        </is>
      </c>
      <c r="I3" s="5" t="inlineStr">
        <is>
          <t>Active from 1954; the article dates their rise to the mid-1960s, with late-1960s successes including Upkar (1967), Saraswatichandra (1968) and Bandhan (1969).</t>
        </is>
      </c>
      <c r="J3" s="5" t="inlineStr">
        <is>
          <t>With Kapoor: Jab Jab Phool Khile (1965), Haseena Maan Jayegi (1968), Chori Mera Kaam (1975), Trishna (1978). Elsewhere the article names Upkar (1967), a record-selling soundtrack of its decade, and Saraswatichandra (1968).</t>
        </is>
      </c>
      <c r="K3" s="19" t="inlineStr">
        <is>
          <t>Melodic Hindi film songs for mainstream drama, comedy and crime pictures, and a strong line in patriotic and devotional material.</t>
        </is>
      </c>
      <c r="L3" s="19" t="inlineStr">
        <is>
          <t>Song-led scoring with a gift for the memorable hook, written for the leading playback singers of the 1960s and 1970s.</t>
        </is>
      </c>
      <c r="M3" s="5" t="inlineStr">
        <is>
          <t>The article records a run of major commercial successes in the late 1960s, with Upkar described as an all-time blockbuster whose soundtrack was the sixth best-selling album of its decade.</t>
        </is>
      </c>
      <c r="N3" s="19" t="inlineStr">
        <is>
          <t>One of the two or three dominant composing units of 1960s and 1970s Hindi cinema, alongside Laxmikant–Pyarelal (PERSON-001) and Shankar–Jaikishan (PERSON-008).</t>
        </is>
      </c>
      <c r="O3" s="19" t="inlineStr">
        <is>
          <t>Nineteen films, the second-largest collaboration in the filmography. Eighteen are song credits and one, Krodhi (1981), is a background-score credit. The association opens with Jab Jab Phool Khile (1965) — the film whose success turned Kapoor into a star and whose songs were central to that success — and continues through Aamne Samne, Haseena Maan Jayegi, Chori Mera Kaam and a dense run of late-1970s films, closing with Pighalta Aasman (1985). Their article does not mention Kapoor.</t>
        </is>
      </c>
      <c r="P3" s="17" t="n">
        <v>19</v>
      </c>
      <c r="Q3" s="5" t="inlineStr">
        <is>
          <t>FILM-018; FILM-023; FILM-025; FILM-029; FILM-030; FILM-040; FILM-046; FILM-049; FILM-054; FILM-063; FILM-064; FILM-066; FILM-070; FILM-071; FILM-072; FILM-079; FILM-093; FILM-098; FILM-115</t>
        </is>
      </c>
      <c r="R3" s="5" t="inlineStr">
        <is>
          <t>Jab Jab Phool Khile (1965)</t>
        </is>
      </c>
      <c r="S3" s="5" t="inlineStr">
        <is>
          <t>Kalyanji and Anandji Virji Shah scored nineteen of Shashi Kapoor's films, second only to Laxmikant–Pyarelal. The brothers worked from 1954 to the mid-1990s across some 250 films, and their reputation rests on an ear for the melodic hook and on soundtracks — Upkar above all — that sold in volumes unusual for the period. Their first film with Kapoor is also the most consequential of his career: Jab Jab Phool Khile in 1965, whose songs did much to make it the hit that established him as a leading man and fixed the gentle, courteous romantic persona this workbook is largely built to measure. They stayed with him through the comedies and crime pictures of the late 1960s and 1970s, a particularly dense cluster in 1977 and 1978, and ended with Pighalta Aasman in 1985. Eighteen of the nineteen credits are for songs; only Krodhi is a background score. Their article is silent on Kapoor, so the partnership is reconstructed from credits.</t>
        </is>
      </c>
      <c r="T3" s="5" t="inlineStr">
        <is>
          <t>SOURCE-130</t>
        </is>
      </c>
      <c r="U3" s="5" t="inlineStr">
        <is>
          <t>High</t>
        </is>
      </c>
    </row>
    <row r="4" ht="139" customHeight="1">
      <c r="A4" s="15" t="inlineStr">
        <is>
          <t>PERSON-003</t>
        </is>
      </c>
      <c r="B4" s="5" t="inlineStr">
        <is>
          <t>R. D. Burman</t>
        </is>
      </c>
      <c r="C4" s="5" t="inlineStr">
        <is>
          <t>Song composer</t>
        </is>
      </c>
      <c r="D4" s="17" t="n">
        <v>1939</v>
      </c>
      <c r="E4" s="17" t="n">
        <v>1994</v>
      </c>
      <c r="F4" s="5" t="inlineStr">
        <is>
          <t>1961–1994</t>
        </is>
      </c>
      <c r="G4" s="5" t="inlineStr">
        <is>
          <t>Hindi and Bengali cinema</t>
        </is>
      </c>
      <c r="H4" s="5" t="inlineStr">
        <is>
          <t>Born Rahul Dev Burman on 27 June 1939; died 4 January 1994. Nicknamed Pancham, he was the only son of the composer S. D. Burman (PERSON-040) and the lyricist Meera Dev Burman, and composed scores for 331 films between the 1960s and the 1990s.</t>
        </is>
      </c>
      <c r="I4" s="5" t="inlineStr">
        <is>
          <t>Active as a composer from 1961; his reputation was made across the early 1970s.</t>
        </is>
      </c>
      <c r="J4" s="5" t="inlineStr">
        <is>
          <t>With Kapoor: Pyar Ka Mausam (1969), Deewaar (1975), Shaan (1980), Ijaazat (1987). His article lists Hare Rama Hare Krishna, Caravan, Amar Prem, Yaadon Ki Baaraat and Namak Haraam among the run of hits that established him.</t>
        </is>
      </c>
      <c r="K4" s="19" t="inlineStr">
        <is>
          <t>Hindi and Bengali film songs built around the voices of Kishore Kumar, Lata Mangeshkar, Asha Bhosle and Mohammed Rafi, and long working partnerships with the lyricists Majrooh Sultanpuri, Anand Bakshi and Gulzar (PERSON-031).</t>
        </is>
      </c>
      <c r="L4" s="19" t="inlineStr">
        <is>
          <t>Credited with bringing a new level of ensemble and rhythmic invention to Hindi film scoring, mixing Western rhythm sections and unconventional percussion into conventional film melody. His article also carries a substantial section on allegations of melodic borrowing.</t>
        </is>
      </c>
      <c r="M4" s="5" t="inlineStr">
        <is>
          <t>The article devotes a section to his awards and to a posthumous rise in reputation; it records his standing as among the most successful music directors of Hindi and Bengali cinema.</t>
        </is>
      </c>
      <c r="N4" s="19" t="inlineStr">
        <is>
          <t>The composer most identified with the sound of 1970s Bombay cinema, the decade of Kapoor's greatest commercial success.</t>
        </is>
      </c>
      <c r="O4" s="19" t="inlineStr">
        <is>
          <t>Eleven films, all song credits, spread evenly from Pyar Ka Mausam (1969) to Ijaazat (1987). The cluster includes three of the defining multi-starrers — Deewaar (1975), Shaan (1980) and Baseraa (1981) — and ends with two of the most admired scores of Kapoor's late career, Ek Main Aur Ek Tu (1986) and Ijaazat (1987), the latter for Gulzar. His article does not mention Kapoor.</t>
        </is>
      </c>
      <c r="P4" s="17" t="n">
        <v>11</v>
      </c>
      <c r="Q4" s="5" t="inlineStr">
        <is>
          <t>FILM-028; FILM-043; FILM-052; FILM-068; FILM-081; FILM-094; FILM-095; FILM-113; FILM-118; FILM-121; FILM-131</t>
        </is>
      </c>
      <c r="R4" s="5" t="inlineStr">
        <is>
          <t>Deewaar (1975)</t>
        </is>
      </c>
      <c r="S4" s="5" t="inlineStr">
        <is>
          <t>Rahul Dev Burman scored eleven Shashi Kapoor films across nearly twenty years. Born in 1939 to the composer S. D. Burman, who also appears in this workbook, he composed for 331 films between 1961 and his death in 1994 and is widely regarded as among the greatest of Hindi film music directors — an ear for rhythm and orchestration that brought a new kind of ensemble to the film song, and long partnerships with Kishore Kumar, Asha Bhosle and the lyricist Gulzar. His work with Kapoor spans the actor's commercial peak and his later character phase: Deewaar in 1975, where Kapoor plays the honest brother and speaks the most quoted line in Hindi cinema; Shaan and Baseraa at the turn of the decade; and Ijaazat in 1987, Gulzar's chamber piece and one of Burman's most admired late scores. His article never mentions Kapoor, and the relationship is established here from the credits alone.</t>
        </is>
      </c>
      <c r="T4" s="5" t="inlineStr">
        <is>
          <t>SOURCE-131</t>
        </is>
      </c>
      <c r="U4" s="5" t="inlineStr">
        <is>
          <t>High</t>
        </is>
      </c>
    </row>
    <row r="5" ht="169" customHeight="1">
      <c r="A5" s="15" t="inlineStr">
        <is>
          <t>PERSON-004</t>
        </is>
      </c>
      <c r="B5" s="5" t="inlineStr">
        <is>
          <t>Bappi Lahiri</t>
        </is>
      </c>
      <c r="C5" s="5" t="inlineStr">
        <is>
          <t>Song composer</t>
        </is>
      </c>
      <c r="D5" s="17" t="n">
        <v>1952</v>
      </c>
      <c r="E5" s="17" t="n">
        <v>2022</v>
      </c>
      <c r="F5" s="5" t="inlineStr">
        <is>
          <t>1972–2022</t>
        </is>
      </c>
      <c r="G5" s="5" t="inlineStr">
        <is>
          <t>Hindi, Bengali and Telugu cinema</t>
        </is>
      </c>
      <c r="H5" s="5" t="inlineStr">
        <is>
          <t>Born Alokesh Aparesh Lahiri on 27 November 1952; died 15 February 2022. A singer, composer and record producer known as Bappi Da, he was popular through the 1980s and 1990s and delivered commercial successes principally in Hindi, Telugu and Bengali films.</t>
        </is>
      </c>
      <c r="I5" s="5" t="inlineStr">
        <is>
          <t>Composing from 1972; his prominence dates from the disco-inflected soundtracks of the early 1980s.</t>
        </is>
      </c>
      <c r="J5" s="5" t="inlineStr">
        <is>
          <t>With Kapoor: Namak Halaal (1982), Ilzaam (1986), Commando (1988), Gair Kaanooni (1989). His article notes the Guinness World Records recognition in 1986 for recording more than 180 songs in a single year.</t>
        </is>
      </c>
      <c r="K5" s="19" t="inlineStr">
        <is>
          <t>Synthesised disco and dance-led film music, and the action and masala pictures of the 1980s.</t>
        </is>
      </c>
      <c r="L5" s="19" t="inlineStr">
        <is>
          <t>Popularised synthesised disco in Indian film music and often sang his own compositions; his sound defines the commercial Hindi soundtrack of the 1980s.</t>
        </is>
      </c>
      <c r="M5" s="5" t="inlineStr">
        <is>
          <t>The article records the 1986 Guinness World Records entry, a Grammy jury role, and consideration of his album World Peace, Love &amp; Harmony for a Grammy nomination in 2012.</t>
        </is>
      </c>
      <c r="N5" s="19" t="inlineStr">
        <is>
          <t>The composer who brought disco into mainstream Hindi film music and dominated the commercial soundtrack of the decade in which Kapoor moved into character and supporting work.</t>
        </is>
      </c>
      <c r="O5" s="19" t="inlineStr">
        <is>
          <t>Nine films, all song credits, and all of them late: the association begins with Namak Halaal (1982) and runs to Touhean, completed in 1987 and released in 1992. It therefore maps precisely onto Kapoor's decline as a leading man and his shift into supporting and character parts — Ilzaam, Commando, Farz Ki Jung, Gair Kaanooni and Raiszaada are films in which Kapoor is rarely the romantic centre. His article does not mention Kapoor.</t>
        </is>
      </c>
      <c r="P5" s="17" t="n">
        <v>9</v>
      </c>
      <c r="Q5" s="5" t="inlineStr">
        <is>
          <t>FILM-105; FILM-116; FILM-119; FILM-123; FILM-134; FILM-141; FILM-142; FILM-145; FILM-147</t>
        </is>
      </c>
      <c r="R5" s="5" t="inlineStr">
        <is>
          <t>Namak Halaal (1982)</t>
        </is>
      </c>
      <c r="S5" s="5" t="inlineStr">
        <is>
          <t>Bappi Lahiri scored the last phase of Shashi Kapoor's career, and the nine films tell that story plainly. All of them fall between 1982 and 1992 — Namak Halaal, Aandhi-Toofan, Bhavani Junction, Ilzaam, Commando, Farz Ki Jung, Gair Kaanooni, Raiszaada and Touhean — the years in which Kapoor's star power waned and he moved into supporting, senior and guest roles, several of them in films built around younger men. Taken together they are a fair sample of what commercial Hindi cinema sounded like in that decade. Lahiri, born Alokesh Aparesh Lahiri in 1952 into a musical Bengali family and composing from 1972, popularised synthesised disco in Indian film music and sang a good deal of it himself; in 1986 Guinness World Records recognised him for recording more than 180 songs in a single year, a figure that says as much about the industry's appetite as about his own. He worked across Hindi, Telugu and Bengali films, and his sound remains inseparable from the 1980s masala picture. His article makes no mention of Kapoor, so the collaboration is documented here from the film credits alone.</t>
        </is>
      </c>
      <c r="T5" s="5" t="inlineStr">
        <is>
          <t>SOURCE-132</t>
        </is>
      </c>
      <c r="U5" s="5" t="inlineStr">
        <is>
          <t>High</t>
        </is>
      </c>
    </row>
    <row r="6" ht="259" customHeight="1">
      <c r="A6" s="15" t="inlineStr">
        <is>
          <t>PERSON-005</t>
        </is>
      </c>
      <c r="B6" s="5" t="inlineStr">
        <is>
          <t>Yash Chopra</t>
        </is>
      </c>
      <c r="C6" s="5" t="inlineStr">
        <is>
          <t>Director; Producer; Writer</t>
        </is>
      </c>
      <c r="D6" s="17" t="n">
        <v>1932</v>
      </c>
      <c r="E6" s="17" t="n">
        <v>2012</v>
      </c>
      <c r="F6" s="5" t="inlineStr">
        <is>
          <t>1959–2012</t>
        </is>
      </c>
      <c r="G6" s="5" t="inlineStr">
        <is>
          <t>Hindi cinema</t>
        </is>
      </c>
      <c r="H6" s="5" t="inlineStr">
        <is>
          <t>Born Yash Raj Chopra on 27 September 1932; died 21 October 2012. He began as an assistant director to I. S. Johar and to his elder brother B. R. Chopra (PERSON-055), and founded Yash Raj Films (PERSON-025) in 1970.</t>
        </is>
      </c>
      <c r="I6" s="5" t="inlineStr">
        <is>
          <t>Dhool Ka Phool (1959) as director; Dharmputra (1961), his second film, is Kapoor's first adult leading role.</t>
        </is>
      </c>
      <c r="J6" s="5" t="inlineStr">
        <is>
          <t>With Kapoor: Dharmputra (1961), Waqt (1965), Deewaar (1975), Kabhi Kabhie (1976), Trishul (1978), Kaala Patthar (1979), Silsila (1981).</t>
        </is>
      </c>
      <c r="K6" s="19" t="inlineStr">
        <is>
          <t>Romantic drama with strong female leads; the large multi-star ensemble; family, brotherhood and divided loyalty; and, in the 1970s films, class and labour.</t>
        </is>
      </c>
      <c r="L6" s="19" t="inlineStr">
        <is>
          <t>A romantic stylist admired for visual polish, song picturisation and the handling of star ensembles, who alternated lyrical romance with hard-edged social drama.</t>
        </is>
      </c>
      <c r="M6" s="5" t="inlineStr">
        <is>
          <t>Six National Film Awards and eight Filmfare Awards; the Dadasaheb Phalke Award in 2001 and the Padma Bhushan in 2005. In 2006 BAFTA gave him a lifetime membership, the first Indian so honoured.</t>
        </is>
      </c>
      <c r="N6" s="19" t="inlineStr">
        <is>
          <t>One of the most influential Hindi filmmakers of the century and the founder of its most powerful family studio.</t>
        </is>
      </c>
      <c r="O6" s="19" t="inlineStr">
        <is>
          <t>Nine films and the single most consequential creative relationship in the filmography. Chopra directed Kapoor's adult debut in Dharmputra (1961), gave him the multi-generational hit Waqt (1965), and then built the partnership that defines his peak: Deewaar (1975), for which Kapoor won the Filmfare Award for Best Supporting Actor, followed by Kabhi Kabhie, Trishul, Kaala Patthar and Silsila. He produced two more, Doosra Aadmi (1977) and Sawaal (1982), both directed by Ramesh Talwar (PERSON-039). In most of these Kapoor is the lawful or forgiving brother opposite Amitabh Bachchan, a pattern central to this workbook's finding that his romances are frequently subordinate to a male pairing.</t>
        </is>
      </c>
      <c r="P6" s="17" t="n">
        <v>9</v>
      </c>
      <c r="Q6" s="5" t="inlineStr">
        <is>
          <t>FILM-007; FILM-017; FILM-052; FILM-060; FILM-069; FILM-078; FILM-085; FILM-101; FILM-106</t>
        </is>
      </c>
      <c r="R6" s="5" t="inlineStr">
        <is>
          <t>Deewaar (1975)</t>
        </is>
      </c>
      <c r="S6" s="5" t="inlineStr">
        <is>
          <t>Yash Chopra directed or produced nine Shashi Kapoor films and shaped his career more than any other filmmaker. He gave Kapoor his first adult lead in Dharmputra in 1961, a partition drama that failed commercially, and four years later cast him in Waqt, one of the films that made him. The decisive work came in the 1970s. Deewaar in 1975 set Kapoor as the honest police officer against Amitabh Bachchan's smuggler brother and won him the Filmfare Award for Best Supporting Actor; Kabhi Kabhie, Trishul, Kaala Patthar and Silsila followed, each placing him inside a large star ensemble in which his function is moral rather than romantic. Chopra, who trained under his brother B. R. Chopra and founded Yash Raj Films in 1970, was honoured with six National Film Awards, the Dadasaheb Phalke Award and the Padma Bhushan. His article does not discuss Kapoor specifically; the account of their work together is drawn from the film credits.</t>
        </is>
      </c>
      <c r="T6" s="5" t="inlineStr">
        <is>
          <t>SOURCE-133</t>
        </is>
      </c>
      <c r="U6" s="5" t="inlineStr">
        <is>
          <t>High</t>
        </is>
      </c>
    </row>
    <row r="7" ht="229" customHeight="1">
      <c r="A7" s="15" t="inlineStr">
        <is>
          <t>PERSON-006</t>
        </is>
      </c>
      <c r="B7" s="5" t="inlineStr">
        <is>
          <t>Ismail Merchant</t>
        </is>
      </c>
      <c r="C7" s="5" t="inlineStr">
        <is>
          <t>Producer; Director</t>
        </is>
      </c>
      <c r="D7" s="17" t="n">
        <v>1936</v>
      </c>
      <c r="E7" s="17" t="n">
        <v>2005</v>
      </c>
      <c r="F7" s="5" t="inlineStr">
        <is>
          <t>1960–2005</t>
        </is>
      </c>
      <c r="G7" s="5" t="inlineStr">
        <is>
          <t>English-language international cinema and Hindi cinema</t>
        </is>
      </c>
      <c r="H7" s="5" t="inlineStr">
        <is>
          <t>Born Ismail Noor Muhammad Abdul Rahman on 25 December 1936; died 24 May 2005. With the director James Ivory (PERSON-015), his professional and domestic partner, and the screenwriter Ruth Prawer Jhabvala (PERSON-019), he formed Merchant Ivory Productions (PERSON-073) in 1961.</t>
        </is>
      </c>
      <c r="I7" s="5" t="inlineStr">
        <is>
          <t>Producing from 1960; The Creation of a Woman (1959) brought an Academy Award nomination for Best Live Action Short Film.</t>
        </is>
      </c>
      <c r="J7" s="5" t="inlineStr">
        <is>
          <t>With Kapoor: The Householder (1963), Shakespeare Wallah (1965), Bombay Talkie (1970), Heat and Dust (1983), In Custody (1993). Elsewhere: A Room with a View, Howards End and The Remains of the Day.</t>
        </is>
      </c>
      <c r="K7" s="19" t="inlineStr">
        <is>
          <t>Literary adaptation, the encounter between English and Indian societies, and the residue of empire.</t>
        </is>
      </c>
      <c r="L7" s="19" t="inlineStr">
        <is>
          <t>A producer famous for making finely mounted literary films on very small budgets, and latterly a director in his own right.</t>
        </is>
      </c>
      <c r="M7" s="5" t="inlineStr">
        <is>
          <t>BAFTA Award for Best Film for A Room with a View (1985) and Howards End (1992); Academy Award nominations for Best Picture for A Room with a View, Howards End and The Remains of the Day.</t>
        </is>
      </c>
      <c r="N7" s="19" t="inlineStr">
        <is>
          <t>Co-founder of the most durable independent partnership in English-language art cinema, and the producer who gave Indian actors a route into it.</t>
        </is>
      </c>
      <c r="O7" s="19" t="inlineStr">
        <is>
          <t>Seven films, the parallel English-language career that ran beside Kapoor's Hindi one for thirty years. Merchant produced six — The Householder (1963), Shakespeare Wallah (1965), Bombay Talkie (1970), Heat and Dust (1983), The Deceivers (1988) and Side Streets (1998) — and directed the seventh, In Custody (1993), in which Kapoor plays the failing Urdu poet Nur and which brought him National Film Award recognition. Kapoor's wife Jennifer Kendal appeared in several of the early films; the Merchant Ivory connection is the reason his filmography contains a continuous art-cinema line that most of his contemporaries lack.</t>
        </is>
      </c>
      <c r="P7" s="17" t="n">
        <v>7</v>
      </c>
      <c r="Q7" s="5" t="inlineStr">
        <is>
          <t>FILM-010; FILM-015; FILM-036; FILM-109; FILM-136; FILM-148; FILM-154</t>
        </is>
      </c>
      <c r="R7" s="5" t="inlineStr">
        <is>
          <t>Shakespeare Wallah (1965)</t>
        </is>
      </c>
      <c r="S7" s="5" t="inlineStr">
        <is>
          <t>Ismail Merchant produced six of Shashi Kapoor's English-language films and directed a seventh, giving the actor a parallel career that no other mainstream Hindi star of his generation sustained. The association began with The Householder in 1963 and ran through Shakespeare Wallah, Bombay Talkie, Heat and Dust, The Deceivers and Side Streets — thirty-five years of work alongside the Hindi filmography. Merchant founded Merchant Ivory in 1961 with James Ivory and Ruth Prawer Jhabvala, and the company became famous for mounting literary adaptations with great visual care and almost no money; A Room with a View and Howards End brought BAFTA Awards for Best Film and Academy Award nominations. His one film as Kapoor's director, In Custody in 1993, cast him as a dissipated Urdu poet and produced one of the most admired performances of his late career. The article does not discuss Kapoor; their work together is documented from the film credits.</t>
        </is>
      </c>
      <c r="T7" s="5" t="inlineStr">
        <is>
          <t>SOURCE-134</t>
        </is>
      </c>
      <c r="U7" s="5" t="inlineStr">
        <is>
          <t>High</t>
        </is>
      </c>
    </row>
    <row r="8" ht="199" customHeight="1">
      <c r="A8" s="15" t="inlineStr">
        <is>
          <t>PERSON-007</t>
        </is>
      </c>
      <c r="B8" s="5" t="inlineStr">
        <is>
          <t>Kader Khan</t>
        </is>
      </c>
      <c r="C8" s="5" t="inlineStr">
        <is>
          <t>Writer</t>
        </is>
      </c>
      <c r="D8" s="17" t="n">
        <v>1937</v>
      </c>
      <c r="E8" s="17" t="n">
        <v>2018</v>
      </c>
      <c r="F8" s="5" t="inlineStr">
        <is>
          <t>1971–2018</t>
        </is>
      </c>
      <c r="G8" s="5" t="inlineStr">
        <is>
          <t>Hindi cinema</t>
        </is>
      </c>
      <c r="H8" s="5" t="inlineStr">
        <is>
          <t>Born in Afghanistan on 22 October 1937; died 31 December 2018. A professor of civil engineering at M. H. Saboo Siddik College, Mumbai, before entering films in 1971, he wrote dialogue for some 200 films and acted in more than 300.</t>
        </is>
      </c>
      <c r="I8" s="5" t="inlineStr">
        <is>
          <t>Writing from 1971; his acting debut was Daag (1973).</t>
        </is>
      </c>
      <c r="J8" s="5" t="inlineStr">
        <is>
          <t>With Kapoor: Suhaag (1979), Do Aur Do Paanch (1980), Namak Halaal (1982), Ghar Ek Mandir (1984). His article lists Mr. Natwarlal, Khoon Pasina, Satte Pe Satta, Inquilab, Giraftaar, Hum and Agneepath among his other scripts.</t>
        </is>
      </c>
      <c r="K8" s="19" t="inlineStr">
        <is>
          <t>The masala picture: lost-and-found families, brotherhood, comic set pieces and confrontation scenes built for star delivery.</t>
        </is>
      </c>
      <c r="L8" s="19" t="inlineStr">
        <is>
          <t>A dialogue writer above all, known for lines engineered to be performed — declamatory, rhythmic, and written to the strengths of particular stars.</t>
        </is>
      </c>
      <c r="M8" s="5" t="inlineStr">
        <is>
          <t>The article's infobox records the Padma Shri, awarded posthumously in 2019.</t>
        </is>
      </c>
      <c r="N8" s="19" t="inlineStr">
        <is>
          <t>One of the two or three most important dialogue writers of the commercial Hindi cinema of the 1970s and 1980s.</t>
        </is>
      </c>
      <c r="O8" s="19" t="inlineStr">
        <is>
          <t>Seven films, all writing credits, and all inside the multi-starrer phase: Mukti (1977), Suhaag (1979), Do Aur Do Paanch (1980), Namak Halaal (1982), Ghar Ek Mandir (1984), Sindoor (1987) and Gair Kaanooni (1989). Most are films Kapoor shares with Amitabh Bachchan or leads as an ensemble figure, and Khan's dialogue is written for exactly the kind of confrontation scene in which Kapoor's lawful brother is set against a transgressive one. His article discusses his work for Bachchan at length and does not mention Kapoor.</t>
        </is>
      </c>
      <c r="P8" s="17" t="n">
        <v>7</v>
      </c>
      <c r="Q8" s="5" t="inlineStr">
        <is>
          <t>FILM-068; FILM-087; FILM-092; FILM-105; FILM-112; FILM-130; FILM-142</t>
        </is>
      </c>
      <c r="R8" s="5" t="inlineStr">
        <is>
          <t>Suhaag (1979)</t>
        </is>
      </c>
      <c r="S8" s="5" t="inlineStr">
        <is>
          <t>Kader Khan wrote seven of Shashi Kapoor's films, all of them in the masala cycle that carried the actor's peak commercial years. A civil engineering professor who entered the industry in 1971, Khan wrote dialogue for around two hundred films and acted in more than three hundred, and he is remembered above all for lines built to be declaimed. His Kapoor films — Mukti, Suhaag, Do Aur Do Paanch, Namak Halaal, Ghar Ek Mandir, Sindoor and Gair Kaanooni — are almost all ensemble pictures, several of them shared with Amitabh Bachchan, and they are precisely the films in which Kapoor's romantic function is subordinated to a male pairing and to the confrontation scene. He was awarded the Padma Shri posthumously in 2019. His Wikipedia article discusses his long association with Bachchan in some detail but does not mention Kapoor, so the collaboration is documented here from the credits.</t>
        </is>
      </c>
      <c r="T8" s="5" t="inlineStr">
        <is>
          <t>SOURCE-135</t>
        </is>
      </c>
      <c r="U8" s="5" t="inlineStr">
        <is>
          <t>High</t>
        </is>
      </c>
    </row>
    <row r="9" ht="169" customHeight="1">
      <c r="A9" s="15" t="inlineStr">
        <is>
          <t>PERSON-008</t>
        </is>
      </c>
      <c r="B9" s="5" t="inlineStr">
        <is>
          <t>Shankar–Jaikishan</t>
        </is>
      </c>
      <c r="C9" s="5" t="inlineStr">
        <is>
          <t>Song composer (composing duo)</t>
        </is>
      </c>
      <c r="D9" s="18" t="n"/>
      <c r="E9" s="18" t="n"/>
      <c r="F9" s="5" t="inlineStr">
        <is>
          <t>1949–1971 as a duo; the credit continued under Shankar until 1987</t>
        </is>
      </c>
      <c r="G9" s="5" t="inlineStr">
        <is>
          <t>Hindi cinema</t>
        </is>
      </c>
      <c r="H9" s="5" t="inlineStr">
        <is>
          <t>A composer duo of Shankar Singh Ram Singh Raghuvanshi (15 October 1922 – 26 April 1987) and Jaikishan Dayabhai Panchal (4 November 1929 – 12 September 1971), known as S-J. They worked together from 1949 until Jaikishan's death in 1971, composing for 136 films.</t>
        </is>
      </c>
      <c r="I9" s="5" t="inlineStr">
        <is>
          <t>From 1949, in the orbit of Raj Kapoor's R. K. Films (PERSON-078), for whom they became the house composers.</t>
        </is>
      </c>
      <c r="J9" s="5" t="inlineStr">
        <is>
          <t>With Kapoor: Awaara (1951), Kanyadaan (1968), Bombay Talkie (1970), Insaaniyat (1974). Their article names Chori Chori, Yahudi (1958), Chhoti Bahen (1959) and Anari (1959) among the wider work.</t>
        </is>
      </c>
      <c r="K9" s="19" t="inlineStr">
        <is>
          <t>Orchestral richness in the film song, Indian classical and fusion elements, and long partnerships with Mukesh, Mohammed Rafi, Manna Dey and Lata Mangeshkar and with the lyricists Shailendra and Hasrat Jaipuri.</t>
        </is>
      </c>
      <c r="L9" s="19" t="inlineStr">
        <is>
          <t>Credited with introducing a new level of orchestral scale into Hindi film music; widely described as the leading composing duo of the 1950s and 1960s.</t>
        </is>
      </c>
      <c r="M9" s="5" t="inlineStr">
        <is>
          <t>The article records their first Filmfare Award for Best Music Director for Chori Chori and a run of hits through the late 1950s.</t>
        </is>
      </c>
      <c r="N9" s="19" t="inlineStr">
        <is>
          <t>Often described as the greatest music composers of the Hindi film industry, and the sound of the Raj Kapoor films in which Shashi Kapoor first appeared.</t>
        </is>
      </c>
      <c r="O9" s="19" t="inlineStr">
        <is>
          <t>Seven films, all song credits, and the only collaboration that reaches back to Kapoor's child roles: it opens with Awaara (1951), in which he plays the young Raj. The rest fall in the late 1960s and early 1970s — Kanyadaan (1968), Jahan Pyar Mile (1970), Bombay Talkie (1970), Patanga (1971), Naina (1973) and Insaaniyat (1974). The last two post-date Jaikishan's death in 1971, when the credit was carried on by Shankar alone. Their article does not mention Kapoor.</t>
        </is>
      </c>
      <c r="P9" s="17" t="n">
        <v>7</v>
      </c>
      <c r="Q9" s="5" t="inlineStr">
        <is>
          <t>FILM-004; FILM-026; FILM-035; FILM-036; FILM-038; FILM-042; FILM-047</t>
        </is>
      </c>
      <c r="R9" s="5" t="inlineStr">
        <is>
          <t>Kanyadaan (1968)</t>
        </is>
      </c>
      <c r="S9" s="5" t="inlineStr">
        <is>
          <t>Shankar–Jaikishan scored seven Shashi Kapoor films, and theirs is the only collaboration in this workbook that spans his entire working life — from the child role in Awaara in 1951, where he plays the young Raj, to Insaaniyat in 1974, when he was among the most saleable stars in the industry. Shankar Raghuvanshi and Jaikishan Panchal worked together from 1949 until Jaikishan's death in 1971, composing for 136 films and introducing a new level of orchestral richness to Hindi film music; they became the house composers of Raj Kapoor's R. K. Films, which is precisely why they are present at the beginning of the youngest Kapoor's career. Their later films with him belong to his established-star period: Kanyadaan in 1968, one of his substantial hits, and the Merchant Ivory production Bombay Talkie in 1970, an unusual assignment for a duo so identified with mainstream melodrama. Naina and Insaaniyat carry the joint credit after Jaikishan had died, when Shankar continued alone under the name. Their article, which calls them the greatest composers of the Hindi film industry, does not mention Kapoor.</t>
        </is>
      </c>
      <c r="T9" s="5" t="inlineStr">
        <is>
          <t>SOURCE-136</t>
        </is>
      </c>
      <c r="U9" s="5" t="inlineStr">
        <is>
          <t>High</t>
        </is>
      </c>
    </row>
    <row r="10" ht="184" customHeight="1">
      <c r="A10" s="15" t="inlineStr">
        <is>
          <t>PERSON-009</t>
        </is>
      </c>
      <c r="B10" s="5" t="inlineStr">
        <is>
          <t>Prayag Raj</t>
        </is>
      </c>
      <c r="C10" s="5" t="inlineStr">
        <is>
          <t>Director; Writer</t>
        </is>
      </c>
      <c r="D10" s="18" t="n"/>
      <c r="E10" s="18" t="n"/>
      <c r="F10" s="5" t="n"/>
      <c r="G10" s="5" t="inlineStr">
        <is>
          <t>Hindi cinema</t>
        </is>
      </c>
      <c r="H10" s="5" t="inlineStr">
        <is>
          <t>No Wikipedia article exists for him: the title 'Prayag Raj' redirects to Prayagraj, the city in Uttar Pradesh, and no biographical article was found under any variant spelling. Everything recorded here comes from the credits of the six films themselves.</t>
        </is>
      </c>
      <c r="I10" s="5" t="n"/>
      <c r="J10" s="5" t="inlineStr">
        <is>
          <t>With Kapoor, as director: Insaaniyat (1974), Paap Aur Punya (1974), Chor Sipahee (1977) and Gair Kaanooni (1989). As writer: Aa Gale Lag Jaa (1973), Suhaag (1979) and again Gair Kaanooni.</t>
        </is>
      </c>
      <c r="K10" s="19" t="inlineStr">
        <is>
          <t>On the evidence of these six films, the commercial masala picture — crime, disguise, brotherhood and the multi-star ensemble.</t>
        </is>
      </c>
      <c r="L10" s="19" t="inlineStr">
        <is>
          <t>Not established; no biographical source was located.</t>
        </is>
      </c>
      <c r="M10" s="5" t="n"/>
      <c r="N10" s="19" t="inlineStr">
        <is>
          <t>Not established from any available source, though the size of the collaboration and the commercial standing of Suhaag and Aa Gale Lag Jaa suggest a figure of some consequence in 1970s commercial cinema.</t>
        </is>
      </c>
      <c r="O10" s="19" t="inlineStr">
        <is>
          <t>Six films, the largest collaboration in the filmography by anyone other than a composer, and the only tier-A collaborator here with no Wikipedia article at all. The division of labour matters: he wrote Aa Gale Lag Jaa (1973) and Suhaag (1979), both directed by Manmohan Desai (PERSON-072); he directed Insaaniyat (1974), Paap Aur Punya (1974) and Chor Sipahee (1977); and on Gair Kaanooni (1989) he is credited as both director and writer. Suhaag was among the biggest successes of Kapoor's career.</t>
        </is>
      </c>
      <c r="P10" s="17" t="n">
        <v>6</v>
      </c>
      <c r="Q10" s="5" t="inlineStr">
        <is>
          <t>FILM-043; FILM-047; FILM-049; FILM-065; FILM-087; FILM-142</t>
        </is>
      </c>
      <c r="R10" s="5" t="inlineStr">
        <is>
          <t>Suhaag (1979), which he wrote</t>
        </is>
      </c>
      <c r="S10" s="5" t="inlineStr">
        <is>
          <t>Prayag Raj worked on six Shashi Kapoor films across sixteen years, writing two of the actor's largest commercial successes and directing four more, yet he has no Wikipedia article: searching his name returns the city of Prayagraj, and no biography survives under any spelling tried here. What can be said rests entirely on the credits. He wrote Aa Gale Lag Jaa in 1973 and Suhaag in 1979, both for Manmohan Desai, and both films in which Kapoor is at the centre of a large ensemble; he directed Insaaniyat, Paap Aur Punya and Chor Sipahee in the mid-1970s, and both wrote and directed Gair Kaanooni in 1989, near the end of Kapoor's career as a lead. The absence of any biographical record for a collaborator of this weight is itself worth noting, and the entry is graded Low accordingly.</t>
        </is>
      </c>
      <c r="T10" s="5" t="inlineStr">
        <is>
          <t>SOURCE-033; SOURCE-039; SOURCE-036; SOURCE-057; SOURCE-074; SOURCE-116</t>
        </is>
      </c>
      <c r="U10" s="5" t="inlineStr">
        <is>
          <t>Low</t>
        </is>
      </c>
    </row>
    <row r="11" ht="199" customHeight="1">
      <c r="A11" s="15" t="inlineStr">
        <is>
          <t>PERSON-010</t>
        </is>
      </c>
      <c r="B11" s="5" t="inlineStr">
        <is>
          <t>Salim–Javed</t>
        </is>
      </c>
      <c r="C11" s="5" t="inlineStr">
        <is>
          <t>Writer (screenwriting duo)</t>
        </is>
      </c>
      <c r="D11" s="18" t="n"/>
      <c r="E11" s="18" t="n"/>
      <c r="F11" s="5" t="inlineStr">
        <is>
          <t>1971–1982 as a duo</t>
        </is>
      </c>
      <c r="G11" s="5" t="inlineStr">
        <is>
          <t>Hindi cinema</t>
        </is>
      </c>
      <c r="H11" s="5" t="inlineStr">
        <is>
          <t>An Indian screenwriting duo of Salim Khan and Javed Akhtar, who worked on 24 films between 1971 and 1987, twenty of them commercial and critical successes. They were among the first Indian screenwriters to reach star status; the partnership ended in 1982.</t>
        </is>
      </c>
      <c r="I11" s="5" t="inlineStr">
        <is>
          <t>Writing together from 1971; their transformation of the Bollywood formula dates from the early 1970s.</t>
        </is>
      </c>
      <c r="J11" s="5" t="inlineStr">
        <is>
          <t>With Kapoor: Deewaar (1975), Immaan Dharam (1977), Trishul (1978), Kaala Patthar (1979), Shaan (1980), Kranti (1981).</t>
        </is>
      </c>
      <c r="K11" s="19" t="inlineStr">
        <is>
          <t>The angry young man; urban slum poverty, political corruption and organised crime; the masala film, the dacoit western and the Bombay underworld picture, with anti-establishment and, the article argues, progressive and feminist themes.</t>
        </is>
      </c>
      <c r="L11" s="19" t="inlineStr">
        <is>
          <t>Tightly plotted star vehicles organised around a wronged protagonist and a confrontation with power, written in dialogue built for performance.</t>
        </is>
      </c>
      <c r="M11" s="5" t="inlineStr">
        <is>
          <t>The article records their standing as among Hindi cinema's greatest screenwriters and details the social impact of their 1970s work during the Emergency period.</t>
        </is>
      </c>
      <c r="N11" s="19" t="inlineStr">
        <is>
          <t>The writers who reinvented the commercial Hindi film in the 1970s and created the archetype, personified by Amitabh Bachchan, against which Kapoor's screen persona was repeatedly set.</t>
        </is>
      </c>
      <c r="O11" s="19" t="inlineStr">
        <is>
          <t>Six films, all in the eight years from 1975 to 1981, and collectively the spine of Kapoor's peak period. Deewaar (1975) is the decisive one: Kapoor's honest police officer is the moral counterweight to Bachchan's smuggler, and the film's most quoted line — 'Mere paas maa hai' — is his. Immaan Dharam, Trishul, Kaala Patthar, Shaan and Kranti repeat the structure in different keys. These are the films in which Kapoor's romances are most clearly subordinated to a male pairing. Salim Khan's solo credit on Akayla (1991) is recorded separately in this sheet.</t>
        </is>
      </c>
      <c r="P11" s="17" t="n">
        <v>6</v>
      </c>
      <c r="Q11" s="5" t="inlineStr">
        <is>
          <t>FILM-052; FILM-067; FILM-078; FILM-085; FILM-094; FILM-097</t>
        </is>
      </c>
      <c r="R11" s="5" t="inlineStr">
        <is>
          <t>Deewaar (1975)</t>
        </is>
      </c>
      <c r="S11" s="5" t="inlineStr">
        <is>
          <t>Salim Khan and Javed Akhtar wrote six Shashi Kapoor films between 1975 and 1981, and no other writers did so much to shape the second half of his career. Working together from 1971, the duo reinvented the commercial Hindi film around the figure of the angry young man, a role that belonged to Amitabh Bachchan — which meant that in their scripts Kapoor was cast as the counterweight: the lawful brother, the honest officer, the man who keeps faith. Deewaar in 1975 is the model, and it gave Kapoor the single most quoted line in Hindi cinema. Immaan Dharam, Trishul, Kaala Patthar, Shaan and Kranti follow the same logic, and together they explain why this workbook finds so many of his 1970s films placing romance well below the male pairing in narrative weight. The partnership dissolved in 1982; Salim Khan's later solo credit on Akayla is listed separately here.</t>
        </is>
      </c>
      <c r="T11" s="5" t="inlineStr">
        <is>
          <t>SOURCE-137</t>
        </is>
      </c>
      <c r="U11" s="5" t="inlineStr">
        <is>
          <t>High</t>
        </is>
      </c>
    </row>
    <row r="12" ht="184" customHeight="1">
      <c r="A12" s="15" t="inlineStr">
        <is>
          <t>PERSON-011</t>
        </is>
      </c>
      <c r="B12" s="5" t="inlineStr">
        <is>
          <t>S. M. Abbas</t>
        </is>
      </c>
      <c r="C12" s="5" t="inlineStr">
        <is>
          <t>Director; Writer</t>
        </is>
      </c>
      <c r="D12" s="18" t="n"/>
      <c r="E12" s="18" t="n"/>
      <c r="F12" s="5" t="inlineStr">
        <is>
          <t>1960s–1970s</t>
        </is>
      </c>
      <c r="G12" s="5" t="inlineStr">
        <is>
          <t>Hindi cinema</t>
        </is>
      </c>
      <c r="H12" s="5" t="inlineStr">
        <is>
          <t>Syed Mohammad Abbas, an Indian film director and screenwriter particularly active in the 1960s and 1970s. His article gives no birth or death dates. It notes family connections to the industry: his son Usman Syed married Radha, the younger sister of the actress Rekha.</t>
        </is>
      </c>
      <c r="I12" s="5" t="inlineStr">
        <is>
          <t>The article names Shriman Satyawadi (1960) among his early work — a film on which Kapoor himself served as an assistant director before his acting career began.</t>
        </is>
      </c>
      <c r="J12" s="5" t="inlineStr">
        <is>
          <t>With Kapoor: Haseena Maan Jayegi (1968), Chor Machaye Shor (1974), Fakira (1976), Farishta Ya Qatil (1977), Heeralaal Pannalaal (1978). Elsewhere: Shriman Satyawadi (1960), Kab? Kyoon? Aur Kahan? (1970), Hungama (1971) and Ek Hasina Do Diwane (1972).</t>
        </is>
      </c>
      <c r="K12" s="19" t="inlineStr">
        <is>
          <t>Comedy and drama, and the double-role and mistaken-identity plots common to several of his Kapoor films.</t>
        </is>
      </c>
      <c r="L12" s="19" t="inlineStr">
        <is>
          <t>A commercial craftsman of the period, working mainly as a writer and occasionally directing his own scripts.</t>
        </is>
      </c>
      <c r="M12" s="5" t="n"/>
      <c r="N12" s="19" t="inlineStr">
        <is>
          <t>A working professional of the commercial mainstream rather than a figure of independent standing; his article is short and lightly sourced.</t>
        </is>
      </c>
      <c r="O12" s="19" t="inlineStr">
        <is>
          <t>Five films, and the split between his functions matters: he wrote four of them — Haseena Maan Jayegi (1968), Chor Machaye Shor (1974), Fakira (1976) and Heeralaal Pannalaal (1978) — and both wrote and directed only Farishta Ya Qatil (1977). Two are among the most commercially important films of Kapoor's career: Haseena Maan Jayegi, a double-role hit opposite Babita, and Chor Machaye Shor, which took one of the top places at the 1974 box office and helped make him one of the decade's most saleable stars.</t>
        </is>
      </c>
      <c r="P12" s="17" t="n">
        <v>5</v>
      </c>
      <c r="Q12" s="5" t="inlineStr">
        <is>
          <t>FILM-025; FILM-048; FILM-062; FILM-064; FILM-081</t>
        </is>
      </c>
      <c r="R12" s="5" t="inlineStr">
        <is>
          <t>Chor Machaye Shor (1974)</t>
        </is>
      </c>
      <c r="S12" s="5" t="inlineStr">
        <is>
          <t>S. M. Abbas wrote four Shashi Kapoor films and directed a fifth, and two of them sit among the actor's most commercially important work. Haseena Maan Jayegi in 1968 gave Kapoor a double role opposite Babita and consolidated his standing as a leading man in the years after Jab Jab Phool Khile; Chor Machaye Shor in 1974 was one of the top-grossing Hindi releases of its year and, together with Roti Kapda Aur Makaan, marks the point at which he became one of the most bankable stars of the decade. Fakira followed in 1976 and Heeralaal Pannalaal in 1978, both again as writer, while Farishta Ya Qatil in 1977 is the single film here that he both wrote and directed. His Wikipedia article is short and lightly sourced: it gives neither birth nor death dates, records that he was particularly active in the 1960s and 1970s in comedy and drama, and names Shriman Satyawadi, Hungama and Kab? Kyoon? Aur Kahan? among his other films. It also notes family ties to the industry through his sons. The entry is graded Medium.</t>
        </is>
      </c>
      <c r="T12" s="5" t="inlineStr">
        <is>
          <t>SOURCE-138</t>
        </is>
      </c>
      <c r="U12" s="5" t="inlineStr">
        <is>
          <t>Medium</t>
        </is>
      </c>
    </row>
    <row r="13" ht="124" customHeight="1">
      <c r="A13" s="15" t="inlineStr">
        <is>
          <t>PERSON-012</t>
        </is>
      </c>
      <c r="B13" s="5" t="inlineStr">
        <is>
          <t>Sachin Bhowmick</t>
        </is>
      </c>
      <c r="C13" s="5" t="inlineStr">
        <is>
          <t>Writer</t>
        </is>
      </c>
      <c r="D13" s="17" t="n">
        <v>1930</v>
      </c>
      <c r="E13" s="17" t="n">
        <v>2011</v>
      </c>
      <c r="F13" s="5" t="inlineStr">
        <is>
          <t>1958–2008</t>
        </is>
      </c>
      <c r="G13" s="5" t="inlineStr">
        <is>
          <t>Hindi cinema</t>
        </is>
      </c>
      <c r="H13" s="5" t="inlineStr">
        <is>
          <t>Born 17 July 1930; died 12 April 2011. He wrote stories or screenplays for more than ninety films and also directed; he contributed regularly to Ultorath, a Bengali magazine on cinema. The surname is also spelled Bhaumick.</t>
        </is>
      </c>
      <c r="I13" s="5" t="inlineStr">
        <is>
          <t>Writing from 1958; the 1960s brought a run of hits including Anuradha (1960), which won the National Film Award for Best Feature Film.</t>
        </is>
      </c>
      <c r="J13" s="5" t="inlineStr">
        <is>
          <t>With Kapoor: Ek Shrimaan Ek Shrimati (1969), Trishna (1978), Do Aur Do Paanch (1980), Zameen Aasmaan (1984), Alag Alag (1985). Elsewhere: Ayee Milan Ki Bela, Jaanwar, Love in Tokyo, An Evening in Paris, Brahmachari and Aradhana.</t>
        </is>
      </c>
      <c r="K13" s="19" t="inlineStr">
        <is>
          <t>Romantic comedy and light melodrama, and the star-driven story built around a clear romantic premise.</t>
        </is>
      </c>
      <c r="L13" s="19" t="inlineStr">
        <is>
          <t>A story and screenplay specialist rather than a dialogue writer; he directed only occasionally, and is best remembered for the black comedy Raja Rani (1973).</t>
        </is>
      </c>
      <c r="M13" s="5" t="inlineStr">
        <is>
          <t>The Filmfare Best Story Award in 1968 for Brahmachari.</t>
        </is>
      </c>
      <c r="N13" s="19" t="inlineStr">
        <is>
          <t>One of the most reliably employed story writers of the Hindi commercial cinema across five decades.</t>
        </is>
      </c>
      <c r="O13" s="19" t="inlineStr">
        <is>
          <t>Five films, all writing credits, spread from 1969 to 1985. They cover an unusually wide range of Kapoor's registers: the romantic comedy Ek Shrimaan Ek Shrimati, the Raakhee melodrama Trishna, the caper Do Aur Do Paanch opposite Amitabh Bachchan, and the late pairings Zameen Aasmaan and Alag Alag. His article does not mention Kapoor.</t>
        </is>
      </c>
      <c r="P13" s="17" t="n">
        <v>5</v>
      </c>
      <c r="Q13" s="5" t="inlineStr">
        <is>
          <t>FILM-029; FILM-072; FILM-092; FILM-113; FILM-118</t>
        </is>
      </c>
      <c r="R13" s="5" t="inlineStr">
        <is>
          <t>Do Aur Do Paanch (1980)</t>
        </is>
      </c>
      <c r="S13" s="5" t="inlineStr">
        <is>
          <t>Sachin Bhowmick wrote five Shashi Kapoor films over sixteen years, and the spread is a reasonable cross-section of the actor's range. Ek Shrimaan Ek Shrimati in 1969 is romantic comedy; Trishna in 1978 is melodrama opposite Raakhee; Do Aur Do Paanch in 1980 is a caper that pairs him with Amitabh Bachchan; and Zameen Aasmaan and Alag Alag close the association in the mid-1980s. Born in Calcutta in 1930 and active from 1958 to 2008, Bhowmick wrote stories or screenplays for more than ninety films, including Anuradha, Brahmachari — for which he won the Filmfare Best Story Award in 1968 — and Aradhana, and directed the admired black comedy Raja Rani. He was a story man rather than a dialogue writer, and the premise-driven construction of his Kapoor films reflects that. His article makes no mention of the actor.</t>
        </is>
      </c>
      <c r="T13" s="5" t="inlineStr">
        <is>
          <t>SOURCE-139</t>
        </is>
      </c>
      <c r="U13" s="5" t="inlineStr">
        <is>
          <t>High</t>
        </is>
      </c>
    </row>
    <row r="14" ht="184" customHeight="1">
      <c r="A14" s="15" t="inlineStr">
        <is>
          <t>PERSON-013</t>
        </is>
      </c>
      <c r="B14" s="5" t="inlineStr">
        <is>
          <t>Filmistan</t>
        </is>
      </c>
      <c r="C14" s="5" t="inlineStr">
        <is>
          <t>Production banner; Producer</t>
        </is>
      </c>
      <c r="D14" s="18" t="n"/>
      <c r="E14" s="18" t="n"/>
      <c r="F14" s="5" t="n"/>
      <c r="G14" s="5" t="inlineStr">
        <is>
          <t>Hindi cinema</t>
        </is>
      </c>
      <c r="H14" s="5" t="inlineStr">
        <is>
          <t>An Indian film studio in Goregaon, Mumbai, spread over five acres, with seven shooting floors and a temple and garden used as outdoor locations. It previously operated as a film production company as well as a facility.</t>
        </is>
      </c>
      <c r="I14" s="5" t="inlineStr">
        <is>
          <t>Active as a production house from the 1940s.</t>
        </is>
      </c>
      <c r="J14" s="5" t="inlineStr">
        <is>
          <t>With Kapoor: Samadhi (1950), Abhinetri (1970), Chor Machaye Shor (1974), Roti Kapda Aur Makaan (1974). As a production house: Shaheed (1948), Shabnam (1949), Sargam (1950) and Anarkali (1953).</t>
        </is>
      </c>
      <c r="K14" s="19" t="inlineStr">
        <is>
          <t>Mainstream Hindi production in the 1940s and 1950s; latterly a rental facility serving other people's productions.</t>
        </is>
      </c>
      <c r="L14" s="19" t="inlineStr">
        <is>
          <t>Not applicable; an institution rather than an individual.</t>
        </is>
      </c>
      <c r="M14" s="5" t="n"/>
      <c r="N14" s="19" t="inlineStr">
        <is>
          <t>One of the major Bombay studios of the 1940s and 1950s, and the place where Nasir Hussain (PERSON-238) began as a writer in 1948.</t>
        </is>
      </c>
      <c r="O14" s="19" t="inlineStr">
        <is>
          <t>Four films, but they divide into two quite different kinds of credit. On Samadhi (1950), one of Kapoor's child-actor films, Filmistan is both producer and banner in the studio's own production era. On Abhinetri (1970), Chor Machaye Shor (1974) and Roti Kapda Aur Makaan (1974) the credit is a studio-facility credit rather than a production one, since by then the company had largely ceased producing. The distinction is worth keeping: only the 1950 credit implies creative involvement.</t>
        </is>
      </c>
      <c r="P14" s="17" t="n">
        <v>4</v>
      </c>
      <c r="Q14" s="5" t="inlineStr">
        <is>
          <t>FILM-003; FILM-032; FILM-048; FILM-050</t>
        </is>
      </c>
      <c r="R14" s="5" t="inlineStr">
        <is>
          <t>Roti Kapda Aur Makaan (1974)</t>
        </is>
      </c>
      <c r="S14" s="5" t="inlineStr">
        <is>
          <t>Filmistan appears on four Shashi Kapoor films, though in two distinct capacities. It produced Samadhi in 1950, one of the child-artist films of his earliest period, when Filmistan was among the leading Bombay production houses and had recently made Shaheed, Shabnam and Sargam. By the 1970s the company had largely stopped producing and operated as a rental studio, so its appearance on Abhinetri, Chor Machaye Shor and Roti Kapda Aur Makaan records the facility where those films were shot rather than any creative role — a distinction preserved here because conflating the two would overstate the collaboration. The studio still stands in Goregaon, with seven shooting floors on a five-acre site. Its article notes that Nasir Hussain, who appears separately in this sheet, joined Filmistan as a writer in 1948. The entry is graded Medium because the 1970s credits are institutional.</t>
        </is>
      </c>
      <c r="T14" s="5" t="inlineStr">
        <is>
          <t>SOURCE-140</t>
        </is>
      </c>
      <c r="U14" s="5" t="inlineStr">
        <is>
          <t>Medium</t>
        </is>
      </c>
    </row>
    <row r="15" ht="154" customHeight="1">
      <c r="A15" s="15" t="inlineStr">
        <is>
          <t>PERSON-014</t>
        </is>
      </c>
      <c r="B15" s="5" t="inlineStr">
        <is>
          <t>Inder Raj Anand</t>
        </is>
      </c>
      <c r="C15" s="5" t="inlineStr">
        <is>
          <t>Writer</t>
        </is>
      </c>
      <c r="D15" s="18" t="n"/>
      <c r="E15" s="17" t="n">
        <v>1987</v>
      </c>
      <c r="F15" s="5" t="inlineStr">
        <is>
          <t>1940s–1987</t>
        </is>
      </c>
      <c r="G15" s="5" t="inlineStr">
        <is>
          <t>Hindi cinema</t>
        </is>
      </c>
      <c r="H15" s="5" t="inlineStr">
        <is>
          <t>Died 6 March 1987. A film dialogue and screenwriter who worked on many Raj Kapoor films, beginning with Aag (1948) and continuing through Aah (1953), Anari (1959) and Sangam (1964). Though described as a Hindi film writer, he wrote his scripts and dialogue in Urdu.</t>
        </is>
      </c>
      <c r="I15" s="5" t="inlineStr">
        <is>
          <t>Aag (1948), Raj Kapoor's first film as director — and Shashi Kapoor's first film as a child actor.</t>
        </is>
      </c>
      <c r="J15" s="5" t="inlineStr">
        <is>
          <t>With Kapoor: Aag (1948), Jaanwar Aur Insaan (1972), Duniya Meri Jeb Mein (1979), Vakil Babu (1982). Elsewhere: Aah, Anari, Sangam and, last, Shahenshah (1988).</t>
        </is>
      </c>
      <c r="K15" s="19" t="inlineStr">
        <is>
          <t>The Raj Kapoor romantic melodrama and, later, mainstream family and crime drama.</t>
        </is>
      </c>
      <c r="L15" s="19" t="inlineStr">
        <is>
          <t>An Urdu dialogue writer working at the centre of the Hindi commercial cinema, associated above all with the R. K. house style.</t>
        </is>
      </c>
      <c r="M15" s="5" t="n"/>
      <c r="N15" s="19" t="inlineStr">
        <is>
          <t>A member of the writing circle around Raj Kapoor, and the father of a filmmaking family: the director Tinnu Anand and the producer Bittu Anand are his sons, and the director Siddharth Anand his grandson.</t>
        </is>
      </c>
      <c r="O15" s="19" t="inlineStr">
        <is>
          <t>Four films, and the first of them is the beginning of Kapoor's screen life: Aag (1948), in which he plays the child version of his brother Raj Kapoor's character. The other three come much later — Jaanwar Aur Insaan (1972), Duniya Meri Jeb Mein (1979) and Vakil Babu (1982) — so the association brackets almost the whole career. The family connection runs the other way too: his son Bittu Anand produced Duniya Meri Jeb Mein.</t>
        </is>
      </c>
      <c r="P15" s="17" t="n">
        <v>4</v>
      </c>
      <c r="Q15" s="5" t="inlineStr">
        <is>
          <t>FILM-001; FILM-040; FILM-086; FILM-104</t>
        </is>
      </c>
      <c r="R15" s="5" t="inlineStr">
        <is>
          <t>Aag (1948)</t>
        </is>
      </c>
      <c r="S15" s="5" t="inlineStr">
        <is>
          <t>Inder Raj Anand wrote the first film Shashi Kapoor ever appeared in. Aag, made in 1948, was Raj Kapoor's debut as a director, and the nine-year-old Shashi played the child version of his brother's character; Anand wrote its dialogue, as he would for Aah, Anari and Sangam, becoming one of the writers most closely identified with the R. K. house style. He wrote in Urdu throughout, despite being described as a Hindi film writer. Three later credits — Jaanwar Aur Insaan in 1972, Duniya Meri Jeb Mein in 1979, produced by his son Bittu Anand, and Vakil Babu in 1982 — bracket almost the whole of Kapoor's adult career. Anand died in March 1987; his last script, Shahenshah, was released after his death and directed by his son Tinnu. His article does not discuss Shashi Kapoor specifically.</t>
        </is>
      </c>
      <c r="T15" s="5" t="inlineStr">
        <is>
          <t>SOURCE-141</t>
        </is>
      </c>
      <c r="U15" s="5" t="inlineStr">
        <is>
          <t>High</t>
        </is>
      </c>
    </row>
    <row r="16" ht="184" customHeight="1">
      <c r="A16" s="15" t="inlineStr">
        <is>
          <t>PERSON-015</t>
        </is>
      </c>
      <c r="B16" s="5" t="inlineStr">
        <is>
          <t>James Ivory</t>
        </is>
      </c>
      <c r="C16" s="5" t="inlineStr">
        <is>
          <t>Director; Writer</t>
        </is>
      </c>
      <c r="D16" s="17" t="n">
        <v>1928</v>
      </c>
      <c r="E16" s="18" t="n"/>
      <c r="F16" s="5" t="inlineStr">
        <is>
          <t>1953–present</t>
        </is>
      </c>
      <c r="G16" s="5" t="inlineStr">
        <is>
          <t>English-language international cinema</t>
        </is>
      </c>
      <c r="H16" s="5" t="inlineStr">
        <is>
          <t>Born Richard Jerome Hazen on 7 June 1928, an American film director, screenwriter and producer. With Ismail Merchant (PERSON-006), his domestic and professional partner, and Ruth Prawer Jhabvala (PERSON-019), he was a principal of Merchant Ivory Productions (PERSON-073), established in India in 1961.</t>
        </is>
      </c>
      <c r="I16" s="5" t="inlineStr">
        <is>
          <t>Directing from 1953; the Merchant Ivory partnership began with The Householder (1963).</t>
        </is>
      </c>
      <c r="J16" s="5" t="inlineStr">
        <is>
          <t>With Kapoor: The Householder (1963), Shakespeare Wallah (1965), Bombay Talkie (1970), Heat and Dust (1983). Elsewhere: The Europeans, Quartet, The Bostonians, Maurice, Mr. &amp; Mrs. Bridge, A Room with a View, Howards End and Call Me by Your Name.</t>
        </is>
      </c>
      <c r="K16" s="19" t="inlineStr">
        <is>
          <t>Literary adaptation, Anglo-Indian encounter, repression and social observation; the work of E. M. Forster and Henry James.</t>
        </is>
      </c>
      <c r="L16" s="19" t="inlineStr">
        <is>
          <t>A restrained, observational style admired for elegance, literary fidelity and performance; his article describes the body of work as sophisticated and rich in character.</t>
        </is>
      </c>
      <c r="M16" s="5" t="inlineStr">
        <is>
          <t>Three Academy Award nominations for direction across his career, and an Academy Award for the screenplay of Call Me by Your Name, which made him the oldest person to win a writing Oscar.</t>
        </is>
      </c>
      <c r="N16" s="19" t="inlineStr">
        <is>
          <t>With Merchant and Jhabvala, the creator of a durable independent cinema that began in India and became the definitive English literary film.</t>
        </is>
      </c>
      <c r="O16" s="19" t="inlineStr">
        <is>
          <t>Four films, and the most sustained directorial relationship of Kapoor's English-language career. Ivory directed and co-wrote The Householder (1963), Shakespeare Wallah (1965) and Bombay Talkie (1970), and directed Heat and Dust (1983). Shakespeare Wallah, drawn from the touring theatrical world of Geoffrey Kendal — the father of Kapoor's wife Jennifer Kendal — is the film that established Kapoor as a figure in international art cinema while he was simultaneously becoming a mainstream Hindi star.</t>
        </is>
      </c>
      <c r="P16" s="17" t="n">
        <v>4</v>
      </c>
      <c r="Q16" s="5" t="inlineStr">
        <is>
          <t>FILM-010; FILM-015; FILM-036; FILM-109</t>
        </is>
      </c>
      <c r="R16" s="5" t="inlineStr">
        <is>
          <t>Shakespeare Wallah (1965)</t>
        </is>
      </c>
      <c r="S16" s="5" t="inlineStr">
        <is>
          <t>James Ivory directed four of Shashi Kapoor's English-language films and, with them, created the parallel career that sets this filmography apart from those of his contemporaries. The Householder in 1963 was the first Merchant Ivory production and Kapoor's first English-language role; Shakespeare Wallah followed in 1965, the same year as the Hindi hits Waqt and Jab Jab Phool Khile, so that within twelve months he became both an art-cinema actor abroad and a mass-market star at home. Bombay Talkie in 1970 and Heat and Dust in 1983 carried the association across two decades. Ivory directed and co-wrote the first three and directed the fourth. Born Richard Jerome Hazen in 1928 and directing since 1953, he worked throughout with the producer Ismail Merchant, his domestic and professional partner, and the screenwriter Ruth Prawer Jhabvala; the trio's literary adaptations of Forster and James brought three directing nominations and, at eighty-nine, a screenwriting Oscar for Call Me by Your Name. His article does not single out Kapoor.</t>
        </is>
      </c>
      <c r="T16" s="5" t="inlineStr">
        <is>
          <t>SOURCE-142</t>
        </is>
      </c>
      <c r="U16" s="5" t="inlineStr">
        <is>
          <t>High</t>
        </is>
      </c>
    </row>
    <row r="17" ht="154" customHeight="1">
      <c r="A17" s="15" t="inlineStr">
        <is>
          <t>PERSON-016</t>
        </is>
      </c>
      <c r="B17" s="5" t="inlineStr">
        <is>
          <t>Khayyam</t>
        </is>
      </c>
      <c r="C17" s="5" t="inlineStr">
        <is>
          <t>Song composer</t>
        </is>
      </c>
      <c r="D17" s="17" t="n">
        <v>1927</v>
      </c>
      <c r="E17" s="17" t="n">
        <v>2019</v>
      </c>
      <c r="F17" s="5" t="inlineStr">
        <is>
          <t>1947–2019</t>
        </is>
      </c>
      <c r="G17" s="5" t="inlineStr">
        <is>
          <t>Hindi cinema</t>
        </is>
      </c>
      <c r="H17" s="5" t="inlineStr">
        <is>
          <t>Born Mohammed Zahur Khayyam Hashmi on 18 February 1927; died 19 August 2019. Known mononymously as Khayyam, he worked as a music director and background-score composer across four decades.</t>
        </is>
      </c>
      <c r="I17" s="5" t="inlineStr">
        <is>
          <t>Active from the late 1940s; his greatest commercial and critical recognition came in the late 1970s and early 1980s.</t>
        </is>
      </c>
      <c r="J17" s="5" t="inlineStr">
        <is>
          <t>With Kapoor: Kabhi Kabhie (1976), Trishul (1978), Sawaal (1982), Bepanaah (1985). Elsewhere: Umrao Jaan (1981), for which he won his second Filmfare Award.</t>
        </is>
      </c>
      <c r="K17" s="19" t="inlineStr">
        <is>
          <t>Ghazal-inflected melody, Urdu poetic diction and restrained orchestration; a sound associated with literary and period subjects.</t>
        </is>
      </c>
      <c r="L17" s="19" t="inlineStr">
        <is>
          <t>A composer of unusual restraint in a loud commercial era, writing sparely scored melodies that put the lyric first.</t>
        </is>
      </c>
      <c r="M17" s="5" t="inlineStr">
        <is>
          <t>Three Filmfare Awards — Best Music for Kabhi Kabhie in 1977 and Umrao Jaan in 1982, and a lifetime achievement award in 2010; the Sangeet Natak Akademi Award in Creative Music in 2007; and the Padma Bhushan in 2011.</t>
        </is>
      </c>
      <c r="N17" s="19" t="inlineStr">
        <is>
          <t>The composer who kept the ghazal and the Urdu lyric at the commercial centre of Hindi film music through the 1970s and 1980s.</t>
        </is>
      </c>
      <c r="O17" s="19" t="inlineStr">
        <is>
          <t>Four films, two of them major. Kabhi Kabhie (1976), for Yash Chopra (PERSON-005), brought Khayyam the Filmfare Award for Best Music and gave Kapoor one of the most admired soundtracks of his career; Trishul (1978) followed in the same Chopra ensemble cycle. Sawaal (1982) and Bepanaah (1985) close the association. His article does not mention Kapoor.</t>
        </is>
      </c>
      <c r="P17" s="17" t="n">
        <v>4</v>
      </c>
      <c r="Q17" s="5" t="inlineStr">
        <is>
          <t>FILM-060; FILM-078; FILM-106; FILM-117</t>
        </is>
      </c>
      <c r="R17" s="5" t="inlineStr">
        <is>
          <t>Kabhi Kabhie (1976)</t>
        </is>
      </c>
      <c r="S17" s="5" t="inlineStr">
        <is>
          <t>Khayyam scored four Shashi Kapoor films, and the first is much the most important: Kabhi Kabhie in 1976, Yash Chopra's romantic drama, for which he won the Filmfare Award for Best Music and wrote a soundtrack that remains among the best known of the decade. Trishul followed in 1978, again for Chopra, then Sawaal in 1982 and Bepanaah in 1985, the last of the four. Born Mohammed Zahur Khayyam Hashmi in 1927 and active from the late 1940s until his death in 2019, he was the great holdout against the volume and pace of commercial 1970s film music — a composer who scored sparely, kept the Urdu lyric audible, and worked in a ghazal-inflected idiom that suited literary and period subjects better than anything the masala picture asked for. Umrao Jaan in 1981 brought him a second Filmfare Award, and he received the Sangeet Natak Akademi Award in Creative Music in 2007, a lifetime achievement award in 2010 and the Padma Bhushan in 2011. His article makes no mention of Kapoor.</t>
        </is>
      </c>
      <c r="T17" s="5" t="inlineStr">
        <is>
          <t>SOURCE-143</t>
        </is>
      </c>
      <c r="U17" s="5" t="inlineStr">
        <is>
          <t>High</t>
        </is>
      </c>
    </row>
    <row r="18" ht="139" customHeight="1">
      <c r="A18" s="15" t="inlineStr">
        <is>
          <t>PERSON-017</t>
        </is>
      </c>
      <c r="B18" s="5" t="inlineStr">
        <is>
          <t>Rajesh Roshan</t>
        </is>
      </c>
      <c r="C18" s="5" t="inlineStr">
        <is>
          <t>Song composer</t>
        </is>
      </c>
      <c r="D18" s="17" t="n">
        <v>1955</v>
      </c>
      <c r="E18" s="18" t="n"/>
      <c r="F18" s="5" t="inlineStr">
        <is>
          <t>1974–2017</t>
        </is>
      </c>
      <c r="G18" s="5" t="inlineStr">
        <is>
          <t>Hindi cinema</t>
        </is>
      </c>
      <c r="H18" s="5" t="inlineStr">
        <is>
          <t>Born Rajesh Roshanlal Nagrath on 24 May 1955, a member of the Roshan film family and son of the composer Roshan. His article is short on biographical detail beyond his career as a music director and composer.</t>
        </is>
      </c>
      <c r="I18" s="5" t="inlineStr">
        <is>
          <t>Kunwara Baap (1974), followed immediately by Julie (1975), which won him the Filmfare Best Music Director Award.</t>
        </is>
      </c>
      <c r="J18" s="5" t="inlineStr">
        <is>
          <t>With Kapoor: Doosra Aadmi (1977), Kaala Patthar (1979), Duniya Meri Jeb Mein (1979), Do Aur Do Paanch (1980). Elsewhere: Kunwara Baap (1974) and Julie (1975).</t>
        </is>
      </c>
      <c r="K18" s="19" t="inlineStr">
        <is>
          <t>Melodic film songs for mainstream drama and comedy; frequent work with Kishore Kumar, Lata Mangeshkar, Asha Bhosle and the director Basu Chatterjee.</t>
        </is>
      </c>
      <c r="L18" s="19" t="inlineStr">
        <is>
          <t>A melodist in the mainstream tradition; the article also carries a section on plagiarism claims against some of his compositions.</t>
        </is>
      </c>
      <c r="M18" s="5" t="inlineStr">
        <is>
          <t>The Filmfare Best Music Director Award for Julie (1975), and, the article states, several further awards for his contribution to Hindi film music.</t>
        </is>
      </c>
      <c r="N18" s="19" t="inlineStr">
        <is>
          <t>A leading commercial composer of the late 1970s and 1980s and a link in one of Hindi cinema's principal musical dynasties.</t>
        </is>
      </c>
      <c r="O18" s="19" t="inlineStr">
        <is>
          <t>Four films inside four years, 1977 to 1980, a tight cluster at the height of Kapoor's multi-starrer period: Doosra Aadmi, Kaala Patthar, Duniya Meri Jeb Mein and Do Aur Do Paanch. All four are song credits. The association ends as abruptly as it starts, and his article does not mention Kapoor.</t>
        </is>
      </c>
      <c r="P18" s="17" t="n">
        <v>4</v>
      </c>
      <c r="Q18" s="5" t="inlineStr">
        <is>
          <t>FILM-069; FILM-085; FILM-086; FILM-092</t>
        </is>
      </c>
      <c r="R18" s="5" t="inlineStr">
        <is>
          <t>Doosra Aadmi (1977)</t>
        </is>
      </c>
      <c r="S18" s="5" t="inlineStr">
        <is>
          <t>Rajesh Roshan scored four Shashi Kapoor films in a single concentrated burst between 1977 and 1980 — Doosra Aadmi, Kaala Patthar, Duniya Meri Jeb Mein and Do Aur Do Paanch — and then never worked with him again. The cluster falls in the densest stretch of Kapoor's career, and two of the four, Kaala Patthar and Do Aur Do Paanch, are ensemble pictures shared with Amitabh Bachchan; a third, Doosra Aadmi, is among the more romantically serious films of his later work. Born Rajesh Roshanlal Nagrath in 1955 into the Roshan family and the son of the composer Roshan, he had arrived remarkably fast: Kunwara Baap in 1974, then Julie in 1975, which brought him the Filmfare Best Music Director Award in only his second year of work. He went on to a long career, working often with Kishore Kumar, Basu Chatterjee and Dev Anand. His article, which is brief, also carries a section on plagiarism claims against some of his compositions, and does not mention Kapoor.</t>
        </is>
      </c>
      <c r="T18" s="5" t="inlineStr">
        <is>
          <t>SOURCE-144</t>
        </is>
      </c>
      <c r="U18" s="5" t="inlineStr">
        <is>
          <t>High</t>
        </is>
      </c>
    </row>
    <row r="19" ht="169" customHeight="1">
      <c r="A19" s="15" t="inlineStr">
        <is>
          <t>PERSON-018</t>
        </is>
      </c>
      <c r="B19" s="5" t="inlineStr">
        <is>
          <t>Ravindra Jain</t>
        </is>
      </c>
      <c r="C19" s="5" t="inlineStr">
        <is>
          <t>Song composer</t>
        </is>
      </c>
      <c r="D19" s="17" t="n">
        <v>1944</v>
      </c>
      <c r="E19" s="17" t="n">
        <v>2015</v>
      </c>
      <c r="F19" s="5" t="inlineStr">
        <is>
          <t>1972–2015</t>
        </is>
      </c>
      <c r="G19" s="5" t="inlineStr">
        <is>
          <t>Hindi cinema and television</t>
        </is>
      </c>
      <c r="H19" s="5" t="inlineStr">
        <is>
          <t>Born 28 February 1944; died 9 October 2015. A composer, lyricist and playback singer who began in the early 1970s and continued working despite blindness.</t>
        </is>
      </c>
      <c r="I19" s="5" t="inlineStr">
        <is>
          <t>Composing from the early 1970s; Chor Machaye Shor (1974) was among the films that established him.</t>
        </is>
      </c>
      <c r="J19" s="5" t="inlineStr">
        <is>
          <t>With Kapoor: Chor Machaye Shor (1974), Salaakhen (1975), Deewaangee (1976), Fakira (1976). Elsewhere: Geet Gaata Chal (1975), Chitchor (1976), Ankhiyon Ke Jharokhon Se (1978), Nadiya Ke Paar (1982), Ram Teri Ganga Maili (1985), Vivah (2006) and the television epic Ramayan (1987).</t>
        </is>
      </c>
      <c r="K19" s="19" t="inlineStr">
        <is>
          <t>Melodic, often devotional or folk-inflected song writing; he frequently wrote his own lyrics.</t>
        </is>
      </c>
      <c r="L19" s="19" t="inlineStr">
        <is>
          <t>A composer-lyricist who worked in a deliberately simple melodic idiom, at its most characteristic in small-town and devotional subjects.</t>
        </is>
      </c>
      <c r="M19" s="5" t="inlineStr">
        <is>
          <t>The Padma Shri in 2015 for his contribution to the arts.</t>
        </is>
      </c>
      <c r="N19" s="19" t="inlineStr">
        <is>
          <t>The composer of Ramanand Sagar's Ramayan, one of the most widely watched pieces of Indian television ever made, and a prolific melodist of the 1970s.</t>
        </is>
      </c>
      <c r="O19" s="19" t="inlineStr">
        <is>
          <t>Four films in three years, 1974 to 1976 — Chor Machaye Shor, Salaakhen, Deewaangee and Fakira — all song credits and all at the start of Kapoor's peak decade. Chor Machaye Shor is the significant one: its songs were central to a film that took one of the top box-office places of 1974 and made Kapoor one of the most saleable stars of the period. His article names the film among the works that established him, but does not mention Kapoor.</t>
        </is>
      </c>
      <c r="P19" s="17" t="n">
        <v>4</v>
      </c>
      <c r="Q19" s="5" t="inlineStr">
        <is>
          <t>FILM-048; FILM-055; FILM-058; FILM-062</t>
        </is>
      </c>
      <c r="R19" s="5" t="inlineStr">
        <is>
          <t>Chor Machaye Shor (1974)</t>
        </is>
      </c>
      <c r="S19" s="5" t="inlineStr">
        <is>
          <t>Ravindra Jain wrote the songs for four Shashi Kapoor films in quick succession between 1974 and 1976, at the moment the actor's commercial standing changed. The first, Chor Machaye Shor, was one of the top-grossing Hindi films of 1974, and its songs did much of that work; Jain's own article lists it among the films that established him. Salaakhen, Deewaangee and Fakira followed within two years, and then the association stopped as abruptly as it had begun. Born in 1944 and blind from early life, Jain composed and frequently wrote his own lyrics, working in a deliberately simple melodic idiom that served small-town and devotional subjects particularly well: Geet Gaata Chal, Chitchor, Ankhiyon Ke Jharokhon Se, Nadiya Ke Paar and Ram Teri Ganga Maili are among his best-remembered scores. His largest audience came from television, with the music for Ramanand Sagar's Ramayan in 1987. He received the Padma Shri in 2015, the year of his death. His article does not mention Kapoor.</t>
        </is>
      </c>
      <c r="T19" s="5" t="inlineStr">
        <is>
          <t>SOURCE-145</t>
        </is>
      </c>
      <c r="U19" s="5" t="inlineStr">
        <is>
          <t>High</t>
        </is>
      </c>
    </row>
    <row r="20" ht="214" customHeight="1">
      <c r="A20" s="15" t="inlineStr">
        <is>
          <t>PERSON-019</t>
        </is>
      </c>
      <c r="B20" s="5" t="inlineStr">
        <is>
          <t>Ruth Prawer Jhabvala</t>
        </is>
      </c>
      <c r="C20" s="5" t="inlineStr">
        <is>
          <t>Writer</t>
        </is>
      </c>
      <c r="D20" s="17" t="n">
        <v>1927</v>
      </c>
      <c r="E20" s="17" t="n">
        <v>2013</v>
      </c>
      <c r="F20" s="5" t="inlineStr">
        <is>
          <t>1951–2013</t>
        </is>
      </c>
      <c r="G20" s="5" t="inlineStr">
        <is>
          <t>English-language international cinema and English-language fiction</t>
        </is>
      </c>
      <c r="H20" s="5" t="inlineStr">
        <is>
          <t>Born Ruth Prawer on 7 May 1927; died 3 April 2013. A British and American novelist and screenwriter who moved from England to New Delhi after marrying the Indian architect Cyrus Jhabvala in 1951 and began writing novels and stories on Indian subjects; she later moved to the United States. She wrote a dozen novels, twenty-three screenplays and eight collections of short stories.</t>
        </is>
      </c>
      <c r="I20" s="5" t="inlineStr">
        <is>
          <t>Screenwriting for Merchant Ivory from The Householder (1963), adapted from her own novel.</t>
        </is>
      </c>
      <c r="J20" s="5" t="inlineStr">
        <is>
          <t>With Kapoor: The Householder (1963), Shakespeare Wallah (1965), Bombay Talkie (1970), Heat and Dust (1983). Elsewhere: A Room with a View (1986) and Howards End (1992).</t>
        </is>
      </c>
      <c r="K20" s="19" t="inlineStr">
        <is>
          <t>Europeans in India and Indians among Europeans; marriage, social misunderstanding and the aftermath of empire.</t>
        </is>
      </c>
      <c r="L20" s="19" t="inlineStr">
        <is>
          <t>A novelist's precision applied to screen adaptation — ironic, observational, and attentive to the social detail of a household.</t>
        </is>
      </c>
      <c r="M20" s="5" t="inlineStr">
        <is>
          <t>Academy Awards for Best Adapted Screenplay for A Room with a View and Howards End; the BAFTA Award for Best Adapted Screenplay for Heat and Dust; the Writers Guild of America Award for A Room with a View. She is the only person to have won both a Booker Prize and an Oscar.</t>
        </is>
      </c>
      <c r="N20" s="19" t="inlineStr">
        <is>
          <t>The third principal of Merchant Ivory and one of the most decorated screenwriters of English-language literary cinema.</t>
        </is>
      </c>
      <c r="O20" s="19" t="inlineStr">
        <is>
          <t>Four films, the same four English-language pictures on which she worked with James Ivory (PERSON-015) and Ismail Merchant (PERSON-006): The Householder, Shakespeare Wallah, Bombay Talkie and Heat and Dust. She wrote the roles that gave Kapoor a second, entirely separate screen identity — the young Delhi husband of The Householder, the touring actor's suitor in Shakespeare Wallah, the film star of Bombay Talkie — parts with a psychological interiority the Hindi cinema of those years rarely offered him. She won her BAFTA for Heat and Dust, the last of the four.</t>
        </is>
      </c>
      <c r="P20" s="17" t="n">
        <v>4</v>
      </c>
      <c r="Q20" s="5" t="inlineStr">
        <is>
          <t>FILM-010; FILM-015; FILM-036; FILM-109</t>
        </is>
      </c>
      <c r="R20" s="5" t="inlineStr">
        <is>
          <t>Shakespeare Wallah (1965)</t>
        </is>
      </c>
      <c r="S20" s="5" t="inlineStr">
        <is>
          <t>Ruth Prawer Jhabvala wrote all four of the Merchant Ivory films in which Shashi Kapoor appeared during the company's Indian period and after: The Householder in 1963, adapted from her own novel and his first English-language role; Shakespeare Wallah in 1965; Bombay Talkie in 1970; and Heat and Dust in 1983, for which she won a BAFTA. Born in Germany in 1927, she came to India in 1951 on marrying the architect Cyrus Jhabvala and made Indian social life her subject across a dozen novels and eight story collections before turning to screenwriting. She later won two Academy Awards, for A Room with a View and Howards End, and remains the only person to hold both an Oscar and a Booker Prize. The parts she wrote for Kapoor — husband, suitor, vain film star — gave him an interiority his simultaneous Hindi career rarely asked for. Her article does not single him out.</t>
        </is>
      </c>
      <c r="T20" s="5" t="inlineStr">
        <is>
          <t>SOURCE-146</t>
        </is>
      </c>
      <c r="U20" s="5" t="inlineStr">
        <is>
          <t>High</t>
        </is>
      </c>
    </row>
    <row r="21" ht="214" customHeight="1">
      <c r="A21" s="15" t="inlineStr">
        <is>
          <t>PERSON-020</t>
        </is>
      </c>
      <c r="B21" s="5" t="inlineStr">
        <is>
          <t>Sagar Sarhadi</t>
        </is>
      </c>
      <c r="C21" s="5" t="inlineStr">
        <is>
          <t>Writer</t>
        </is>
      </c>
      <c r="D21" s="17" t="n">
        <v>1933</v>
      </c>
      <c r="E21" s="17" t="n">
        <v>2021</v>
      </c>
      <c r="F21" s="5" t="inlineStr">
        <is>
          <t>1970s–2010s</t>
        </is>
      </c>
      <c r="G21" s="5" t="inlineStr">
        <is>
          <t>Hindi cinema and Urdu theatre</t>
        </is>
      </c>
      <c r="H21" s="5" t="inlineStr">
        <is>
          <t>Born Ganga Sagar Talwar on 11 May 1933 in Baffa Pakhal, Mansehra district, then British India and now Pakistan; died 22 March 2021. He wrote Urdu short stories and then plays before entering films, and also directed and produced.</t>
        </is>
      </c>
      <c r="I21" s="5" t="inlineStr">
        <is>
          <t>Kabhi Kabhie (1976) for Yash Chopra (PERSON-005) brought him prominence in films.</t>
        </is>
      </c>
      <c r="J21" s="5" t="inlineStr">
        <is>
          <t>With Kapoor: Kabhi Kabhie (1976), Doosra Aadmi (1977), Silsila (1981), Sawaal (1982). Elsewhere: Noorie (1979), Chandni (1989), Faasle and Rang (1993).</t>
        </is>
      </c>
      <c r="K21" s="19" t="inlineStr">
        <is>
          <t>Romantic drama; the unresolved past, the second attachment, and the tension between desire and social form.</t>
        </is>
      </c>
      <c r="L21" s="19" t="inlineStr">
        <is>
          <t>An Urdu playwright's ear applied to screen romance — dialogue-led, interior, and more interested in longing than incident.</t>
        </is>
      </c>
      <c r="M21" s="5" t="inlineStr">
        <is>
          <t>A lifetime achievement award at the International Cultural Artifact Film Festival in 2019.</t>
        </is>
      </c>
      <c r="N21" s="19" t="inlineStr">
        <is>
          <t>One of the principal writers of the Yash Chopra romantic idiom, and a serious Urdu literary figure working inside commercial cinema.</t>
        </is>
      </c>
      <c r="O21" s="19" t="inlineStr">
        <is>
          <t>Four films, all writing credits, and all within the Yash Chopra orbit: Kabhi Kabhie (1976), Doosra Aadmi (1977), Silsila (1981) and Sawaal (1982). These are among the most romantically serious films of Kapoor's later career, and Sarhadi's preoccupation with the thwarted or belated attachment shapes several of the pairings analysed in this workbook's Romances sheet. His article names Silsila and identifies Kapoor as one of its stars, the rare case of a collaborator's article mentioning him directly. He is the uncle of the director Ramesh Talwar (PERSON-039), who directed two of the four.</t>
        </is>
      </c>
      <c r="P21" s="17" t="n">
        <v>4</v>
      </c>
      <c r="Q21" s="5" t="inlineStr">
        <is>
          <t>FILM-060; FILM-069; FILM-101; FILM-106</t>
        </is>
      </c>
      <c r="R21" s="5" t="inlineStr">
        <is>
          <t>Kabhi Kabhie (1976)</t>
        </is>
      </c>
      <c r="S21" s="5" t="inlineStr">
        <is>
          <t>Sagar Sarhadi wrote four Shashi Kapoor films, all of them for or around Yash Chopra, and together they form the most romantically serious cluster of his later career. Kabhi Kabhie in 1976 brought Sarhadi his film reputation; Doosra Aadmi and Sawaal, both directed by his nephew Ramesh Talwar, and Silsila in 1981 followed. Born in 1933 in what is now Pakistan, Sarhadi came to cinema from Urdu short stories and the stage, and never quite left them: his screen writing is dialogue-led and interior, turning on longing, the belated attachment and the pull between desire and social form — themes that shape several of the pairings recorded in this workbook's Romances sheet. He also wrote Noorie and Chandni, and received a lifetime achievement award in 2019. His article names Silsila and lists Kapoor among its stars.</t>
        </is>
      </c>
      <c r="T21" s="5" t="inlineStr">
        <is>
          <t>SOURCE-147</t>
        </is>
      </c>
      <c r="U21" s="5" t="inlineStr">
        <is>
          <t>High</t>
        </is>
      </c>
    </row>
    <row r="22" ht="184" customHeight="1">
      <c r="A22" s="15" t="inlineStr">
        <is>
          <t>PERSON-021</t>
        </is>
      </c>
      <c r="B22" s="5" t="inlineStr">
        <is>
          <t>Samir Ganguly</t>
        </is>
      </c>
      <c r="C22" s="5" t="inlineStr">
        <is>
          <t>Director; Writer</t>
        </is>
      </c>
      <c r="D22" s="18" t="n"/>
      <c r="E22" s="18" t="n"/>
      <c r="F22" s="5" t="n"/>
      <c r="G22" s="5" t="inlineStr">
        <is>
          <t>Hindi cinema and television</t>
        </is>
      </c>
      <c r="H22" s="5" t="inlineStr">
        <is>
          <t>An Indian film director who also directed many episodes of the television serial Paying Guest. His Wikipedia article is a stub and gives neither birth nor death dates nor any account of his training or career shape.</t>
        </is>
      </c>
      <c r="I22" s="5" t="n"/>
      <c r="J22" s="5" t="inlineStr">
        <is>
          <t>With Kapoor: Abhinetri (1970), Sharmeelee (1971), Koi Jeeta Koi Haara (1976), Deewaangee (1976).</t>
        </is>
      </c>
      <c r="K22" s="19" t="inlineStr">
        <is>
          <t>On the evidence of these films, romantic and domestic drama, including the double-role plot of Sharmeelee.</t>
        </is>
      </c>
      <c r="L22" s="19" t="inlineStr">
        <is>
          <t>Not established; the article carries no critical assessment.</t>
        </is>
      </c>
      <c r="M22" s="5" t="n"/>
      <c r="N22" s="19" t="inlineStr">
        <is>
          <t>Not established from the available source, although Sharmeelee is a film of lasting popularity.</t>
        </is>
      </c>
      <c r="O22" s="19" t="inlineStr">
        <is>
          <t>Four films in seven years. He wrote Abhinetri (1970), which Subodh Mukherjee (PERSON-045) directed, and directed the other three: Sharmeelee (1971), Koi Jeeta Koi Haara (1976) and Deewaangee (1976). Sharmeelee is much the most important — a major success in which Raakhee plays twin sisters opposite Kapoor, and one of the defining romantic vehicles of his star period. That so slight a biographical record attaches to the director of so well-remembered a film is itself notable.</t>
        </is>
      </c>
      <c r="P22" s="17" t="n">
        <v>4</v>
      </c>
      <c r="Q22" s="5" t="inlineStr">
        <is>
          <t>FILM-032; FILM-037; FILM-057; FILM-058</t>
        </is>
      </c>
      <c r="R22" s="5" t="inlineStr">
        <is>
          <t>Sharmeelee (1971)</t>
        </is>
      </c>
      <c r="S22" s="5" t="inlineStr">
        <is>
          <t>Samir Ganguly directed three Shashi Kapoor films and wrote a fourth, and one of them — Sharmeelee, in 1971 — is among the best-remembered romantic vehicles of the actor's star period, with Raakhee in a double role as twin sisters of opposite temperament, produced by Subodh Mukherjee and scored by S. D. Burman. He had written Abhinetri the year before for the same producer, and followed Sharmeelee with Koi Jeeta Koi Haara and Deewaangee, both released in 1976, so the association runs across seven years and covers romantic comedy, melodrama and the doubling plots the period favoured. Beyond the films themselves, very little is recorded. His Wikipedia article is a stub: it gives no dates of birth or death, no account of his training or how he came into the industry, and no critical assessment of any kind, noting only that he was an Indian film director who also directed many episodes of the television serial Paying Guest. That so slight a record attaches to the director of so durable a film is itself worth setting down. The entry is graded Medium.</t>
        </is>
      </c>
      <c r="T22" s="5" t="inlineStr">
        <is>
          <t>SOURCE-148</t>
        </is>
      </c>
      <c r="U22" s="5" t="inlineStr">
        <is>
          <t>Medium</t>
        </is>
      </c>
    </row>
    <row r="23" ht="214" customHeight="1">
      <c r="A23" s="15" t="inlineStr">
        <is>
          <t>PERSON-022</t>
        </is>
      </c>
      <c r="B23" s="5" t="inlineStr">
        <is>
          <t>Satyadev Dubey</t>
        </is>
      </c>
      <c r="C23" s="5" t="inlineStr">
        <is>
          <t>Writer</t>
        </is>
      </c>
      <c r="D23" s="17" t="n">
        <v>1936</v>
      </c>
      <c r="E23" s="17" t="n">
        <v>2011</v>
      </c>
      <c r="F23" s="5" t="inlineStr">
        <is>
          <t>1960s–2011</t>
        </is>
      </c>
      <c r="G23" s="5" t="inlineStr">
        <is>
          <t>Indian theatre and Hindi cinema</t>
        </is>
      </c>
      <c r="H23" s="5" t="inlineStr">
        <is>
          <t>Born 13 July 1936; died 25 December 2011. A theatre director, actor, playwright, screenwriter and film director, and one of the central figures of modern Indian stage practice.</t>
        </is>
      </c>
      <c r="I23" s="5" t="inlineStr">
        <is>
          <t>Long established in theatre before his screen work; his film writing belongs mainly to the parallel-cinema movement of the 1970s and 1980s.</t>
        </is>
      </c>
      <c r="J23" s="5" t="inlineStr">
        <is>
          <t>With Kapoor: Hira Aur Patthar (1977), Junoon (1979), Kalyug (1981), Vijeta (1982). Elsewhere: Bhumika (1978) for Shyam Benegal (PERSON-083).</t>
        </is>
      </c>
      <c r="K23" s="19" t="inlineStr">
        <is>
          <t>Adaptation of literary and theatrical material; moral argument conducted in dialogue.</t>
        </is>
      </c>
      <c r="L23" s="19" t="inlineStr">
        <is>
          <t>A playwright's approach to screen dialogue — spare, argumentative and written for actors trained to sustain a scene.</t>
        </is>
      </c>
      <c r="M23" s="5" t="inlineStr">
        <is>
          <t>The Sangeet Natak Akademi Award in 1971; the National Film Award for Best Screenplay for Bhumika in 1978; the Filmfare Best Dialogue Award for Junoon in 1980; and the Padma Bhushan in 2011.</t>
        </is>
      </c>
      <c r="N23" s="19" t="inlineStr">
        <is>
          <t>One of the most influential figures in post-independence Indian theatre, and the writer who gave the Benegal school much of its spoken texture.</t>
        </is>
      </c>
      <c r="O23" s="19" t="inlineStr">
        <is>
          <t>Four films, and three of them are the parallel-cinema slate Kapoor financed and starred in through his own banner Film-Valas: Junoon (1979), Kalyug (1981) and Vijeta (1982). Dubey won the Filmfare Best Dialogue Award for Junoon, in which Kapoor plays the Pathan Javed Khan, consumed by his pursuit of an English girl during the 1857 rebellion — among the most complex and least conventionally romantic parts of his career. The fourth, Hira Aur Patthar (1977), is a mainstream credit. The collaboration is therefore the clearest single marker of Kapoor's deliberate turn toward serious cinema.</t>
        </is>
      </c>
      <c r="P23" s="17" t="n">
        <v>4</v>
      </c>
      <c r="Q23" s="5" t="inlineStr">
        <is>
          <t>FILM-063; FILM-084; FILM-100; FILM-103</t>
        </is>
      </c>
      <c r="R23" s="5" t="inlineStr">
        <is>
          <t>Junoon (1979)</t>
        </is>
      </c>
      <c r="S23" s="5" t="inlineStr">
        <is>
          <t>Satyadev Dubey wrote four Shashi Kapoor films, three of them the parallel-cinema productions Kapoor financed himself through Film-Valas: Junoon in 1979, Kalyug in 1981 and Vijeta in 1982. Dubey won the Filmfare Best Dialogue Award for Junoon, Shyam Benegal's film of the 1857 rebellion, in which Kapoor plays a Pathan destroyed by his obsession with an English girl — a role that sits at the far edge of the romantic persona this workbook tracks, and one he could only have played by paying for the film himself. Dubey came to cinema from the stage, where he was among the most influential directors and playwrights of post-independence India; he won the Sangeet Natak Akademi Award in 1971, the National Film Award for Best Screenplay for Bhumika in 1978 and the Padma Bhushan in 2011. His article does not discuss Kapoor.</t>
        </is>
      </c>
      <c r="T23" s="5" t="inlineStr">
        <is>
          <t>SOURCE-149</t>
        </is>
      </c>
      <c r="U23" s="5" t="inlineStr">
        <is>
          <t>High</t>
        </is>
      </c>
    </row>
    <row r="24" ht="229" customHeight="1">
      <c r="A24" s="15" t="inlineStr">
        <is>
          <t>PERSON-023</t>
        </is>
      </c>
      <c r="B24" s="5" t="inlineStr">
        <is>
          <t>Shashi Kapoor</t>
        </is>
      </c>
      <c r="C24" s="5" t="inlineStr">
        <is>
          <t>Producer (the subject of this workbook, credited as producer)</t>
        </is>
      </c>
      <c r="D24" s="17" t="n">
        <v>1938</v>
      </c>
      <c r="E24" s="17" t="n">
        <v>2017</v>
      </c>
      <c r="F24" s="5" t="inlineStr">
        <is>
          <t>1948–1998</t>
        </is>
      </c>
      <c r="G24" s="5" t="inlineStr">
        <is>
          <t>Hindi cinema and English-language international cinema</t>
        </is>
      </c>
      <c r="H24" s="5" t="inlineStr">
        <is>
          <t>Born Balbir Raj Kapoor on 18 March 1938; died 4 December 2017. The third and youngest son of Prithviraj Kapoor, he began as a child actor in 1948 in his brother Raj Kapoor's Aag and took his first adult lead in 1961 in Yash Chopra's Dharmputra. This row records only his work as a producer; his acting career is the subject of the Films and Romances sheets.</t>
        </is>
      </c>
      <c r="I24" s="5" t="inlineStr">
        <is>
          <t>As producer, Junoon (1979), made through his banner Film-Valas.</t>
        </is>
      </c>
      <c r="J24" s="5" t="inlineStr">
        <is>
          <t>As producer, with himself acting: Junoon (1979), Kalyug (1981), Vijeta (1982), Utsav (1984). He also produced 36 Chowringhee Lane (1981) without acting in it, which falls outside this filmography's scope.</t>
        </is>
      </c>
      <c r="K24" s="19" t="inlineStr">
        <is>
          <t>Literary and historical adaptation, the parallel-cinema aesthetic, and subjects with no obvious commercial constituency.</t>
        </is>
      </c>
      <c r="L24" s="19" t="inlineStr">
        <is>
          <t>As a producer, a deliberate patron: he used the money earned from multi-starrers to underwrite directors — Shyam Benegal, Govind Nihalani, Girish Karnad, Aparna Sen — who would not otherwise have been financed on that scale.</t>
        </is>
      </c>
      <c r="M24" s="5" t="inlineStr">
        <is>
          <t>Four National Film Awards and two Filmfare Awards across his career; the Padma Bhushan in 2011 and the Dadasaheb Phalke Award, which his article dates to 2014.</t>
        </is>
      </c>
      <c r="N24" s="19" t="inlineStr">
        <is>
          <t>One of the few Hindi stars of his generation to convert commercial standing into a sustained patronage of art cinema, at considerable personal cost.</t>
        </is>
      </c>
      <c r="O24" s="19" t="inlineStr">
        <is>
          <t>Four films in which he is both the subject of this workbook and its producer: Junoon (1979), Kalyug (1981), Vijeta (1982) and Utsav (1984). The pattern is central to the career. Having become one of the most saleable stars of the 1970s, he spent that capital on films that lost money, and the run ends with Utsav, an expensive period piece whose failure effectively closed his producing career. The romances in these films — Javed Khan's obsession in Junoon, the Mahabharata adultery of Kalyug, the courtesan comedy of Utsav — are markedly darker and more ambivalent than anything his commercial producers asked of him.</t>
        </is>
      </c>
      <c r="P24" s="17" t="n">
        <v>4</v>
      </c>
      <c r="Q24" s="5" t="inlineStr">
        <is>
          <t>FILM-084; FILM-100; FILM-103; FILM-114</t>
        </is>
      </c>
      <c r="R24" s="5" t="inlineStr">
        <is>
          <t>Junoon (1979)</t>
        </is>
      </c>
      <c r="S24" s="5" t="inlineStr">
        <is>
          <t>This row records Shashi Kapoor in his second capacity, as the producer of four of his own films. Through his banner Film-Valas he financed Junoon in 1979, Kalyug in 1981, Vijeta in 1982 and Utsav in 1984, and also produced 36 Chowringhee Lane, in which he did not appear. The money came from the multi-starrers of his peak decade, and it went to directors — Shyam Benegal, Govind Nihalani, Girish Karnad — whose work the mainstream would not have funded at that budget. The roles he wrote himself into are notably harsher than the ones the market gave him: the obsessive Javed Khan of Junoon, the compromised industrialist of Kalyug. Almost none of the films made money, and Utsav's failure ended the experiment. He received four National Film Awards, the Padma Bhushan in 2011 and the Dadasaheb Phalke Award, and stopped acting in 1998.</t>
        </is>
      </c>
      <c r="T24" s="5" t="inlineStr">
        <is>
          <t>SOURCE-150</t>
        </is>
      </c>
      <c r="U24" s="5" t="inlineStr">
        <is>
          <t>High</t>
        </is>
      </c>
    </row>
    <row r="25" ht="154" customHeight="1">
      <c r="A25" s="15" t="inlineStr">
        <is>
          <t>PERSON-024</t>
        </is>
      </c>
      <c r="B25" s="5" t="inlineStr">
        <is>
          <t>Shibu Mitra</t>
        </is>
      </c>
      <c r="C25" s="5" t="inlineStr">
        <is>
          <t>Director</t>
        </is>
      </c>
      <c r="D25" s="17" t="n">
        <v>1948</v>
      </c>
      <c r="E25" s="18" t="n"/>
      <c r="F25" s="5" t="inlineStr">
        <is>
          <t>1972–2001</t>
        </is>
      </c>
      <c r="G25" s="5" t="inlineStr">
        <is>
          <t>Hindi cinema</t>
        </is>
      </c>
      <c r="H25" s="5" t="inlineStr">
        <is>
          <t>Born in 1948. An Indian film director and producer whose career covers more than forty feature films, most popular in the late 1970s and through the 1980s.</t>
        </is>
      </c>
      <c r="I25" s="5" t="inlineStr">
        <is>
          <t>Directing from 1972; Shankar Dada (1976) is among his early successes.</t>
        </is>
      </c>
      <c r="J25" s="5" t="inlineStr">
        <is>
          <t>With Kapoor: Shankar Dada (1976), Maan Gaye Ustaad (1981), Ilzaam (1986), Meri Zabaan (1989). Elsewhere: Aakhri Goli and Durgaa.</t>
        </is>
      </c>
      <c r="K25" s="19" t="inlineStr">
        <is>
          <t>Action and crime melodrama aimed squarely at the mass audience.</t>
        </is>
      </c>
      <c r="L25" s="19" t="inlineStr">
        <is>
          <t>A commercial director of high output; his article notes his record of launching new stars rather than any authorial signature.</t>
        </is>
      </c>
      <c r="M25" s="5" t="inlineStr">
        <is>
          <t>A 'Star Maker of the Decade' award at the Eighteenth Filmgoers Awards in 1987.</t>
        </is>
      </c>
      <c r="N25" s="19" t="inlineStr">
        <is>
          <t>Chiefly as a launcher of careers: his article credits him with films that introduced Govinda, Chunky Pandey and Danny Denzongpa, among others.</t>
        </is>
      </c>
      <c r="O25" s="19" t="inlineStr">
        <is>
          <t>Four films across thirteen years, and they track Kapoor's decline as a lead with unusual clarity. Shankar Dada (1976) is a straightforward Kapoor star vehicle; by Ilzaam (1986) — the film that launched Govinda — Kapoor is the senior supporting presence rather than the centre, and Meri Zabaan (1989) is an ensemble headed by Mithun Chakraborty. His article does not mention Kapoor.</t>
        </is>
      </c>
      <c r="P25" s="17" t="n">
        <v>4</v>
      </c>
      <c r="Q25" s="5" t="inlineStr">
        <is>
          <t>FILM-061; FILM-099; FILM-123; FILM-140</t>
        </is>
      </c>
      <c r="R25" s="5" t="inlineStr">
        <is>
          <t>Shankar Dada (1976)</t>
        </is>
      </c>
      <c r="S25" s="5" t="inlineStr">
        <is>
          <t>Shibu Mitra directed four Shashi Kapoor films between 1976 and 1989, and the sequence is an unusually clean record of the actor's changing position in the industry. Shankar Dada in 1976 is a Kapoor vehicle, made when he was among the most bankable stars of the decade; Maan Gaye Ustaad followed in 1981, the third of the films produced by S. K. Kapur's small recurring unit; by Ilzaam in 1986 the picture belongs to the newcomer Govinda, whom it launched, with Kapoor supplying the established name; and Meri Zabaan in 1989 is a Mithun Chakraborty ensemble in which his part is smaller still. Mitra, born in 1948 and directing from 1972 until 2001, made more than forty films in a career built on high-volume commercial action and crime melodrama. His article emphasises his record of introducing performers who became stars — Govinda, Chunky Pandey, Neetu Singh, Danny Denzongpa, Kiran Kumar and Raza Murad — over any authorial signature, and notes the 'Star Maker of the Decade' award he received in 1987. It does not mention Kapoor.</t>
        </is>
      </c>
      <c r="T25" s="5" t="inlineStr">
        <is>
          <t>SOURCE-151</t>
        </is>
      </c>
      <c r="U25" s="5" t="inlineStr">
        <is>
          <t>High</t>
        </is>
      </c>
    </row>
    <row r="26" ht="184" customHeight="1">
      <c r="A26" s="15" t="inlineStr">
        <is>
          <t>PERSON-025</t>
        </is>
      </c>
      <c r="B26" s="5" t="inlineStr">
        <is>
          <t>Yash Raj Films</t>
        </is>
      </c>
      <c r="C26" s="5" t="inlineStr">
        <is>
          <t>Production banner</t>
        </is>
      </c>
      <c r="D26" s="18" t="n"/>
      <c r="E26" s="18" t="n"/>
      <c r="F26" s="5" t="inlineStr">
        <is>
          <t>1970–present</t>
        </is>
      </c>
      <c r="G26" s="5" t="inlineStr">
        <is>
          <t>Hindi cinema</t>
        </is>
      </c>
      <c r="H26" s="5" t="inlineStr">
        <is>
          <t>An Indian film production and distribution company founded by Yash Chopra (PERSON-005) in 1970 and led since 2012 by his son Aditya Chopra. It produces and distributes principally Hindi films.</t>
        </is>
      </c>
      <c r="I26" s="5" t="inlineStr">
        <is>
          <t>Founded in 1970; Kabhi Kabhie (1976) is among its formative productions.</t>
        </is>
      </c>
      <c r="J26" s="5" t="inlineStr">
        <is>
          <t>With Kapoor: Kabhi Kabhie (1976), Kaala Patthar (1979), Silsila (1981), Sawaal (1982).</t>
        </is>
      </c>
      <c r="K26" s="19" t="inlineStr">
        <is>
          <t>Romantic drama and the large star ensemble; in later decades, the dominant commercial idiom of Hindi cinema.</t>
        </is>
      </c>
      <c r="L26" s="19" t="inlineStr">
        <is>
          <t>Not applicable; a company rather than an individual, though in this period its output is effectively Yash Chopra's own.</t>
        </is>
      </c>
      <c r="M26" s="5" t="n"/>
      <c r="N26" s="19" t="inlineStr">
        <is>
          <t>The most powerful production house in Hindi cinema, and one whose house style was formed during precisely the years Kapoor worked for it.</t>
        </is>
      </c>
      <c r="O26" s="19" t="inlineStr">
        <is>
          <t>Four films, all between 1976 and 1982 and all directed or produced by the company's founder. Kabhi Kabhie, Kaala Patthar, Silsila and Sawaal belong to the period in which Yash Raj was still a director's banner rather than a studio, and Kapoor is a fixture of its ensembles throughout — most often as the steady counterweight to Amitabh Bachchan. The banner credit therefore overlaps almost entirely with the Yash Chopra relationship recorded at PERSON-005 and should not be read as an independent collaboration.</t>
        </is>
      </c>
      <c r="P26" s="17" t="n">
        <v>4</v>
      </c>
      <c r="Q26" s="5" t="inlineStr">
        <is>
          <t>FILM-060; FILM-085; FILM-101; FILM-106</t>
        </is>
      </c>
      <c r="R26" s="5" t="inlineStr">
        <is>
          <t>Kabhi Kabhie (1976)</t>
        </is>
      </c>
      <c r="S26" s="5" t="inlineStr">
        <is>
          <t>Yash Raj Films appears on four Shashi Kapoor films — Kabhi Kabhie, Kaala Patthar, Silsila and Sawaal — all made between 1976 and 1982, when the company was still a vehicle for its founder's own films rather than the studio it later became. Yash Chopra established it in 1970, and in this period its output and his direction are effectively the same thing, so the banner credit should be read alongside the Yash Chopra entry rather than as a separate relationship. The films matter to Kapoor's career all the same: they are among the most prestigious ensembles he joined, and in each he plays the stable figure against Amitabh Bachchan's disturbance. Under Aditya Chopra, who took over in 2012, the company became the most powerful in Hindi cinema. Its article does not mention Kapoor.</t>
        </is>
      </c>
      <c r="T26" s="5" t="inlineStr">
        <is>
          <t>SOURCE-152</t>
        </is>
      </c>
      <c r="U26" s="5" t="inlineStr">
        <is>
          <t>High</t>
        </is>
      </c>
    </row>
    <row r="27" ht="169" customHeight="1">
      <c r="A27" s="15" t="inlineStr">
        <is>
          <t>PERSON-026</t>
        </is>
      </c>
      <c r="B27" s="5" t="inlineStr">
        <is>
          <t>Ashok Roy</t>
        </is>
      </c>
      <c r="C27" s="5" t="inlineStr">
        <is>
          <t>Director; Producer</t>
        </is>
      </c>
      <c r="D27" s="18" t="n"/>
      <c r="E27" s="18" t="n"/>
      <c r="F27" s="5" t="n"/>
      <c r="G27" s="5" t="inlineStr">
        <is>
          <t>Hindi cinema</t>
        </is>
      </c>
      <c r="H27" s="5" t="inlineStr">
        <is>
          <t>No Wikipedia article exists for this person. The article at the title 'Ashok Roy' is about an Indian-born musician based in Australia, a different man, and was rejected during research. Everything here rests on the credits of the three films.</t>
        </is>
      </c>
      <c r="I27" s="5" t="n"/>
      <c r="J27" s="5" t="inlineStr">
        <is>
          <t>With Kapoor, as director: Chor Machaye Shor (1974). As director and producer: Chakkar Pe Chakkar (1977) and Heeralaal Pannalaal (1978).</t>
        </is>
      </c>
      <c r="K27" s="19" t="inlineStr">
        <is>
          <t>On the evidence of these three films, commercial crime and comedy melodrama of the mid-1970s.</t>
        </is>
      </c>
      <c r="L27" s="19" t="inlineStr">
        <is>
          <t>Not established; no biographical source was located.</t>
        </is>
      </c>
      <c r="M27" s="5" t="n"/>
      <c r="N27" s="19" t="inlineStr">
        <is>
          <t>Not established, although directing one of the two top-grossing Hindi films of 1974 is a substantial credit for a figure with no biographical record.</t>
        </is>
      </c>
      <c r="O27" s="19" t="inlineStr">
        <is>
          <t>Three films in five years, and the first is far the most important: Chor Machaye Shor (1974), which took one of the leading box-office places of its year and, with Roti Kapda Aur Makaan, established Kapoor as one of the most bankable stars of the decade. He went on to both produce and direct Chakkar Pe Chakkar (1977) and Heeralaal Pannalaal (1978), the latter written by S. M. Abbas (PERSON-011), who had also written Chor Machaye Shor.</t>
        </is>
      </c>
      <c r="P27" s="17" t="n">
        <v>3</v>
      </c>
      <c r="Q27" s="5" t="inlineStr">
        <is>
          <t>FILM-048; FILM-066; FILM-081</t>
        </is>
      </c>
      <c r="R27" s="5" t="inlineStr">
        <is>
          <t>Chor Machaye Shor (1974)</t>
        </is>
      </c>
      <c r="S27" s="5" t="inlineStr">
        <is>
          <t>Ashok Roy directed the film that made Shashi Kapoor a top-rank commercial star, and almost nothing is recorded about him. Chor Machaye Shor in 1974 was one of the two highest-placed Hindi releases of its year; Roy followed it by producing as well as directing Chakkar Pe Chakkar in 1977 and Heeralaal Pannalaal in 1978, both again with Kapoor. No Wikipedia biography of him exists: the article standing at his name is about an Indian-born musician who settled in Australia and was rejected during research as the wrong person, and no alternative was found under any variant. The entry therefore rests entirely on the three films' credits and is graded Low. The gap is a real one — a director of a top-grossing film of the 1970s with no surviving biographical record.</t>
        </is>
      </c>
      <c r="T27" s="5" t="inlineStr">
        <is>
          <t>SOURCE-035; SOURCE-058; SOURCE-066</t>
        </is>
      </c>
      <c r="U27" s="5" t="inlineStr">
        <is>
          <t>Low</t>
        </is>
      </c>
    </row>
    <row r="28" ht="154" customHeight="1">
      <c r="A28" s="15" t="inlineStr">
        <is>
          <t>PERSON-027</t>
        </is>
      </c>
      <c r="B28" s="5" t="inlineStr">
        <is>
          <t>B. Subhash</t>
        </is>
      </c>
      <c r="C28" s="5" t="inlineStr">
        <is>
          <t>Director; Writer</t>
        </is>
      </c>
      <c r="D28" s="18" t="n"/>
      <c r="E28" s="18" t="n"/>
      <c r="F28" s="5" t="n"/>
      <c r="G28" s="5" t="inlineStr">
        <is>
          <t>Hindi cinema</t>
        </is>
      </c>
      <c r="H28" s="5" t="inlineStr">
        <is>
          <t>Credited also as Babbar Subhash. An Indian film director, producer and screenwriter working principally in Hindi films. His article gives no dates and is short.</t>
        </is>
      </c>
      <c r="I28" s="5" t="inlineStr">
        <is>
          <t>Not recorded in the article; his best-known work begins with Disco Dancer (1982).</t>
        </is>
      </c>
      <c r="J28" s="5" t="inlineStr">
        <is>
          <t>With Kapoor: Apna Khoon (1978), Aandhi-Toofan (1985), Commando (1988). Elsewhere: Disco Dancer (1982), Kasam Paida Karne Wale Ki (1984) and Dance Dance (1987), all with Mithun Chakraborty.</t>
        </is>
      </c>
      <c r="K28" s="19" t="inlineStr">
        <is>
          <t>Dance- and music-driven action films; a long association with Mithun Chakraborty and with the composer Bappi Lahiri (PERSON-004).</t>
        </is>
      </c>
      <c r="L28" s="19" t="inlineStr">
        <is>
          <t>A director of high-energy commercial pictures built around music and spectacle rather than narrative complexity.</t>
        </is>
      </c>
      <c r="M28" s="5" t="n"/>
      <c r="N28" s="19" t="inlineStr">
        <is>
          <t>Disco Dancer was among the most internationally exported Hindi films of its era, particularly in the Soviet Union; his article records the partnership with Chakraborty and Lahiri that produced it.</t>
        </is>
      </c>
      <c r="O28" s="19" t="inlineStr">
        <is>
          <t>Three films across a decade: he directed Apna Khoon (1978) and Aandhi-Toofan (1985), and both directed and wrote Commando (1988). All three belong to Kapoor's action and supporting period, and the last two are scored by Bappi Lahiri, whose nine-film run with Kapoor covers the same years. His article does not mention Kapoor.</t>
        </is>
      </c>
      <c r="P28" s="17" t="n">
        <v>3</v>
      </c>
      <c r="Q28" s="5" t="inlineStr">
        <is>
          <t>FILM-080; FILM-116; FILM-134</t>
        </is>
      </c>
      <c r="R28" s="5" t="inlineStr">
        <is>
          <t>Aandhi-Toofan (1985)</t>
        </is>
      </c>
      <c r="S28" s="5" t="inlineStr">
        <is>
          <t>B. Subhash, also credited as Babbar Subhash, directed three Shashi Kapoor films across a decade — Apna Khoon in 1978, Aandhi-Toofan in 1985 and Commando in 1988, the last of which he also wrote. All three belong to the action register of Kapoor's later career, when he was moving from leading roles into supporting ones, and two of them are scored by Bappi Lahiri, whose own nine-film run with the actor covers exactly these years; Commando additionally carries dialogue by the Urdu novelist Rahi Masoom Reza. Subhash is far better known for work outside this filmography: Disco Dancer in 1982 and the run of Mithun Chakraborty musicals that followed it, including Kasam Paida Karne Wale Ki and Dance Dance, films whose dance-driven construction and Lahiri soundtracks travelled unusually far abroad, particularly in the Soviet Union. His Wikipedia article is brief, gives no dates, and makes no mention of Kapoor, so this entry rests on the film credits together with what it records of his Chakraborty partnership. It is graded Medium.</t>
        </is>
      </c>
      <c r="T28" s="5" t="inlineStr">
        <is>
          <t>SOURCE-153</t>
        </is>
      </c>
      <c r="U28" s="5" t="inlineStr">
        <is>
          <t>Medium</t>
        </is>
      </c>
    </row>
    <row r="29" ht="154" customHeight="1">
      <c r="A29" s="15" t="inlineStr">
        <is>
          <t>PERSON-028</t>
        </is>
      </c>
      <c r="B29" s="5" t="inlineStr">
        <is>
          <t>C. Ramchandra</t>
        </is>
      </c>
      <c r="C29" s="5" t="inlineStr">
        <is>
          <t>Song composer</t>
        </is>
      </c>
      <c r="D29" s="17" t="n">
        <v>1918</v>
      </c>
      <c r="E29" s="17" t="n">
        <v>1982</v>
      </c>
      <c r="F29" s="5" t="inlineStr">
        <is>
          <t>1935–1971</t>
        </is>
      </c>
      <c r="G29" s="5" t="inlineStr">
        <is>
          <t>Hindi and Marathi cinema</t>
        </is>
      </c>
      <c r="H29" s="5" t="inlineStr">
        <is>
          <t>Born Ramchandra Narhar Chitalkar on 12 January 1918; died 5 January 1982. A music director and playback singer who composed under several names — C. Ramchandra, Annasaheb, Ram Chitalkar and Shyamoo — and sang and acted in Marathi films as R. N. Chitalkar.</t>
        </is>
      </c>
      <c r="I29" s="5" t="inlineStr">
        <is>
          <t>Active from 1935; his peak as a composer falls in the 1940s and 1950s.</t>
        </is>
      </c>
      <c r="J29" s="5" t="inlineStr">
        <is>
          <t>With Kapoor: Sangram (1950), Samadhi (1950), Rootha Na Karo (1970). Elsewhere: Albela (1951) and Azaad (1955), and duets with Lata Mangeshkar including 'Kitna Haseen Hai Mausam' and 'Shola Jo Bhadke'.</t>
        </is>
      </c>
      <c r="K29" s="19" t="inlineStr">
        <is>
          <t>Melody in the 1940s and 1950s idiom, with a strong line in rhythm-led and Western-inflected numbers unusual for the period.</t>
        </is>
      </c>
      <c r="L29" s="19" t="inlineStr">
        <is>
          <t>A versatile composer-singer who moved between classical-derived melody and light, swing-inflected arrangement.</t>
        </is>
      </c>
      <c r="M29" s="5" t="inlineStr">
        <is>
          <t>Filmfare nominations for Best Music Director for Azaad (1955) and Aasha (1957).</t>
        </is>
      </c>
      <c r="N29" s="19" t="inlineStr">
        <is>
          <t>One of the leading composers of the first post-independence decade of Hindi cinema.</t>
        </is>
      </c>
      <c r="O29" s="19" t="inlineStr">
        <is>
          <t>Three films, and two of them belong to Kapoor's child-actor period: Sangram and Samadhi, both released in 1950, when he was twelve and billed as Shashiraj. The third, Rootha Na Karo, comes twenty years later in 1970, near the end of Ramchandra's career. The collaboration is therefore split across two entirely different phases of Kapoor's working life with no continuity between them. His article does not mention Kapoor.</t>
        </is>
      </c>
      <c r="P29" s="17" t="n">
        <v>3</v>
      </c>
      <c r="Q29" s="5" t="inlineStr">
        <is>
          <t>FILM-002; FILM-003; FILM-031</t>
        </is>
      </c>
      <c r="R29" s="5" t="inlineStr">
        <is>
          <t>Samadhi (1950)</t>
        </is>
      </c>
      <c r="S29" s="5" t="inlineStr">
        <is>
          <t>C. Ramchandra scored three Shashi Kapoor films, but the grouping is an accident of longevity rather than a partnership. Two of them, Sangram and Samadhi, were released in 1950 and belong to Kapoor's brief career as a child actor, when he was twelve, billed as Shashiraj, and playing the younger version of adult stars — Ashok Kumar in both cases. The third, Rootha Na Karo, arrives in 1970, two decades later and near the end of the composer's working life, by which time the boy had become one of the leading men of Hindi cinema. Born Ramchandra Narhar Chitalkar in 1918, he was among the defining composers of the first post-independence decade, working under several names — Annasaheb, Ram Chitalkar, Shyamoo — and singing as well as composing, in Marathi films as R. N. Chitalkar. His duets with Lata Mangeshkar from Albela and Azaad are the best remembered of his output, and he was twice nominated for the Filmfare Best Music Director award, for Azaad in 1955 and Aasha in 1957. He died in 1982. His article does not mention Kapoor.</t>
        </is>
      </c>
      <c r="T29" s="5" t="inlineStr">
        <is>
          <t>SOURCE-154</t>
        </is>
      </c>
      <c r="U29" s="5" t="inlineStr">
        <is>
          <t>High</t>
        </is>
      </c>
    </row>
    <row r="30" ht="124" customHeight="1">
      <c r="A30" s="15" t="inlineStr">
        <is>
          <t>PERSON-029</t>
        </is>
      </c>
      <c r="B30" s="5" t="inlineStr">
        <is>
          <t>Dhruva Chatterjee</t>
        </is>
      </c>
      <c r="C30" s="5" t="inlineStr">
        <is>
          <t>Writer</t>
        </is>
      </c>
      <c r="D30" s="18" t="n"/>
      <c r="E30" s="18" t="n"/>
      <c r="F30" s="5" t="inlineStr">
        <is>
          <t>1950s–1970s</t>
        </is>
      </c>
      <c r="G30" s="5" t="inlineStr">
        <is>
          <t>Hindi cinema</t>
        </is>
      </c>
      <c r="H30" s="5" t="inlineStr">
        <is>
          <t>Also credited as Dhruv Chatterjee. A writer and screenwriter of Hindi cinema in the 1960s and 1970s. His article gives no birth or death dates.</t>
        </is>
      </c>
      <c r="I30" s="5" t="inlineStr">
        <is>
          <t>Chirag Kahan Roshni Kahan (1960) brought him a Filmfare Best Story nomination.</t>
        </is>
      </c>
      <c r="J30" s="5" t="inlineStr">
        <is>
          <t>With Kapoor: Chor Machaye Shor (1974), Fakira (1976), Mukti (1977). Elsewhere: Hariyali Aur Rasta (1962), Woh Kaun Thi? (1964), Kohra (1964), Gumnaam (1965) and Dus Numbri (1976).</t>
        </is>
      </c>
      <c r="K30" s="19" t="inlineStr">
        <is>
          <t>Suspense and mystery — his article names drama, suspense and thriller as his genres, and his best-known credits are the great Hindi suspense films of the 1960s.</t>
        </is>
      </c>
      <c r="L30" s="19" t="inlineStr">
        <is>
          <t>A story and screenplay writer specialising in plot mechanics: concealed identity, apparent haunting, and the withheld revelation.</t>
        </is>
      </c>
      <c r="M30" s="5" t="inlineStr">
        <is>
          <t>Nominated for the Filmfare Award for Best Story in 1960 for Chirag Kahan Roshni Kahan.</t>
        </is>
      </c>
      <c r="N30" s="19" t="inlineStr">
        <is>
          <t>The writer behind several of the defining Hindi suspense films of the 1960s, including Woh Kaun Thi?, Kohra and Gumnaam.</t>
        </is>
      </c>
      <c r="O30" s="19" t="inlineStr">
        <is>
          <t>Three films in four years at the start of Kapoor's peak period: Chor Machaye Shor (1974), Fakira (1976) and Mukti (1977). The first is the significant one, a top box-office film of 1974 co-written with S. M. Abbas (PERSON-011). His article names Chor Machaye Shor and Fakira among his notable work but does not mention Kapoor.</t>
        </is>
      </c>
      <c r="P30" s="17" t="n">
        <v>3</v>
      </c>
      <c r="Q30" s="5" t="inlineStr">
        <is>
          <t>FILM-048; FILM-062; FILM-068</t>
        </is>
      </c>
      <c r="R30" s="5" t="inlineStr">
        <is>
          <t>Chor Machaye Shor (1974)</t>
        </is>
      </c>
      <c r="S30" s="5" t="inlineStr">
        <is>
          <t>Dhruva Chatterjee wrote three Shashi Kapoor films in the mid-1970s — Chor Machaye Shor in 1974, Fakira in 1976 and Mukti in 1977 — the first of which was among the top-grossing Hindi releases of its year and helped establish Kapoor as a leading commercial draw. Chatterjee's reputation, however, rests on an earlier body of work: he wrote Woh Kaun Thi?, Kohra and Gumnaam, three of the defining Hindi suspense films of the 1960s, and was nominated for the Filmfare Best Story award in 1960 for Chirag Kahan Roshni Kahan. His article, which is short and undated, lists drama, suspense and thriller as his genres and names both Chor Machaye Shor and Fakira among his memorable films, but says nothing about Kapoor. The entry is graded Medium for want of biographical detail.</t>
        </is>
      </c>
      <c r="T30" s="5" t="inlineStr">
        <is>
          <t>SOURCE-155</t>
        </is>
      </c>
      <c r="U30" s="5" t="inlineStr">
        <is>
          <t>Medium</t>
        </is>
      </c>
    </row>
    <row r="31" ht="109" customHeight="1">
      <c r="A31" s="15" t="inlineStr">
        <is>
          <t>PERSON-030</t>
        </is>
      </c>
      <c r="B31" s="5" t="inlineStr">
        <is>
          <t>Ehsan Rizvi</t>
        </is>
      </c>
      <c r="C31" s="5" t="inlineStr">
        <is>
          <t>Writer</t>
        </is>
      </c>
      <c r="D31" s="18" t="n"/>
      <c r="E31" s="18" t="n"/>
      <c r="F31" s="5" t="n"/>
      <c r="G31" s="5" t="inlineStr">
        <is>
          <t>Hindi cinema</t>
        </is>
      </c>
      <c r="H31" s="5" t="inlineStr">
        <is>
          <t>No Wikipedia article exists for him, and no article was found under any variant spelling. Everything recorded here comes from the credits of the three films.</t>
        </is>
      </c>
      <c r="I31" s="5" t="n"/>
      <c r="J31" s="5" t="inlineStr">
        <is>
          <t>With Kapoor: Abhinetri (1970), Shankar Dada (1976), Alag Alag (1985).</t>
        </is>
      </c>
      <c r="K31" s="19" t="inlineStr">
        <is>
          <t>On the evidence of these three credits, mainstream domestic and action melodrama spread across fifteen years.</t>
        </is>
      </c>
      <c r="L31" s="19" t="inlineStr">
        <is>
          <t>Not established; no biographical source was located.</t>
        </is>
      </c>
      <c r="M31" s="5" t="n"/>
      <c r="N31" s="19" t="inlineStr">
        <is>
          <t>Not established.</t>
        </is>
      </c>
      <c r="O31" s="19" t="inlineStr">
        <is>
          <t>Three writing credits widely separated in time — Abhinetri (1970), Shankar Dada (1976) and Alag Alag (1985) — with no evident pattern of banner or director linking them. Abhinetri was directed by Subodh Mukherjee (PERSON-045) and Shankar Dada by Shibu Mitra (PERSON-024).</t>
        </is>
      </c>
      <c r="P31" s="17" t="n">
        <v>3</v>
      </c>
      <c r="Q31" s="5" t="inlineStr">
        <is>
          <t>FILM-032; FILM-061; FILM-118</t>
        </is>
      </c>
      <c r="R31" s="5" t="inlineStr">
        <is>
          <t>Shankar Dada (1976)</t>
        </is>
      </c>
      <c r="S31" s="5" t="inlineStr">
        <is>
          <t>Ehsan Rizvi has three writing credits in this filmography, spread across fifteen years: Abhinetri in 1970, Shankar Dada in 1976 and Alag Alag in 1985. No Wikipedia article exists for him under that name or any variant tried during research, and no other biographical source was located, so nothing can responsibly be said about his training, output or standing. The three films share no director or banner and suggest no particular specialism beyond mainstream commercial writing. The entry is recorded because the collaboration count places him among Kapoor's more frequent writers, but it rests entirely on the film credits and is graded Low.</t>
        </is>
      </c>
      <c r="T31" s="5" t="inlineStr">
        <is>
          <t>SOURCE-026; SOURCE-046; SOURCE-099</t>
        </is>
      </c>
      <c r="U31" s="5" t="inlineStr">
        <is>
          <t>Low</t>
        </is>
      </c>
    </row>
    <row r="32" ht="199" customHeight="1">
      <c r="A32" s="15" t="inlineStr">
        <is>
          <t>PERSON-031</t>
        </is>
      </c>
      <c r="B32" s="5" t="inlineStr">
        <is>
          <t>Gulzar</t>
        </is>
      </c>
      <c r="C32" s="5" t="inlineStr">
        <is>
          <t>Director; Writer</t>
        </is>
      </c>
      <c r="D32" s="17" t="n">
        <v>1934</v>
      </c>
      <c r="E32" s="18" t="n"/>
      <c r="F32" s="5" t="inlineStr">
        <is>
          <t>1956–present</t>
        </is>
      </c>
      <c r="G32" s="5" t="inlineStr">
        <is>
          <t>Hindi cinema and Urdu literature</t>
        </is>
      </c>
      <c r="H32" s="5" t="inlineStr">
        <is>
          <t>Born Sampooran Singh Kalra on 18 August 1934, an Urdu poet, lyricist, author, screenwriter and film director, regarded as one of the most important Urdu poets of the era. He began as a lyricist with S. D. Burman (PERSON-040) on Bandini (1963).</t>
        </is>
      </c>
      <c r="I32" s="5" t="inlineStr">
        <is>
          <t>Lyric writing from 1963; directing from the early 1970s with films including Aandhi and Mausam.</t>
        </is>
      </c>
      <c r="J32" s="5" t="inlineStr">
        <is>
          <t>With Kapoor: Baseraa (1981), New Delhi Times (1986), Ijaazat (1987). Elsewhere: Aandhi, Mausam and the television series Mirza Ghalib.</t>
        </is>
      </c>
      <c r="K32" s="19" t="inlineStr">
        <is>
          <t>Memory, separation and the unfinished relationship; marriage examined after the fact rather than during courtship.</t>
        </is>
      </c>
      <c r="L32" s="19" t="inlineStr">
        <is>
          <t>A poet's cinema — elliptical, quiet, built on withheld feeling and on dialogue that works by implication.</t>
        </is>
      </c>
      <c r="M32" s="5" t="inlineStr">
        <is>
          <t>Five National Film Awards, twenty-two Filmfare Awards, an Academy Award (2009), a Grammy (2010), the Sahitya Akademi Award (2002), the Padma Bhushan (2004), the Dadasaheb Phalke Award (2013) and the Jnanpith Award (2024).</t>
        </is>
      </c>
      <c r="N32" s="19" t="inlineStr">
        <is>
          <t>One of the most decorated figures in Indian arts and the leading literary voice inside Hindi cinema.</t>
        </is>
      </c>
      <c r="O32" s="19" t="inlineStr">
        <is>
          <t>Three films in the 1980s, all central to Kapoor's late reputation. He wrote Baseraa (1981) and New Delhi Times (1986) — the latter the political drama for which Kapoor won the National Film Award for Best Actor, directed by Ramesh Sharma (PERSON-080) — and both wrote and directed Ijaazat (1987), a three-hander on marriage and its remainder that is among the most admired films of his later career. In all three the romantic material is retrospective and unresolved rather than courtship-driven, which makes them unusual within this workbook's pattern.</t>
        </is>
      </c>
      <c r="P32" s="17" t="n">
        <v>3</v>
      </c>
      <c r="Q32" s="5" t="inlineStr">
        <is>
          <t>FILM-095; FILM-120; FILM-131</t>
        </is>
      </c>
      <c r="R32" s="5" t="inlineStr">
        <is>
          <t>New Delhi Times (1986)</t>
        </is>
      </c>
      <c r="S32" s="5" t="inlineStr">
        <is>
          <t>Gulzar wrote three Shashi Kapoor films in the 1980s and directed one of them, and together they account for much of the actor's late critical standing. He wrote New Delhi Times in 1986, in which Kapoor plays a newspaper editor pursuing a political murder through a system that gradually closes around him, and which won him the National Film Award for Best Actor; he wrote Baseraa in 1981, turning on a wife's mental illness and the sister who takes her place in the household; and he wrote and directed Ijaazat in 1987, a three-hander on a marriage reconstructed in a railway waiting room, adapted from a Subodh Ghosh story and scored by R. D. Burman. In all three the romantic material is retrospective and unresolved rather than courtship-driven, which makes them unusual within the patterns this workbook measures. Born Sampooran Singh Kalra in 1934, Gulzar entered films as a lyricist for S. D. Burman on Bandini and became the most decorated literary figure in Indian cinema, holding five National Film Awards, twenty-two Filmfare Awards, an Academy Award, a Grammy, the Padma Bhushan, the Dadasaheb Phalke Award and the Jnanpith.</t>
        </is>
      </c>
      <c r="T32" s="5" t="inlineStr">
        <is>
          <t>SOURCE-156</t>
        </is>
      </c>
      <c r="U32" s="5" t="inlineStr">
        <is>
          <t>High</t>
        </is>
      </c>
    </row>
    <row r="33" ht="109" customHeight="1">
      <c r="A33" s="15" t="inlineStr">
        <is>
          <t>PERSON-032</t>
        </is>
      </c>
      <c r="B33" s="5" t="inlineStr">
        <is>
          <t>K. A. Narayan</t>
        </is>
      </c>
      <c r="C33" s="5" t="inlineStr">
        <is>
          <t>Writer</t>
        </is>
      </c>
      <c r="D33" s="18" t="n"/>
      <c r="E33" s="18" t="n"/>
      <c r="F33" s="5" t="inlineStr">
        <is>
          <t>1957–1985</t>
        </is>
      </c>
      <c r="G33" s="5" t="inlineStr">
        <is>
          <t>Hindi cinema</t>
        </is>
      </c>
      <c r="H33" s="5" t="inlineStr">
        <is>
          <t>Also credited as K A Narayan and simply as Narayan. An Indian screenwriter active from 1957 until about 1985. His article is a stub and gives no dates of birth or death.</t>
        </is>
      </c>
      <c r="I33" s="5" t="inlineStr">
        <is>
          <t>Screenwriting from 1957.</t>
        </is>
      </c>
      <c r="J33" s="5" t="inlineStr">
        <is>
          <t>With Kapoor: Insaaniyat (1974), Chori Mera Kaam (1975), Neeyat (1980). Elsewhere: Ek Musafir Ek Hasina (1962), Geet Gaya Patharon Ne (1964), Jewel Thief (1967), Johny Mera Naam (1970) and Victoria No. 203 (1972).</t>
        </is>
      </c>
      <c r="K33" s="19" t="inlineStr">
        <is>
          <t>Caper and crime plots, concealed identity and the comic thriller.</t>
        </is>
      </c>
      <c r="L33" s="19" t="inlineStr">
        <is>
          <t>A plot constructor working in the caper idiom; his best-known films turn on disguise, theft and revelation.</t>
        </is>
      </c>
      <c r="M33" s="5" t="n"/>
      <c r="N33" s="19" t="inlineStr">
        <is>
          <t>The writer of Jewel Thief, Johny Mera Naam and Victoria No. 203, three of the most successful Hindi crime entertainments of their period.</t>
        </is>
      </c>
      <c r="O33" s="19" t="inlineStr">
        <is>
          <t>Three writing credits between 1974 and 1980: Insaaniyat, Chori Mera Kaam and Neeyat. Chori Mera Kaam, a caper directed by Brij Sadanah, is the most characteristic of his manner and the most successful of the three. His article lists his major films but does not mention Kapoor.</t>
        </is>
      </c>
      <c r="P33" s="17" t="n">
        <v>3</v>
      </c>
      <c r="Q33" s="5" t="inlineStr">
        <is>
          <t>FILM-047; FILM-054; FILM-093</t>
        </is>
      </c>
      <c r="R33" s="5" t="inlineStr">
        <is>
          <t>Chori Mera Kaam (1975)</t>
        </is>
      </c>
      <c r="S33" s="5" t="inlineStr">
        <is>
          <t>K. A. Narayan wrote three Shashi Kapoor films between 1974 and 1980 — Insaaniyat, Chori Mera Kaam and Neeyat — of which the middle one, a caper comedy directed by Brij Sadanah, best represents what he was known for. His larger reputation rests on films outside this filmography: Jewel Thief in 1967, Johny Mera Naam in 1970 and Victoria No. 203 in 1972, three of the most successful Hindi crime entertainments of their period, all built on the mechanics of disguise and theft that recur in his Kapoor scripts. His Wikipedia article is a stub: it dates his career from 1957 to about 1985 and lists his principal films, but records no birth or death date and nothing of his life. It does not mention Kapoor, and the entry is graded Medium.</t>
        </is>
      </c>
      <c r="T33" s="5" t="inlineStr">
        <is>
          <t>SOURCE-157</t>
        </is>
      </c>
      <c r="U33" s="5" t="inlineStr">
        <is>
          <t>Medium</t>
        </is>
      </c>
    </row>
    <row r="34" ht="184" customHeight="1">
      <c r="A34" s="15" t="inlineStr">
        <is>
          <t>PERSON-033</t>
        </is>
      </c>
      <c r="B34" s="5" t="inlineStr">
        <is>
          <t>Manoj Kumar</t>
        </is>
      </c>
      <c r="C34" s="5" t="inlineStr">
        <is>
          <t>Director; Producer; Writer</t>
        </is>
      </c>
      <c r="D34" s="17" t="n">
        <v>1937</v>
      </c>
      <c r="E34" s="17" t="n">
        <v>2025</v>
      </c>
      <c r="F34" s="5" t="inlineStr">
        <is>
          <t>1957–1999</t>
        </is>
      </c>
      <c r="G34" s="5" t="inlineStr">
        <is>
          <t>Hindi cinema</t>
        </is>
      </c>
      <c r="H34" s="5" t="inlineStr">
        <is>
          <t>Born Harikrishan Giri Goswami on 24 July 1937; died 4 April 2025. An actor, director, screenwriter, lyricist and editor who worked in some fifty-five films over four decades and became identified above all with patriotic subjects.</t>
        </is>
      </c>
      <c r="I34" s="5" t="inlineStr">
        <is>
          <t>Acting from 1957; his turn to direction followed Prime Minister Lal Bahadur Shastri's request, after the 1965 war, for a film built on the slogan Jai Jawan Jai Kisan.</t>
        </is>
      </c>
      <c r="J34" s="5" t="inlineStr">
        <is>
          <t>With Kapoor: Roti Kapda Aur Makaan (1974), Kranti (1981), Clerk (1989) — on all three he is director, producer and writer.</t>
        </is>
      </c>
      <c r="K34" s="19" t="inlineStr">
        <is>
          <t>Nation, duty and sacrifice; the honest citizen against institutional corruption; the patriotic historical epic.</t>
        </is>
      </c>
      <c r="L34" s="19" t="inlineStr">
        <is>
          <t>Declamatory and emblematic, organising large casts around a national argument rather than individual psychology.</t>
        </is>
      </c>
      <c r="M34" s="5" t="inlineStr">
        <is>
          <t>The Padma Shri in 1992 and the Dadasaheb Phalke Award in 2015; a National Film Award and seven Filmfare Awards.</t>
        </is>
      </c>
      <c r="N34" s="19" t="inlineStr">
        <is>
          <t>The filmmaker who made patriotic cinema a mass commercial genre in the 1960s and 1970s.</t>
        </is>
      </c>
      <c r="O34" s="19" t="inlineStr">
        <is>
          <t>Three films, on each of which Kumar is simultaneously director, producer and writer, so the collaboration is unusually concentrated in one person's control. Roti Kapda Aur Makaan (1974) is the significant one: it took one of the top two box-office places of its year and, with Chor Machaye Shor, made Kapoor one of the most saleable stars of the decade. Kranti (1981) is the large patriotic epic that followed, and Clerk (1989) a late and poorly received reunion. His article does not mention Kapoor.</t>
        </is>
      </c>
      <c r="P34" s="17" t="n">
        <v>3</v>
      </c>
      <c r="Q34" s="5" t="inlineStr">
        <is>
          <t>FILM-050; FILM-097; FILM-143</t>
        </is>
      </c>
      <c r="R34" s="5" t="inlineStr">
        <is>
          <t>Roti Kapda Aur Makaan (1974)</t>
        </is>
      </c>
      <c r="S34" s="5" t="inlineStr">
        <is>
          <t>Manoj Kumar directed, produced and wrote all three of his films with Shashi Kapoor, so the collaboration is unusually concentrated in one man's control. The first of them changed Kapoor's commercial standing: Roti Kapda Aur Makaan in 1974 was among the top two Hindi releases of its year and, together with Chor Machaye Shor released the same year, made him one of the most bankable stars of the decade. Kranti followed in 1981, a large patriotic epic with an ensemble cast, and Clerk in 1989 closed the association to little effect. Born Harikrishan Giri Goswami in 1937, Kumar built his career on films of national duty and sacrifice — a genre he effectively made commercial after Prime Minister Lal Bahadur Shastri asked him, following the 1965 war, for a film on the slogan Jai Jawan Jai Kisan — and worked as actor, director, writer, lyricist and editor across some fifty-five films. He received the Padma Shri in 1992 and the Dadasaheb Phalke Award in 2015, and died in April 2025. His article does not mention Kapoor.</t>
        </is>
      </c>
      <c r="T34" s="5" t="inlineStr">
        <is>
          <t>SOURCE-158</t>
        </is>
      </c>
      <c r="U34" s="5" t="inlineStr">
        <is>
          <t>High</t>
        </is>
      </c>
    </row>
    <row r="35" ht="199" customHeight="1">
      <c r="A35" s="15" t="inlineStr">
        <is>
          <t>PERSON-034</t>
        </is>
      </c>
      <c r="B35" s="5" t="inlineStr">
        <is>
          <t>R. K. Studios</t>
        </is>
      </c>
      <c r="C35" s="5" t="inlineStr">
        <is>
          <t>Production banner (studio facility)</t>
        </is>
      </c>
      <c r="D35" s="18" t="n"/>
      <c r="E35" s="18" t="n"/>
      <c r="F35" s="5" t="inlineStr">
        <is>
          <t>1948–2019</t>
        </is>
      </c>
      <c r="G35" s="5" t="inlineStr">
        <is>
          <t>Hindi cinema</t>
        </is>
      </c>
      <c r="H35" s="5" t="inlineStr">
        <is>
          <t>The studio at Chembur, Mumbai, established by Raj Kapoor (PERSON-036) in 1948 alongside his production company R. K. Films (PERSON-078). It has no Wikipedia article of its own; the source used here is the article on R. K. Films, which covers both. The studio was sold in 2019 after a fire.</t>
        </is>
      </c>
      <c r="I35" s="5" t="inlineStr">
        <is>
          <t>Founded in 1948, the year after independence; the company's first film, Aag, did not perform well.</t>
        </is>
      </c>
      <c r="J35" s="5" t="inlineStr">
        <is>
          <t>With Kapoor, as facility or banner: Roti Kapda Aur Makaan (1974), Mukti (1977), Satyam Shivam Sundaram (1978).</t>
        </is>
      </c>
      <c r="K35" s="19" t="inlineStr">
        <is>
          <t>The article notes that most R. K. productions share a theme of social criticism and of love across social divides.</t>
        </is>
      </c>
      <c r="L35" s="19" t="inlineStr">
        <is>
          <t>Not applicable; a studio rather than an individual.</t>
        </is>
      </c>
      <c r="M35" s="5" t="n"/>
      <c r="N35" s="19" t="inlineStr">
        <is>
          <t>The home of the Kapoor family's filmmaking and one of the most recognisable production houses in Indian cinema.</t>
        </is>
      </c>
      <c r="O35" s="19" t="inlineStr">
        <is>
          <t>Three films, and the nature of the credit differs between them. Satyam Shivam Sundaram (1978) is a genuine R. K. production, directed by Raj Kapoor with his youngest brother as the male lead. On Roti Kapda Aur Makaan (1974) and Mukti (1977) the credit is for the studio facility, those films having been made by other producers. The distinction matters: only one of the three implies the family company's creative involvement. The separate R. K. Films entry (PERSON-078) covers the two earliest films, Aag and Awaara.</t>
        </is>
      </c>
      <c r="P35" s="17" t="n">
        <v>3</v>
      </c>
      <c r="Q35" s="5" t="inlineStr">
        <is>
          <t>FILM-050; FILM-068; FILM-076</t>
        </is>
      </c>
      <c r="R35" s="5" t="inlineStr">
        <is>
          <t>Satyam Shivam Sundaram (1978)</t>
        </is>
      </c>
      <c r="S35" s="5" t="inlineStr">
        <is>
          <t>R. K. Studios appears on three Shashi Kapoor films, but only one of them is an R. K. picture in the full sense. Satyam Shivam Sundaram in 1978 was directed by Raj Kapoor and starred his youngest brother, the one occasion on which Shashi took an adult lead in a film made by the family company. On Roti Kapda Aur Makaan and Mukti the credit records the Chembur facility where the films were shot, not creative participation by the Kapoors, and the two kinds of credit are kept distinct here to avoid overstating the collaboration. The studio was established in 1948 alongside R. K. Films and became the most recognisable production address in Indian cinema before being sold in 2019 after a fire. It has no article of its own; the source is the R. K. Films article, which covers the studio as well.</t>
        </is>
      </c>
      <c r="T35" s="5" t="inlineStr">
        <is>
          <t>SOURCE-159</t>
        </is>
      </c>
      <c r="U35" s="5" t="inlineStr">
        <is>
          <t>Medium</t>
        </is>
      </c>
    </row>
    <row r="36" ht="124" customHeight="1">
      <c r="A36" s="15" t="inlineStr">
        <is>
          <t>PERSON-035</t>
        </is>
      </c>
      <c r="B36" s="5" t="inlineStr">
        <is>
          <t>Rahi Masoom Reza</t>
        </is>
      </c>
      <c r="C36" s="5" t="inlineStr">
        <is>
          <t>Writer</t>
        </is>
      </c>
      <c r="D36" s="17" t="n">
        <v>1927</v>
      </c>
      <c r="E36" s="17" t="n">
        <v>1992</v>
      </c>
      <c r="F36" s="5" t="inlineStr">
        <is>
          <t>1945–1992</t>
        </is>
      </c>
      <c r="G36" s="5" t="inlineStr">
        <is>
          <t>Hindi cinema, television and Urdu literature</t>
        </is>
      </c>
      <c r="H36" s="5" t="inlineStr">
        <is>
          <t>Born 1 September 1927; died 15 March 1992. An Urdu and Hindi poet, novelist and screenwriter who also wrote film lyrics. The name is also spelled Rahi Masoom Raza.</t>
        </is>
      </c>
      <c r="I36" s="5" t="inlineStr">
        <is>
          <t>Writing from 1945, initially as a poet and novelist.</t>
        </is>
      </c>
      <c r="J36" s="5" t="inlineStr">
        <is>
          <t>With Kapoor: Zameen Aasmaan (1984), Ilzaam (1986), Commando (1988). Elsewhere: Main Tulsi Tere Aangan Ki (1979), Tawaif (1985), Lamhe (1991) and the television Mahabharat.</t>
        </is>
      </c>
      <c r="K36" s="19" t="inlineStr">
        <is>
          <t>The moral argument conducted in dialogue; Urdu literary diction inside commercial forms.</t>
        </is>
      </c>
      <c r="L36" s="19" t="inlineStr">
        <is>
          <t>A poet and novelist writing dialogue of unusual literary weight for otherwise conventional commercial pictures.</t>
        </is>
      </c>
      <c r="M36" s="5" t="inlineStr">
        <is>
          <t>The Filmfare Award for Best Dialogue three times, for Main Tulsi Tere Aangan Ki (1979), Tawaif (1985) and Lamhe (1991).</t>
        </is>
      </c>
      <c r="N36" s="19" t="inlineStr">
        <is>
          <t>Best known for the screenplay and dialogue of the television Mahabharat, one of the most watched Indian television productions ever made, and a significant Urdu novelist in his own right.</t>
        </is>
      </c>
      <c r="O36" s="19" t="inlineStr">
        <is>
          <t>Three writing credits in the 1980s — Zameen Aasmaan (1984), Ilzaam (1986) and Commando (1988) — all in Kapoor's supporting and character phase. They are ordinary commercial pictures carrying dialogue by a writer of serious literary standing, which was Reza's characteristic position in the industry. His article does not mention Kapoor.</t>
        </is>
      </c>
      <c r="P36" s="17" t="n">
        <v>3</v>
      </c>
      <c r="Q36" s="5" t="inlineStr">
        <is>
          <t>FILM-113; FILM-123; FILM-134</t>
        </is>
      </c>
      <c r="R36" s="5" t="inlineStr">
        <is>
          <t>Ilzaam (1986)</t>
        </is>
      </c>
      <c r="S36" s="5" t="inlineStr">
        <is>
          <t>Rahi Masoom Reza wrote dialogue for three Shashi Kapoor films in the 1980s: Zameen Aasmaan, Ilzaam and Commando. All three are mainstream commercial pictures from the period in which Kapoor had moved into supporting and senior roles, and all three carry the work of a writer whose standing lay well outside such films. Born in 1927, Reza was a significant Urdu and Hindi poet and novelist who came to cinema in middle age and won the Filmfare Award for Best Dialogue three times, for Main Tulsi Tere Aangan Ki, Tawaif and Lamhe. His largest audience came from television: he wrote the screenplay and dialogue for Mahabharat, among the most widely watched Indian productions ever made. He died in 1992. His article does not mention Kapoor, and this entry rests on the credits together with his biography.</t>
        </is>
      </c>
      <c r="T36" s="5" t="inlineStr">
        <is>
          <t>SOURCE-160</t>
        </is>
      </c>
      <c r="U36" s="5" t="inlineStr">
        <is>
          <t>High</t>
        </is>
      </c>
    </row>
    <row r="37" ht="184" customHeight="1">
      <c r="A37" s="15" t="inlineStr">
        <is>
          <t>PERSON-036</t>
        </is>
      </c>
      <c r="B37" s="5" t="inlineStr">
        <is>
          <t>Raj Kapoor</t>
        </is>
      </c>
      <c r="C37" s="5" t="inlineStr">
        <is>
          <t>Director; Producer</t>
        </is>
      </c>
      <c r="D37" s="17" t="n">
        <v>1924</v>
      </c>
      <c r="E37" s="17" t="n">
        <v>1988</v>
      </c>
      <c r="F37" s="5" t="inlineStr">
        <is>
          <t>1935–1988</t>
        </is>
      </c>
      <c r="G37" s="5" t="inlineStr">
        <is>
          <t>Hindi cinema</t>
        </is>
      </c>
      <c r="H37" s="5" t="inlineStr">
        <is>
          <t>Born Ranbir Raj Kapoor on 14 December 1924 in Peshawar; died 2 June 1988. The eldest son of Prithviraj Kapoor and therefore Shashi Kapoor's eldest brother, he founded R. K. Films (PERSON-078) and R. K. Studios (PERSON-034) in 1948 and has been called the greatest showman of Indian cinema.</t>
        </is>
      </c>
      <c r="I37" s="5" t="inlineStr">
        <is>
          <t>Acting from 1935; Aag (1948) was his first film as director.</t>
        </is>
      </c>
      <c r="J37" s="5" t="inlineStr">
        <is>
          <t>With Kapoor: Aag (1948), Awaara (1951), Satyam Shivam Sundaram (1978). Elsewhere: Shree 420 (1955) and Mera Naam Joker (1970).</t>
        </is>
      </c>
      <c r="K37" s="19" t="inlineStr">
        <is>
          <t>Social criticism and love across class divides; the tramp figure adapted from Chaplin; spectacle used to carry moral argument.</t>
        </is>
      </c>
      <c r="L37" s="19" t="inlineStr">
        <is>
          <t>A showman's cinema of large emotion, music and image, with a persistent socialist sympathy beneath the spectacle.</t>
        </is>
      </c>
      <c r="M37" s="5" t="inlineStr">
        <is>
          <t>Three National Film Awards and eleven Filmfare Awards; his performance in Awaara was ranked among the top ten greatest performances of all time in a list his article cites.</t>
        </is>
      </c>
      <c r="N37" s="19" t="inlineStr">
        <is>
          <t>One of the most influential actors and filmmakers in the history of Indian cinema, and the figure through whom his youngest brother entered films.</t>
        </is>
      </c>
      <c r="O37" s="19" t="inlineStr">
        <is>
          <t>Three films, and they bracket the career at both ends. In Aag (1948) and Awaara (1951) the child Shashi plays the younger version of Raj's own character — the literal origin of his screen life, and the reason he was billed as Shashiraj. Twenty-seven years later Raj directed him as an adult lead in Satyam Shivam Sundaram (1978), a film built on the disfigured face and beautiful voice of Rupa, played by Zeenat Aman. It is the only time the brothers worked together as director and adult star.</t>
        </is>
      </c>
      <c r="P37" s="17" t="n">
        <v>3</v>
      </c>
      <c r="Q37" s="5" t="inlineStr">
        <is>
          <t>FILM-001; FILM-004; FILM-076</t>
        </is>
      </c>
      <c r="R37" s="5" t="inlineStr">
        <is>
          <t>Satyam Shivam Sundaram (1978)</t>
        </is>
      </c>
      <c r="S37" s="5" t="inlineStr">
        <is>
          <t>Raj Kapoor gave his youngest brother both his first screen appearance and, three decades later, one of his most discussed adult roles. In Aag in 1948, Raj Kapoor's debut as a director and the founding production of R. K. Films, the nine-year-old Shashi plays the child version of his brother's character; Awaara in 1951 repeats the arrangement, and those two performances are where this filmography begins, the reason he was billed Shashiraj. Twenty-seven years then pass before they work together again. Satyam Shivam Sundaram in 1978 cast the adult Shashi as the male lead of an R. K. production opposite Zeenat Aman, in a film about a disfigured face and a beautiful voice that drew large audiences and heavy criticism in roughly equal measure. Raj Kapoor, born in Peshawar in 1924 as the eldest son of Prithviraj Kapoor, founded R. K. Films in 1948 and became the most famous showman of Indian cinema, drawing on Chaplin for his tramp persona and pairing spectacle with social criticism; he won three National Film Awards and eleven Filmfare Awards, and died in 1988.</t>
        </is>
      </c>
      <c r="T37" s="5" t="inlineStr">
        <is>
          <t>SOURCE-161</t>
        </is>
      </c>
      <c r="U37" s="5" t="inlineStr">
        <is>
          <t>High</t>
        </is>
      </c>
    </row>
    <row r="38" ht="109" customHeight="1">
      <c r="A38" s="15" t="inlineStr">
        <is>
          <t>PERSON-037</t>
        </is>
      </c>
      <c r="B38" s="5" t="inlineStr">
        <is>
          <t>Ram Kelkar</t>
        </is>
      </c>
      <c r="C38" s="5" t="inlineStr">
        <is>
          <t>Writer</t>
        </is>
      </c>
      <c r="D38" s="18" t="n"/>
      <c r="E38" s="18" t="n"/>
      <c r="F38" s="5" t="n"/>
      <c r="G38" s="5" t="inlineStr">
        <is>
          <t>Hindi cinema</t>
        </is>
      </c>
      <c r="H38" s="5" t="inlineStr">
        <is>
          <t>No Wikipedia article exists for him, and none was found under any variant spelling. Everything here rests on the credits of the three films.</t>
        </is>
      </c>
      <c r="I38" s="5" t="n"/>
      <c r="J38" s="5" t="inlineStr">
        <is>
          <t>With Kapoor: Shankar Dada (1976), Hira Aur Patthar (1977), Ilzaam (1986).</t>
        </is>
      </c>
      <c r="K38" s="19" t="inlineStr">
        <is>
          <t>On the evidence of these credits, mainstream action and crime melodrama.</t>
        </is>
      </c>
      <c r="L38" s="19" t="inlineStr">
        <is>
          <t>Not established; no biographical source was located.</t>
        </is>
      </c>
      <c r="M38" s="5" t="n"/>
      <c r="N38" s="19" t="inlineStr">
        <is>
          <t>Not established.</t>
        </is>
      </c>
      <c r="O38" s="19" t="inlineStr">
        <is>
          <t>Three writing credits: Shankar Dada (1976) and Ilzaam (1986), both directed by Shibu Mitra (PERSON-024), and Hira Aur Patthar (1977). The link with Mitra is the only discernible pattern — two of the three are that director's films, a decade apart.</t>
        </is>
      </c>
      <c r="P38" s="17" t="n">
        <v>3</v>
      </c>
      <c r="Q38" s="5" t="inlineStr">
        <is>
          <t>FILM-061; FILM-063; FILM-123</t>
        </is>
      </c>
      <c r="R38" s="5" t="inlineStr">
        <is>
          <t>Ilzaam (1986)</t>
        </is>
      </c>
      <c r="S38" s="5" t="inlineStr">
        <is>
          <t>Ram Kelkar has three writing credits in this filmography: Shankar Dada in 1976, Hira Aur Patthar in 1977 and Ilzaam in 1986. Two of the three are films of Shibu Mitra, who appears separately in this sheet, and that association a decade apart is the only pattern the credits reveal. No Wikipedia article exists for him under this name or any variant attempted in research, and no other biographical source was found, so nothing can responsibly be said about his career beyond these films. Ilzaam is the most consequential of the three, a commercial success that launched Govinda and in which Kapoor plays the senior supporting figure. The entry is graded Low and rests entirely on the film credits.</t>
        </is>
      </c>
      <c r="T38" s="5" t="inlineStr">
        <is>
          <t>SOURCE-046; SOURCE-053; SOURCE-101</t>
        </is>
      </c>
      <c r="U38" s="5" t="inlineStr">
        <is>
          <t>Low</t>
        </is>
      </c>
    </row>
    <row r="39" ht="169" customHeight="1">
      <c r="A39" s="15" t="inlineStr">
        <is>
          <t>PERSON-038</t>
        </is>
      </c>
      <c r="B39" s="5" t="inlineStr">
        <is>
          <t>Ramesh Sippy</t>
        </is>
      </c>
      <c r="C39" s="5" t="inlineStr">
        <is>
          <t>Director; Producer</t>
        </is>
      </c>
      <c r="D39" s="18" t="n"/>
      <c r="E39" s="18" t="n"/>
      <c r="F39" s="5" t="n"/>
      <c r="G39" s="5" t="inlineStr">
        <is>
          <t>Hindi cinema</t>
        </is>
      </c>
      <c r="H39" s="5" t="inlineStr">
        <is>
          <t>Born Ramesh Sipahimalani, son of the producer G. P. Sippy (PERSON-059). An Indian film director, producer and actor in Hindi cinema; his article gives no birth date. In 2017 he founded the Ramesh Sippy Academy of Cinema &amp; Entertainment in Mumbai.</t>
        </is>
      </c>
      <c r="I39" s="5" t="inlineStr">
        <is>
          <t>Directing in the early 1970s; Sholay (1975) made his reputation.</t>
        </is>
      </c>
      <c r="J39" s="5" t="inlineStr">
        <is>
          <t>With Kapoor: Trishna (1978) as producer, Shaan (1980) and Akayla (1991) as director. Elsewhere: Sholay (1975), often described as one of the most influential Indian films ever made.</t>
        </is>
      </c>
      <c r="K39" s="19" t="inlineStr">
        <is>
          <t>The large-scale action ensemble; friendship and vengeance; the widescreen commercial spectacle.</t>
        </is>
      </c>
      <c r="L39" s="19" t="inlineStr">
        <is>
          <t>A director of scale and pace, working with big casts, elaborate action and a strong sense of screen geography.</t>
        </is>
      </c>
      <c r="M39" s="5" t="inlineStr">
        <is>
          <t>The Padma Shri in 2013.</t>
        </is>
      </c>
      <c r="N39" s="19" t="inlineStr">
        <is>
          <t>The director of Sholay, the defining Hindi blockbuster, whose success set the template for the multi-starrer form in which Kapoor spent his peak years.</t>
        </is>
      </c>
      <c r="O39" s="19" t="inlineStr">
        <is>
          <t>Three films across thirteen years. He produced Trishna (1978) and directed Shaan (1980) and Akayla (1991). Shaan is the significant one: made in the wake of Sholay, it is a large-scale caper in which Kapoor and Amitabh Bachchan play brothers, and it belongs to the run of ensemble films that dominates Kapoor's late-1970s and early-1980s work. Akayla, eleven years later, is a Bachchan vehicle in which Kapoor's part is much smaller. His article does not mention Kapoor.</t>
        </is>
      </c>
      <c r="P39" s="17" t="n">
        <v>3</v>
      </c>
      <c r="Q39" s="5" t="inlineStr">
        <is>
          <t>FILM-072; FILM-094; FILM-146</t>
        </is>
      </c>
      <c r="R39" s="5" t="inlineStr">
        <is>
          <t>Shaan (1980)</t>
        </is>
      </c>
      <c r="S39" s="5" t="inlineStr">
        <is>
          <t>Ramesh Sippy directed two Shashi Kapoor films and produced a third. Shaan in 1980 is the one that matters: made immediately after Sholay, the film that had made Sippy's name and reshaped Hindi commercial cinema, it is a large-scale caper in which Kapoor and Amitabh Bachchan play brothers, and it sits squarely inside the multi-starrer cycle that defines Kapoor's peak. He had produced Trishna two years earlier, an Anil Ganguly melodrama pairing Kapoor with Raakhee at the quieter end of his output, and returned in 1991 with Akayla, by which time Kapoor's role was supporting in a Bachchan vehicle written by Salim Khan alone. Sippy is the son of the producer G. P. Sippy, who also appears in this sheet and produced two of these three films, so the association is really with a family company. Born Ramesh Sipahimalani, he received the Padma Shri in 2013 and founded a film academy in Mumbai in 2017. His article is brief, gives no birth date and does not mention Kapoor.</t>
        </is>
      </c>
      <c r="T39" s="5" t="inlineStr">
        <is>
          <t>SOURCE-162</t>
        </is>
      </c>
      <c r="U39" s="5" t="inlineStr">
        <is>
          <t>High</t>
        </is>
      </c>
    </row>
    <row r="40" ht="184" customHeight="1">
      <c r="A40" s="15" t="inlineStr">
        <is>
          <t>PERSON-039</t>
        </is>
      </c>
      <c r="B40" s="5" t="inlineStr">
        <is>
          <t>Ramesh Talwar</t>
        </is>
      </c>
      <c r="C40" s="5" t="inlineStr">
        <is>
          <t>Director</t>
        </is>
      </c>
      <c r="D40" s="18" t="n"/>
      <c r="E40" s="18" t="n"/>
      <c r="F40" s="5" t="inlineStr">
        <is>
          <t>1969–present</t>
        </is>
      </c>
      <c r="G40" s="5" t="inlineStr">
        <is>
          <t>Hindi cinema, theatre and television</t>
        </is>
      </c>
      <c r="H40" s="5" t="inlineStr">
        <is>
          <t>Born Ramesh Attarchand Talwar. A film, theatre and television director, co-producer and actor, and the nephew of the writer Sagar Sarhadi (PERSON-020). He began as a child artist in Dhool Ka Phool (1959), Love in Simla (1960) and Phool Aur Kaliyan (1960).</t>
        </is>
      </c>
      <c r="I40" s="5" t="inlineStr">
        <is>
          <t>Assistant director to Yash Chopra (PERSON-005) from 1969 to 1979; directing in his own right from 1977 with Doosra Aadmi.</t>
        </is>
      </c>
      <c r="J40" s="5" t="inlineStr">
        <is>
          <t>With Kapoor: Doosra Aadmi (1977), Baseraa (1981), Sawaal (1982). He has also directed extensively in the theatre.</t>
        </is>
      </c>
      <c r="K40" s="19" t="inlineStr">
        <is>
          <t>Domestic and romantic drama in the Yash Chopra manner: second attachments, marriages under strain and the pull of the past.</t>
        </is>
      </c>
      <c r="L40" s="19" t="inlineStr">
        <is>
          <t>A director formed inside the Chopra house style, working with its writers, its banner and its preference for interior emotional conflict.</t>
        </is>
      </c>
      <c r="M40" s="5" t="inlineStr">
        <is>
          <t>A Filmfare Best Director nomination for Baseraa (1981).</t>
        </is>
      </c>
      <c r="N40" s="19" t="inlineStr">
        <is>
          <t>Principally as the closest inheritor of the Yash Chopra idiom in the late 1970s and early 1980s.</t>
        </is>
      </c>
      <c r="O40" s="19" t="inlineStr">
        <is>
          <t>Three films, all of them Yash Chopra productions and all with Kapoor in the lead: Doosra Aadmi (1977), Baseraa (1981) and Sawaal (1982). Two were written by his uncle Sagar Sarhadi and one by Gulzar (PERSON-031). These are among the most romantically substantial films of Kapoor's later career — Doosra Aadmi turns on a younger woman's attachment to a married man, Baseraa on a wife's illness and a sister's substitution — and they supply several of the more ambivalent rows in the Romances sheet.</t>
        </is>
      </c>
      <c r="P40" s="17" t="n">
        <v>3</v>
      </c>
      <c r="Q40" s="5" t="inlineStr">
        <is>
          <t>FILM-069; FILM-095; FILM-106</t>
        </is>
      </c>
      <c r="R40" s="5" t="inlineStr">
        <is>
          <t>Baseraa (1981)</t>
        </is>
      </c>
      <c r="S40" s="5" t="inlineStr">
        <is>
          <t>Ramesh Talwar directed three Shashi Kapoor films, all produced by Yash Chopra and all giving Kapoor the lead at a point when he was more often one name among many in a large ensemble. Doosra Aadmi in 1977, written by his uncle Sagar Sarhadi, turns on a young woman's attachment to an older married man; Baseraa in 1981, written by Gulzar, on a wife's mental illness and her sister's place in the household; Sawaal followed in 1982, again with Sarhadi writing and Khayyam composing. These are among the most romantically substantial films of his later career, and they supply several of the more ambivalent rows in this workbook's Romances sheet. Talwar had been Chopra's assistant director from 1969 to 1979 and absorbed the house idiom thoroughly — interior conflict, belated attachment, the past pressing on the present — and Baseraa brought him a Filmfare Best Director nomination. Born Ramesh Attarchand Talwar, he began as a child artist in Dhool Ka Phool and Love in Simla and has directed extensively in the theatre. His article does not mention Kapoor.</t>
        </is>
      </c>
      <c r="T40" s="5" t="inlineStr">
        <is>
          <t>SOURCE-163</t>
        </is>
      </c>
      <c r="U40" s="5" t="inlineStr">
        <is>
          <t>High</t>
        </is>
      </c>
    </row>
    <row r="41" ht="154" customHeight="1">
      <c r="A41" s="15" t="inlineStr">
        <is>
          <t>PERSON-040</t>
        </is>
      </c>
      <c r="B41" s="5" t="inlineStr">
        <is>
          <t>S. D. Burman</t>
        </is>
      </c>
      <c r="C41" s="5" t="inlineStr">
        <is>
          <t>Song composer</t>
        </is>
      </c>
      <c r="D41" s="17" t="n">
        <v>1906</v>
      </c>
      <c r="E41" s="17" t="n">
        <v>1975</v>
      </c>
      <c r="F41" s="5" t="inlineStr">
        <is>
          <t>1932–1975</t>
        </is>
      </c>
      <c r="G41" s="5" t="inlineStr">
        <is>
          <t>Hindi and Bengali cinema</t>
        </is>
      </c>
      <c r="H41" s="5" t="inlineStr">
        <is>
          <t>Born Sachin Dev Burman on 1 October 1906 into the Tripura royal family; died 31 October 1975. He began in Bengali films in 1937 and became one of the most influential Hindi film composers, scoring more than a hundred films. He was the father of R. D. Burman (PERSON-003).</t>
        </is>
      </c>
      <c r="I41" s="5" t="inlineStr">
        <is>
          <t>Composing from 1932; his Hindi career began in the 1940s.</t>
        </is>
      </c>
      <c r="J41" s="5" t="inlineStr">
        <is>
          <t>With Kapoor: Benazir (1964), Sharmeelee (1971), Deewaangee (1976). Elsewhere: Chalti Ka Naam Gaadi (1958) and Sujata.</t>
        </is>
      </c>
      <c r="K41" s="19" t="inlineStr">
        <is>
          <t>Folk music of East Bengal, Hindustani classical material and light semi-classical song, absorbed into film melody.</t>
        </is>
      </c>
      <c r="L41" s="19" t="inlineStr">
        <is>
          <t>A composer who drew on folk idiom and everyday sound, and who sang himself in a distinctive unpolished voice.</t>
        </is>
      </c>
      <c r="M41" s="5" t="inlineStr">
        <is>
          <t>The Sangeet Natak Akademi Award for his compositions in Sujata — his article notes he remains the only music director to have won it.</t>
        </is>
      </c>
      <c r="N41" s="19" t="inlineStr">
        <is>
          <t>One of the small group of composers who defined the sound of Hindi cinema's golden age, and the founder of a two-generation musical dynasty.</t>
        </is>
      </c>
      <c r="O41" s="19" t="inlineStr">
        <is>
          <t>Three films, all song credits, across twelve years: Benazir (1964), Sharmeelee (1971) and Deewaangee, released in 1976 after his death in October 1975. Sharmeelee is the important one — a major success of Kapoor's star period opposite Raakhee, with a soundtrack that remains among the best known of his films. His son R. D. Burman worked with Kapoor eleven times, so between them the Burmans scored fourteen of these films.</t>
        </is>
      </c>
      <c r="P41" s="17" t="n">
        <v>3</v>
      </c>
      <c r="Q41" s="5" t="inlineStr">
        <is>
          <t>FILM-014; FILM-037; FILM-058</t>
        </is>
      </c>
      <c r="R41" s="5" t="inlineStr">
        <is>
          <t>Sharmeelee (1971)</t>
        </is>
      </c>
      <c r="S41" s="5" t="inlineStr">
        <is>
          <t>Sachin Dev Burman scored three Shashi Kapoor films, the most important of them Sharmeelee in 1971, a major success of the actor's star period whose songs are among the best remembered of his career, with Raakhee in a double role as twin sisters. Benazir came in 1964, made under Bimal Roy's banner during the uncertain years before Kapoor's stardom, and Deewaangee in 1976, released after the composer's death in October 1975 and sharing its song credit with Ravindra Jain. Born in 1906 into the Tripura royal family, Burman began in Bengali cinema in 1937 and became one of the defining composers of the Hindi golden age, scoring more than a hundred films and drawing openly on the folk music of East Bengal and on Hindustani classical material; he sang as well, in an unmistakable unpolished voice, and remains the only music director to have received the Sangeet Natak Akademi Award, for Sujata. His son R. D. Burman scored eleven Kapoor films, so father and son together account for fourteen. His article does not mention Kapoor.</t>
        </is>
      </c>
      <c r="T41" s="5" t="inlineStr">
        <is>
          <t>SOURCE-164</t>
        </is>
      </c>
      <c r="U41" s="5" t="inlineStr">
        <is>
          <t>High</t>
        </is>
      </c>
    </row>
    <row r="42" ht="124" customHeight="1">
      <c r="A42" s="15" t="inlineStr">
        <is>
          <t>PERSON-041</t>
        </is>
      </c>
      <c r="B42" s="5" t="inlineStr">
        <is>
          <t>S. K. Kapur</t>
        </is>
      </c>
      <c r="C42" s="5" t="inlineStr">
        <is>
          <t>Producer</t>
        </is>
      </c>
      <c r="D42" s="18" t="n"/>
      <c r="E42" s="18" t="n"/>
      <c r="F42" s="5" t="n"/>
      <c r="G42" s="5" t="inlineStr">
        <is>
          <t>Hindi cinema</t>
        </is>
      </c>
      <c r="H42" s="5" t="inlineStr">
        <is>
          <t>No Wikipedia article exists for him, and none was found under any variant spelling. Everything here rests on the credits of the three films.</t>
        </is>
      </c>
      <c r="I42" s="5" t="n"/>
      <c r="J42" s="5" t="inlineStr">
        <is>
          <t>With Kapoor: Shankar Dada (1976), Apna Khoon (1978), Maan Gaye Ustaad (1981).</t>
        </is>
      </c>
      <c r="K42" s="19" t="inlineStr">
        <is>
          <t>Commercial action melodrama of the late 1970s and early 1980s.</t>
        </is>
      </c>
      <c r="L42" s="19" t="inlineStr">
        <is>
          <t>Not applicable; no biographical source was located.</t>
        </is>
      </c>
      <c r="M42" s="5" t="n"/>
      <c r="N42" s="19" t="inlineStr">
        <is>
          <t>Not established.</t>
        </is>
      </c>
      <c r="O42" s="19" t="inlineStr">
        <is>
          <t>Three producing credits in five years — Shankar Dada (1976), Apna Khoon (1978) and Maan Gaye Ustaad (1981) — all Kapoor star vehicles of the action register, and all three sharing their composer, the duo Sonik Omi (PERSON-044), which suggests a small recurring production unit rather than three unrelated engagements.</t>
        </is>
      </c>
      <c r="P42" s="17" t="n">
        <v>3</v>
      </c>
      <c r="Q42" s="5" t="inlineStr">
        <is>
          <t>FILM-061; FILM-080; FILM-099</t>
        </is>
      </c>
      <c r="R42" s="5" t="inlineStr">
        <is>
          <t>Shankar Dada (1976)</t>
        </is>
      </c>
      <c r="S42" s="5" t="inlineStr">
        <is>
          <t>S. K. Kapur produced three Shashi Kapoor films between 1976 and 1981: Shankar Dada, Apna Khoon and Maan Gaye Ustaad. The three hang together as a unit — all action vehicles with Kapoor in the lead, and all scored by the composing duo Sonik Omi, who likewise worked on no other film in this filmography — which suggests a single small production outfit returning to the same star and the same collaborators rather than three separate arrangements. Nothing further can be established: no Wikipedia article exists under this name or any variant tried during research, and no other biographical source was located. The entry is graded Low and rests entirely on the credits of the three films.</t>
        </is>
      </c>
      <c r="T42" s="5" t="inlineStr">
        <is>
          <t>SOURCE-046; SOURCE-065; SOURCE-084</t>
        </is>
      </c>
      <c r="U42" s="5" t="inlineStr">
        <is>
          <t>Low</t>
        </is>
      </c>
    </row>
    <row r="43" ht="169" customHeight="1">
      <c r="A43" s="15" t="inlineStr">
        <is>
          <t>PERSON-042</t>
        </is>
      </c>
      <c r="B43" s="5" t="inlineStr">
        <is>
          <t>Salil Chowdhury</t>
        </is>
      </c>
      <c r="C43" s="5" t="inlineStr">
        <is>
          <t>Song composer; Background-score composer; Writer</t>
        </is>
      </c>
      <c r="D43" s="17" t="n">
        <v>1925</v>
      </c>
      <c r="E43" s="17" t="n">
        <v>1995</v>
      </c>
      <c r="F43" s="5" t="inlineStr">
        <is>
          <t>1949–1995</t>
        </is>
      </c>
      <c r="G43" s="5" t="inlineStr">
        <is>
          <t>Bengali, Hindi and Malayalam cinema</t>
        </is>
      </c>
      <c r="H43" s="5" t="inlineStr">
        <is>
          <t>Born 19 November 1925; died 5 September 1995. A music director, songwriter, lyricist, writer and poet who composed for films in thirteen languages, including more than seventy-five Hindi, forty-one Bengali and twenty-seven Malayalam films. His article's short description gives his birth year as 1922, which conflicts with the 1925 date in its own opening sentence; the discrepancy is unresolved.</t>
        </is>
      </c>
      <c r="I43" s="5" t="inlineStr">
        <is>
          <t>Paribortan (1949) in Bengali; he moved to Bombay in 1953.</t>
        </is>
      </c>
      <c r="J43" s="5" t="inlineStr">
        <is>
          <t>With Kapoor: Prem Patra (1962), Kaala Patthar (1979), Swami Vivekananda (1998). His last Bengali score was Mahabharati (1994).</t>
        </is>
      </c>
      <c r="K43" s="19" t="inlineStr">
        <is>
          <t>Bengali folk and Western classical material fused with film melody; a political sensibility formed in the left cultural movement.</t>
        </is>
      </c>
      <c r="L43" s="19" t="inlineStr">
        <is>
          <t>An accomplished composer and arranger, proficient on flute, piano and esraj, known for choral and orchestral writing unusual in Indian film music; he also wrote poetry and screen stories.</t>
        </is>
      </c>
      <c r="M43" s="5" t="inlineStr">
        <is>
          <t>The article records wide recognition across three film industries rather than a single dominant award.</t>
        </is>
      </c>
      <c r="N43" s="19" t="inlineStr">
        <is>
          <t>One of the most musically sophisticated composers to work in Indian cinema, and among the very few to hold major careers in Bengali, Hindi and Malayalam film simultaneously.</t>
        </is>
      </c>
      <c r="O43" s="19" t="inlineStr">
        <is>
          <t>Three films spread across thirty-six years, and each involves a different function. On Prem Patra (1962), Bimal Roy's film and one of Kapoor's early successes, he is both song composer and a credited writer. On Kaala Patthar (1979) he provides the background score while the songs are by Rajesh Roshan (PERSON-017). On Swami Vivekananda (1998), one of Kapoor's last films, he is again song composer, the credit appearing three years after his death.</t>
        </is>
      </c>
      <c r="P43" s="17" t="n">
        <v>3</v>
      </c>
      <c r="Q43" s="5" t="inlineStr">
        <is>
          <t>FILM-008; FILM-085; FILM-152</t>
        </is>
      </c>
      <c r="R43" s="5" t="inlineStr">
        <is>
          <t>Prem Patra (1962)</t>
        </is>
      </c>
      <c r="S43" s="5" t="inlineStr">
        <is>
          <t>Salil Chowdhury worked on three Shashi Kapoor films in three different capacities across thirty-six years. On Bimal Roy's Prem Patra in 1962 he composed the songs and took a writing credit, in one of the earliest and most distinguished productions of Kapoor's adult career, made when Dharmputra had failed and his future as a leading man was still unsettled. On Kaala Patthar in 1979 he wrote only the background score, the songs going to Rajesh Roshan. And on Swami Vivekananda, released in 1998, he is credited with songs three years after his death. Born in Bengal in 1925 — his article's short description says 1922, contradicting its own opening sentence, and the discrepancy is unresolved — Chowdhury composed for films in thirteen languages, including more than seventy-five Hindi, forty-one Bengali and twenty-seven Malayalam titles, holding simultaneous careers in three industries. He was an accomplished arranger proficient on flute, piano and esraj, with a command of choral and orchestral writing rare in the industry, and published poetry in Bengali besides. His article does not mention Kapoor.</t>
        </is>
      </c>
      <c r="T43" s="5" t="inlineStr">
        <is>
          <t>SOURCE-165</t>
        </is>
      </c>
      <c r="U43" s="5" t="inlineStr">
        <is>
          <t>Medium</t>
        </is>
      </c>
    </row>
    <row r="44" ht="139" customHeight="1">
      <c r="A44" s="15" t="inlineStr">
        <is>
          <t>PERSON-043</t>
        </is>
      </c>
      <c r="B44" s="5" t="inlineStr">
        <is>
          <t>Shyam Sunder Shivdasani</t>
        </is>
      </c>
      <c r="C44" s="5" t="inlineStr">
        <is>
          <t>Producer</t>
        </is>
      </c>
      <c r="D44" s="18" t="n"/>
      <c r="E44" s="18" t="n"/>
      <c r="F44" s="5" t="n"/>
      <c r="G44" s="5" t="inlineStr">
        <is>
          <t>Hindi cinema</t>
        </is>
      </c>
      <c r="H44" s="5" t="inlineStr">
        <is>
          <t>No Wikipedia article exists for him under this spelling or the variant Shyamsunder Shivdasani. Everything here rests on the credits of the three films.</t>
        </is>
      </c>
      <c r="I44" s="5" t="n"/>
      <c r="J44" s="5" t="inlineStr">
        <is>
          <t>With Kapoor: Paap Aur Punya (1974), Chor Sipahee (1977), Gautam Govinda (1979).</t>
        </is>
      </c>
      <c r="K44" s="19" t="inlineStr">
        <is>
          <t>Commercial action and crime pictures of the 1970s.</t>
        </is>
      </c>
      <c r="L44" s="19" t="inlineStr">
        <is>
          <t>Not applicable; no biographical source was located.</t>
        </is>
      </c>
      <c r="M44" s="5" t="n"/>
      <c r="N44" s="19" t="inlineStr">
        <is>
          <t>Not established.</t>
        </is>
      </c>
      <c r="O44" s="19" t="inlineStr">
        <is>
          <t>Three producing credits between 1974 and 1979. Two of the three — Paap Aur Punya (1974) and Chor Sipahee (1977) — were directed by Prayag Raj (PERSON-009), who likewise has no Wikipedia article, so this small recurring unit of producer and director is entirely undocumented outside the films themselves. All three are Kapoor vehicles of his peak commercial period.</t>
        </is>
      </c>
      <c r="P44" s="17" t="n">
        <v>3</v>
      </c>
      <c r="Q44" s="5" t="inlineStr">
        <is>
          <t>FILM-049; FILM-065; FILM-083</t>
        </is>
      </c>
      <c r="R44" s="5" t="inlineStr">
        <is>
          <t>Chor Sipahee (1977)</t>
        </is>
      </c>
      <c r="S44" s="5" t="inlineStr">
        <is>
          <t>Shyam Sunder Shivdasani produced three Shashi Kapoor films in the actor's busiest commercial years: Paap Aur Punya in 1974, Chor Sipahee in 1977 and Gautam Govinda in 1979. Two of them were directed by Prayag Raj, and the pairing of this producer with that director forms a small recurring unit in the filmography — one for which no biographical record survives on either side, since neither man has a Wikipedia article. No source was found under this spelling or under Shyamsunder Shivdasani. What can be said is limited to the credits: three mainstream vehicles, made within five years, with Kapoor in the lead and a consistent creative team behind them. The entry is graded Low.</t>
        </is>
      </c>
      <c r="T44" s="5" t="inlineStr">
        <is>
          <t>SOURCE-036; SOURCE-057; SOURCE-070</t>
        </is>
      </c>
      <c r="U44" s="5" t="inlineStr">
        <is>
          <t>Low</t>
        </is>
      </c>
    </row>
    <row r="45" ht="124" customHeight="1">
      <c r="A45" s="15" t="inlineStr">
        <is>
          <t>PERSON-044</t>
        </is>
      </c>
      <c r="B45" s="5" t="inlineStr">
        <is>
          <t>Sonik Omi</t>
        </is>
      </c>
      <c r="C45" s="5" t="inlineStr">
        <is>
          <t>Song composer (composing duo)</t>
        </is>
      </c>
      <c r="D45" s="18" t="n"/>
      <c r="E45" s="18" t="n"/>
      <c r="F45" s="5" t="n"/>
      <c r="G45" s="5" t="inlineStr">
        <is>
          <t>Hindi cinema</t>
        </is>
      </c>
      <c r="H45" s="5" t="inlineStr">
        <is>
          <t>No Wikipedia article was found for this composing duo under the credited spelling or under the variants Sonik-Omi and Sonik–Omi. Everything here rests on the credits of the three films.</t>
        </is>
      </c>
      <c r="I45" s="5" t="n"/>
      <c r="J45" s="5" t="inlineStr">
        <is>
          <t>With Kapoor: Shankar Dada (1976), Apna Khoon (1978), Maan Gaye Ustaad (1981).</t>
        </is>
      </c>
      <c r="K45" s="19" t="inlineStr">
        <is>
          <t>Songs for commercial action melodrama of the late 1970s.</t>
        </is>
      </c>
      <c r="L45" s="19" t="inlineStr">
        <is>
          <t>Not established; no biographical source was located.</t>
        </is>
      </c>
      <c r="M45" s="5" t="n"/>
      <c r="N45" s="19" t="inlineStr">
        <is>
          <t>Not established.</t>
        </is>
      </c>
      <c r="O45" s="19" t="inlineStr">
        <is>
          <t>Three song credits, and they coincide exactly with the three films produced by S. K. Kapur (PERSON-041) — Shankar Dada (1976), Apna Khoon (1978) and Maan Gaye Ustaad (1981). The duo appears nowhere else in this filmography, which confirms that the association is with that producer's unit rather than with the actor.</t>
        </is>
      </c>
      <c r="P45" s="17" t="n">
        <v>3</v>
      </c>
      <c r="Q45" s="5" t="inlineStr">
        <is>
          <t>FILM-061; FILM-080; FILM-099</t>
        </is>
      </c>
      <c r="R45" s="5" t="inlineStr">
        <is>
          <t>Shankar Dada (1976)</t>
        </is>
      </c>
      <c r="S45" s="5" t="inlineStr">
        <is>
          <t>Sonik Omi composed the songs for three Shashi Kapoor films — Shankar Dada in 1976, Apna Khoon in 1978 and Maan Gaye Ustaad in 1981 — and for no others in this filmography. The three are precisely the films produced by S. K. Kapur, so the duo's presence follows that producer rather than the star: a small, self-contained unit working repeatedly with the same lead. No Wikipedia article was located for them under the credited spelling or under the hyphenated and en-dashed variants attempted in research, so nothing can be said of their wider output, their membership or their dates. The entry is graded Low and rests on the film credits alone.</t>
        </is>
      </c>
      <c r="T45" s="5" t="inlineStr">
        <is>
          <t>SOURCE-046; SOURCE-065; SOURCE-084</t>
        </is>
      </c>
      <c r="U45" s="5" t="inlineStr">
        <is>
          <t>Low</t>
        </is>
      </c>
    </row>
    <row r="46" ht="169" customHeight="1">
      <c r="A46" s="15" t="inlineStr">
        <is>
          <t>PERSON-045</t>
        </is>
      </c>
      <c r="B46" s="5" t="inlineStr">
        <is>
          <t>Subodh Mukherjee</t>
        </is>
      </c>
      <c r="C46" s="5" t="inlineStr">
        <is>
          <t>Director; Producer; Writer</t>
        </is>
      </c>
      <c r="D46" s="17" t="n">
        <v>1921</v>
      </c>
      <c r="E46" s="17" t="n">
        <v>2005</v>
      </c>
      <c r="F46" s="5" t="inlineStr">
        <is>
          <t>1953–1986</t>
        </is>
      </c>
      <c r="G46" s="5" t="inlineStr">
        <is>
          <t>Hindi cinema</t>
        </is>
      </c>
      <c r="H46" s="5" t="inlineStr">
        <is>
          <t>Born 14 April 1921; died 21 May 2005, aged 84. A producer and director of Hindi-language films, and the brother of the leading producer-director Sashadhar Mukherjee. The surname is also spelled Mukerji. His article is short.</t>
        </is>
      </c>
      <c r="I46" s="5" t="inlineStr">
        <is>
          <t>Filmmaking from 1953.</t>
        </is>
      </c>
      <c r="J46" s="5" t="inlineStr">
        <is>
          <t>With Kapoor: Abhinetri (1970), Sharmeelee (1971), Deewaangee (1976).</t>
        </is>
      </c>
      <c r="K46" s="19" t="inlineStr">
        <is>
          <t>Romantic and domestic comedy-drama; on the evidence of these films, plots turning on doubling and on temperamental opposites.</t>
        </is>
      </c>
      <c r="L46" s="19" t="inlineStr">
        <is>
          <t>Not assessed in the article; the films themselves are mainstream romantic entertainments of high commercial polish.</t>
        </is>
      </c>
      <c r="M46" s="5" t="n"/>
      <c r="N46" s="19" t="inlineStr">
        <is>
          <t>A member of the Mukherjee filmmaking family, one of the most powerful production dynasties of mid-century Hindi cinema.</t>
        </is>
      </c>
      <c r="O46" s="19" t="inlineStr">
        <is>
          <t>Three films in seven years. He directed, produced and wrote Abhinetri (1970), and produced Sharmeelee (1971) and Deewaangee (1976), both directed by Samir Ganguly (PERSON-021). Sharmeelee is the significant one — a major romantic success with Raakhee as twin sisters — and this producer-director pairing accounts for two of Kapoor's most characteristic star-period vehicles.</t>
        </is>
      </c>
      <c r="P46" s="17" t="n">
        <v>3</v>
      </c>
      <c r="Q46" s="5" t="inlineStr">
        <is>
          <t>FILM-032; FILM-037; FILM-058</t>
        </is>
      </c>
      <c r="R46" s="5" t="inlineStr">
        <is>
          <t>Sharmeelee (1971)</t>
        </is>
      </c>
      <c r="S46" s="5" t="inlineStr">
        <is>
          <t>Subodh Mukherjee produced three Shashi Kapoor films and directed one of them. Abhinetri in 1970 he directed, produced and wrote himself, with a script shared among five credited writers; Sharmeelee in 1971 and Deewaangee in 1976 he produced for the director Samir Ganguly. Sharmeelee is much the most important of the three, a romantic hit in which Raakhee plays twin sisters of opposite temperament opposite Kapoor, scored by S. D. Burman, and it belongs to the core of his star period; Deewaangee closed the association with songs credited to both Ravindra Jain and S. D. Burman, the latter posthumously. Born in 1921 and active from 1953 to 1986, Mukherjee was a brother of the producer-director Sashadhar Mukherjee and part of one of the most powerful filmmaking families of mid-century Bombay, a family whose reach extended across several studios and decades. His Wikipedia article is brief — little more than dates, the description 'filmmaker, producer and director', and that family connection — and does not mention Kapoor, so this entry rests largely on the credits. It is graded Medium.</t>
        </is>
      </c>
      <c r="T46" s="5" t="inlineStr">
        <is>
          <t>SOURCE-166</t>
        </is>
      </c>
      <c r="U46" s="5" t="inlineStr">
        <is>
          <t>Medium</t>
        </is>
      </c>
    </row>
    <row r="47" ht="184" customHeight="1">
      <c r="A47" s="15" t="inlineStr">
        <is>
          <t>PERSON-046</t>
        </is>
      </c>
      <c r="B47" s="5" t="inlineStr">
        <is>
          <t>Suraj Prakash</t>
        </is>
      </c>
      <c r="C47" s="5" t="inlineStr">
        <is>
          <t>Director; Producer</t>
        </is>
      </c>
      <c r="D47" s="18" t="n"/>
      <c r="E47" s="18" t="n"/>
      <c r="F47" s="5" t="n"/>
      <c r="G47" s="5" t="inlineStr">
        <is>
          <t>Hindi cinema</t>
        </is>
      </c>
      <c r="H47" s="5" t="inlineStr">
        <is>
          <t>No Wikipedia article exists for him. The title 'Suraj Prakash' holds an article about an 1843 Sikh text by Kavi Santokh Singh, a different subject entirely, and no biographical article was found under any variant. Everything here rests on the credits of the three films.</t>
        </is>
      </c>
      <c r="I47" s="5" t="n"/>
      <c r="J47" s="5" t="inlineStr">
        <is>
          <t>With Kapoor, as director: Jab Jab Phool Khile (1965) and Raja Saab (1969). As director and producer: Aamne Samne (1967).</t>
        </is>
      </c>
      <c r="K47" s="19" t="inlineStr">
        <is>
          <t>Romantic drama built on class difference — the boatman and the heiress of Jab Jab Phool Khile is the clearest instance.</t>
        </is>
      </c>
      <c r="L47" s="19" t="inlineStr">
        <is>
          <t>Not established; no biographical source was located.</t>
        </is>
      </c>
      <c r="M47" s="5" t="n"/>
      <c r="N47" s="19" t="inlineStr">
        <is>
          <t>Not established from any available source, which is a striking gap given that he directed the single most important film of Kapoor's early stardom.</t>
        </is>
      </c>
      <c r="O47" s="19" t="inlineStr">
        <is>
          <t>Three films in five years, and the first is among the most consequential in the whole filmography. Jab Jab Phool Khile (1965) made Kapoor a star, won him the BFJA Best Actor award, and fixed the gentle, courteous romantic persona that this workbook's scoring is largely built to measure; its Kashmiri boatman opposite Nanda's wealthy visitor is the template for much that follows. Aamne Samne (1967) and Raja Saab (1969) continued the association through the rest of the decade.</t>
        </is>
      </c>
      <c r="P47" s="17" t="n">
        <v>3</v>
      </c>
      <c r="Q47" s="5" t="inlineStr">
        <is>
          <t>FILM-018; FILM-023; FILM-030</t>
        </is>
      </c>
      <c r="R47" s="5" t="inlineStr">
        <is>
          <t>Jab Jab Phool Khile (1965)</t>
        </is>
      </c>
      <c r="S47" s="5" t="inlineStr">
        <is>
          <t>Suraj Prakash directed the film that made Shashi Kapoor a star, and no biographical record of him survives. Jab Jab Phool Khile in 1965 cast Kapoor as a Kashmiri boatman opposite Nanda's wealthy visitor, won him the BFJA Best Actor award, and established the courteous, unthreatening romantic persona that defines the pattern this workbook measures across the rest of his career. He directed and produced Aamne Samne in 1967 and directed Raja Saab in 1969, both again with Kapoor. Beyond these credits nothing could be established: the Wikipedia title bearing his name holds an article on an 1843 Sikh text, and no biography was found under any variant spelling attempted during research. That the director of so pivotal a film is undocumented is among the more notable gaps in this filmography. The entry is graded Low.</t>
        </is>
      </c>
      <c r="T47" s="5" t="inlineStr">
        <is>
          <t>SOURCE-013; SOURCE-017; SOURCE-020</t>
        </is>
      </c>
      <c r="U47" s="5" t="inlineStr">
        <is>
          <t>Low</t>
        </is>
      </c>
    </row>
    <row r="48" ht="154" customHeight="1">
      <c r="A48" s="15" t="inlineStr">
        <is>
          <t>PERSON-047</t>
        </is>
      </c>
      <c r="B48" s="5" t="inlineStr">
        <is>
          <t>Usha Khanna</t>
        </is>
      </c>
      <c r="C48" s="5" t="inlineStr">
        <is>
          <t>Song composer</t>
        </is>
      </c>
      <c r="D48" s="17" t="n">
        <v>1941</v>
      </c>
      <c r="E48" s="18" t="n"/>
      <c r="F48" s="5" t="inlineStr">
        <is>
          <t>1959–present</t>
        </is>
      </c>
      <c r="G48" s="5" t="inlineStr">
        <is>
          <t>Hindi cinema</t>
        </is>
      </c>
      <c r="H48" s="5" t="inlineStr">
        <is>
          <t>Born 7 October 1941. A music director in Hindi cinema and, after Jaddan Bai and Saraswati Devi, the third woman to work as one — and among the most commercially successful, in what her article describes as a male-dominated field. She remained active for more than three decades and has continued to compose occasionally since.</t>
        </is>
      </c>
      <c r="I48" s="5" t="inlineStr">
        <is>
          <t>Dil Deke Dekho (1959).</t>
        </is>
      </c>
      <c r="J48" s="5" t="inlineStr">
        <is>
          <t>With Kapoor: Gehri Chot - Urf: Durdesh (1983), Pyar Ki Jeet (1987), Ghar Bazar (1998). Elsewhere: Shabnam, Hum Hindustani, Souten (1983) and Aap To Aise Na The.</t>
        </is>
      </c>
      <c r="K48" s="19" t="inlineStr">
        <is>
          <t>Melodic romantic songs in the mainstream idiom, sustained across three decades of changing fashion.</t>
        </is>
      </c>
      <c r="L48" s="19" t="inlineStr">
        <is>
          <t>A melodist working in the conventional playback form, whose best-known songs are built on simple, durable tunes.</t>
        </is>
      </c>
      <c r="M48" s="5" t="inlineStr">
        <is>
          <t>A Filmfare Award nomination for the songs of Souten (1983).</t>
        </is>
      </c>
      <c r="N48" s="19" t="inlineStr">
        <is>
          <t>The most enduring woman composer in Hindi film music, and for most of her career the only one working regularly at the commercial centre.</t>
        </is>
      </c>
      <c r="O48" s="19" t="inlineStr">
        <is>
          <t>Three films, all late, and the last of them closes the filmography: Ghar Bazar, long delayed and released in 1998, is the final film of Kapoor's acting career. Gehri Chot - Urf: Durdesh (1983) and Pyar Ki Jeet (1987) precede it. She was married to Sawan Kumar Tak (PERSON-304), who directed and produced one further Kapoor film, and her article notes the couple separated. Her article does not mention Kapoor.</t>
        </is>
      </c>
      <c r="P48" s="17" t="n">
        <v>3</v>
      </c>
      <c r="Q48" s="5" t="inlineStr">
        <is>
          <t>FILM-110; FILM-129; FILM-151</t>
        </is>
      </c>
      <c r="R48" s="5" t="inlineStr">
        <is>
          <t>Ghar Bazar (1998), the last film of his career</t>
        </is>
      </c>
      <c r="S48" s="5" t="inlineStr">
        <is>
          <t>Usha Khanna composed for three Shashi Kapoor films, all in his final phase, and the last of them is the last film he made: Ghar Bazar, completed years earlier and released in 1998, the year he stopped acting, directed by D. S. Azad. Gehri Chot - Urf: Durdesh in 1983 and Pyar Ki Jeet in 1987 came before it, the latter directed and produced by Saawan Kumar Tak, to whom she was married and from whom her article records she later separated. Born in 1941 and composing since Dil Deke Dekho in 1959, Khanna was the third woman to work as a music director in Hindi cinema, after Jaddan Bai and Saraswati Devi, and by some distance the most commercially durable, sustaining a career of more than thirty years in a field that had almost no other women in it and continuing to write for films and television long afterwards. Her best-known songs come from Shabnam, Hum Hindustani and Souten, the last bringing a Filmfare nomination in 1983. Her article does not mention Kapoor.</t>
        </is>
      </c>
      <c r="T48" s="5" t="inlineStr">
        <is>
          <t>SOURCE-167</t>
        </is>
      </c>
      <c r="U48" s="5" t="inlineStr">
        <is>
          <t>High</t>
        </is>
      </c>
    </row>
    <row r="49" ht="169" customHeight="1">
      <c r="A49" s="15" t="inlineStr">
        <is>
          <t>PERSON-048</t>
        </is>
      </c>
      <c r="B49" s="5" t="inlineStr">
        <is>
          <t>Vanraj Bhatia</t>
        </is>
      </c>
      <c r="C49" s="5" t="inlineStr">
        <is>
          <t>Song composer; Background-score composer</t>
        </is>
      </c>
      <c r="D49" s="17" t="n">
        <v>1927</v>
      </c>
      <c r="E49" s="17" t="n">
        <v>2021</v>
      </c>
      <c r="F49" s="5" t="inlineStr">
        <is>
          <t>1960s–2021</t>
        </is>
      </c>
      <c r="G49" s="5" t="inlineStr">
        <is>
          <t>Indian parallel cinema and Western classical music</t>
        </is>
      </c>
      <c r="H49" s="5" t="inlineStr">
        <is>
          <t>Born 31 May 1927; died 7 May 2021 in Mumbai. A composer best known for his work in Indian New Wave cinema and also one of the leading composers of Western classical music in India.</t>
        </is>
      </c>
      <c r="I49" s="5" t="inlineStr">
        <is>
          <t>His article states that his first feature film score was Ankur (1974), Shyam Benegal's debut — which sits oddly beside his credit on The Householder in 1963, eleven years earlier; the discrepancy is unresolved here and the entry is graded accordingly.</t>
        </is>
      </c>
      <c r="J49" s="5" t="inlineStr">
        <is>
          <t>With Kapoor: The Householder (1963), Junoon (1979), Kalyug (1981). Elsewhere: Ankur (1974) and almost all of Benegal's subsequent films, and the television film Tamas (1988).</t>
        </is>
      </c>
      <c r="K49" s="19" t="inlineStr">
        <is>
          <t>Scores for the parallel cinema: restrained, often chamber-scaled, and rooted in both Indian classical and Western art-music traditions.</t>
        </is>
      </c>
      <c r="L49" s="19" t="inlineStr">
        <is>
          <t>A composer of unusual technical formation for Indian film — trained in Western classical composition, and willing to write sparely where the commercial cinema demanded songs.</t>
        </is>
      </c>
      <c r="M49" s="5" t="inlineStr">
        <is>
          <t>The National Film Award for Best Music Direction for Tamas (1988); the Sangeet Natak Akademi Award for Creative and Experimental Music (1989); and the Padma Shri (2012).</t>
        </is>
      </c>
      <c r="N49" s="19" t="inlineStr">
        <is>
          <t>The house composer of the Indian New Wave, and the musical signature of the Benegal school.</t>
        </is>
      </c>
      <c r="O49" s="19" t="inlineStr">
        <is>
          <t>Three films, and all three sit outside the commercial mainstream. He wrote the background score for The Householder (1963), Kapoor's first English-language film, and the songs for Junoon (1979) and Kalyug (1981), both directed by Shyam Benegal (PERSON-083) and both produced by Kapoor himself. The collaboration is therefore almost a definition of Kapoor's non-commercial career: one Merchant Ivory film and two of his own Film-Valas productions.</t>
        </is>
      </c>
      <c r="P49" s="17" t="n">
        <v>3</v>
      </c>
      <c r="Q49" s="5" t="inlineStr">
        <is>
          <t>FILM-010; FILM-084; FILM-100</t>
        </is>
      </c>
      <c r="R49" s="5" t="inlineStr">
        <is>
          <t>Junoon (1979)</t>
        </is>
      </c>
      <c r="S49" s="5" t="inlineStr">
        <is>
          <t>Vanraj Bhatia scored three Shashi Kapoor films and every one of them lies outside commercial Hindi cinema. He wrote the background score for The Householder in 1963, the first Merchant Ivory production and Kapoor's first English-language role, and the songs for Junoon in 1979 and Kalyug in 1981, both directed by Shyam Benegal and both financed by Kapoor himself through Film-Valas. The three credits are almost a definition of his non-commercial career. Born in 1927, Bhatia was trained in Western classical composition — he was also among the leading composers of Western art music in India — and became the defining musical voice of the Indian New Wave, scoring Ankur and most of Benegal's subsequent work. He won the National Film Award for Best Music Direction for the television film Tamas in 1988, the Sangeet Natak Akademi Award for Creative and Experimental Music in 1989 and the Padma Shri in 2012, and died in 2021. One inconsistency is worth recording: his article names Ankur in 1974 as his first feature score, which cannot be reconciled with the 1963 Householder credit.</t>
        </is>
      </c>
      <c r="T49" s="5" t="inlineStr">
        <is>
          <t>SOURCE-168</t>
        </is>
      </c>
      <c r="U49" s="5" t="inlineStr">
        <is>
          <t>Medium</t>
        </is>
      </c>
    </row>
    <row r="50" ht="94" customHeight="1">
      <c r="A50" s="15" t="inlineStr">
        <is>
          <t>PERSON-049</t>
        </is>
      </c>
      <c r="B50" s="5" t="inlineStr">
        <is>
          <t>A. K. Nadiadwala</t>
        </is>
      </c>
      <c r="C50" s="5" t="inlineStr">
        <is>
          <t>Producer</t>
        </is>
      </c>
      <c r="D50" s="18" t="n"/>
      <c r="E50" s="18" t="n"/>
      <c r="F50" s="5" t="n"/>
      <c r="G50" s="5" t="inlineStr">
        <is>
          <t>Hindi cinema</t>
        </is>
      </c>
      <c r="H50" s="5" t="inlineStr">
        <is>
          <t>No Wikipedia article exists for him, and none was found under the variant A.K. Nadiadwala or under the family name Nadiadwala. Everything here rests on the credits of the two films.</t>
        </is>
      </c>
      <c r="I50" s="5" t="n"/>
      <c r="J50" s="5" t="inlineStr">
        <is>
          <t>With Kapoor: Aa Gale Lag Jaa (1973), Amar Shakti (1978).</t>
        </is>
      </c>
      <c r="K50" s="19" t="inlineStr">
        <is>
          <t>Mainstream commercial production of the 1970s.</t>
        </is>
      </c>
      <c r="L50" s="19" t="inlineStr">
        <is>
          <t>Not applicable; no biographical source was located.</t>
        </is>
      </c>
      <c r="M50" s="5" t="n"/>
      <c r="N50" s="19" t="inlineStr">
        <is>
          <t>Not established, though the Nadiadwala name is among the long-established producing families of Hindi cinema.</t>
        </is>
      </c>
      <c r="O50" s="19" t="inlineStr">
        <is>
          <t>Two producing credits five years apart, both squarely in Kapoor's commercial peak: Aa Gale Lag Jaa (1973), directed by Manmohan Desai (PERSON-072), and Amar Shakti (1978), directed by Harmesh Malhotra (PERSON-063).</t>
        </is>
      </c>
      <c r="P50" s="17" t="n">
        <v>2</v>
      </c>
      <c r="Q50" s="5" t="inlineStr">
        <is>
          <t>FILM-043; FILM-074</t>
        </is>
      </c>
      <c r="R50" s="5" t="inlineStr">
        <is>
          <t>Aa Gale Lag Jaa (1973)</t>
        </is>
      </c>
      <c r="S50" s="5" t="inlineStr">
        <is>
          <t>A. K. Nadiadwala produced two Shashi Kapoor films: Aa Gale Lag Jaa in 1973, a Manmohan Desai picture that was among the actor's substantial successes of the early 1970s, and Amar Shakti in 1978, directed by Harmesh Malhotra. No Wikipedia article exists for him under this name or the variants tried in research, and no other biographical source was located, so nothing can responsibly be added about his wider output — though the Nadiadwala name belongs to one of the long-established producing families of Hindi cinema. The entry is graded Low and rests on the two films' credits.</t>
        </is>
      </c>
      <c r="T50" s="5" t="inlineStr">
        <is>
          <t>SOURCE-033; SOURCE-068</t>
        </is>
      </c>
      <c r="U50" s="5" t="inlineStr">
        <is>
          <t>Low</t>
        </is>
      </c>
    </row>
    <row r="51" ht="124" customHeight="1">
      <c r="A51" s="15" t="inlineStr">
        <is>
          <t>PERSON-050</t>
        </is>
      </c>
      <c r="B51" s="5" t="inlineStr">
        <is>
          <t>A. Krishnamurthy</t>
        </is>
      </c>
      <c r="C51" s="5" t="inlineStr">
        <is>
          <t>Producer</t>
        </is>
      </c>
      <c r="D51" s="18" t="n"/>
      <c r="E51" s="18" t="n"/>
      <c r="F51" s="5" t="n"/>
      <c r="G51" s="5" t="inlineStr">
        <is>
          <t>Hindi cinema</t>
        </is>
      </c>
      <c r="H51" s="5" t="inlineStr">
        <is>
          <t>No Wikipedia article exists for him under this name or the variant A. Krishnamoorthy. Everything here rests on the credits of the two films.</t>
        </is>
      </c>
      <c r="I51" s="5" t="n"/>
      <c r="J51" s="5" t="inlineStr">
        <is>
          <t>With Kapoor: Ghar Ek Mandir (1984), Sindoor (1987).</t>
        </is>
      </c>
      <c r="K51" s="19" t="inlineStr">
        <is>
          <t>Family melodrama of the mid-1980s.</t>
        </is>
      </c>
      <c r="L51" s="19" t="inlineStr">
        <is>
          <t>Not applicable; no biographical source was located.</t>
        </is>
      </c>
      <c r="M51" s="5" t="n"/>
      <c r="N51" s="19" t="inlineStr">
        <is>
          <t>Not established.</t>
        </is>
      </c>
      <c r="O51" s="19" t="inlineStr">
        <is>
          <t>Two producing credits, Ghar Ek Mandir (1984) and Sindoor (1987), which share their writer Gyandev Agnihotri (PERSON-062) and their composer Laxmikant–Pyarelal (PERSON-001). Sindoor was the last commercial success of Kapoor's career, so this small unit is responsible for the final hit in the filmography.</t>
        </is>
      </c>
      <c r="P51" s="17" t="n">
        <v>2</v>
      </c>
      <c r="Q51" s="5" t="inlineStr">
        <is>
          <t>FILM-112; FILM-130</t>
        </is>
      </c>
      <c r="R51" s="5" t="inlineStr">
        <is>
          <t>Sindoor (1987)</t>
        </is>
      </c>
      <c r="S51" s="5" t="inlineStr">
        <is>
          <t>A. Krishnamurthy produced two Shashi Kapoor films, Ghar Ek Mandir in 1984 and Sindoor in 1987, and the second of them was the last commercial success of the actor's career. The two share more than a producer: Gyandev Agnihotri wrote both and Laxmikant–Pyarelal scored both, so they represent a single recurring production unit working in the family-melodrama register that suited Kapoor's senior roles of the mid-1980s. No Wikipedia article exists for him under this spelling or the variant Krishnamoorthy, and no other biographical source was found. The entry is graded Low and rests entirely on the film credits.</t>
        </is>
      </c>
      <c r="T51" s="5" t="inlineStr">
        <is>
          <t>SOURCE-093; SOURCE-107</t>
        </is>
      </c>
      <c r="U51" s="5" t="inlineStr">
        <is>
          <t>Low</t>
        </is>
      </c>
    </row>
    <row r="52" ht="154" customHeight="1">
      <c r="A52" s="15" t="inlineStr">
        <is>
          <t>PERSON-051</t>
        </is>
      </c>
      <c r="B52" s="5" t="inlineStr">
        <is>
          <t>Akhtar-Ul-Iman</t>
        </is>
      </c>
      <c r="C52" s="5" t="inlineStr">
        <is>
          <t>Writer</t>
        </is>
      </c>
      <c r="D52" s="17" t="n">
        <v>1915</v>
      </c>
      <c r="E52" s="17" t="n">
        <v>1996</v>
      </c>
      <c r="F52" s="5" t="inlineStr">
        <is>
          <t>1940s–1990s</t>
        </is>
      </c>
      <c r="G52" s="5" t="inlineStr">
        <is>
          <t>Hindi cinema and Urdu literature</t>
        </is>
      </c>
      <c r="H52" s="5" t="inlineStr">
        <is>
          <t>Born 12 November 1915; died 9 March 1996. A major Urdu poet with a lasting influence on the modern Urdu nazm, who also worked as a screenwriter in Hindi cinema. His article's short description gives his dates as 1915–1966, which contradicts the 1996 death date in its own opening sentence; the later date is consistent with his 1966 award and is used here.</t>
        </is>
      </c>
      <c r="I52" s="5" t="inlineStr">
        <is>
          <t>Established as a poet before his screen work; his film writing belongs mainly to the 1960s and 1970s.</t>
        </is>
      </c>
      <c r="J52" s="5" t="inlineStr">
        <is>
          <t>With Kapoor: Dharmputra (1961) and Waqt (1965) — and he won the Filmfare Award for Best Dialogue for both. Elsewhere: the poetry collection Yadein.</t>
        </is>
      </c>
      <c r="K52" s="19" t="inlineStr">
        <is>
          <t>Communal division and its human cost, the family split by history, and the moral weight carried in spoken Urdu.</t>
        </is>
      </c>
      <c r="L52" s="19" t="inlineStr">
        <is>
          <t>A poet's dialogue — compressed, formal and written in literary Urdu, unusually weighty for commercial cinema.</t>
        </is>
      </c>
      <c r="M52" s="5" t="inlineStr">
        <is>
          <t>The Filmfare Award for Best Dialogue in 1963 for Dharmputra and again in 1966 for Waqt; the Sahitya Akademi Award in Urdu in 1962 for his poetry collection Yadein.</t>
        </is>
      </c>
      <c r="N52" s="19" t="inlineStr">
        <is>
          <t>One of the most important modern Urdu poets, and among the few of that standing to write regularly for the commercial screen.</t>
        </is>
      </c>
      <c r="O52" s="19" t="inlineStr">
        <is>
          <t>Only two films, but they are the two that open Kapoor's adult career, and both won their writer the Filmfare Award for Best Dialogue. Dharmputra (1961) is Kapoor's first adult leading role, a partition drama that failed commercially; Waqt (1965) is the multi-star hit that, with Jab Jab Phool Khile the same year, made him a star. Both were directed by Yash Chopra (PERSON-005) and produced by B. R. Chopra (PERSON-055).</t>
        </is>
      </c>
      <c r="P52" s="17" t="n">
        <v>2</v>
      </c>
      <c r="Q52" s="5" t="inlineStr">
        <is>
          <t>FILM-007; FILM-017</t>
        </is>
      </c>
      <c r="R52" s="5" t="inlineStr">
        <is>
          <t>Waqt (1965)</t>
        </is>
      </c>
      <c r="S52" s="5" t="inlineStr">
        <is>
          <t>Akhtar-ul-Iman wrote only two Shashi Kapoor films, but they are the two that begin his adult career and both brought their writer the Filmfare Award for Best Dialogue. Dharmputra in 1961 gave Kapoor his first adult lead, a partition drama about a Hindu nationalist who learns he was born Muslim; Waqt in 1965 was the multi-star family melodrama that helped make him a star. Both were Yash Chopra films produced by B. R. Chopra. Away from the screen Akhtar-ul-Iman was a major Urdu poet whose work reshaped the modern nazm, and he won the Sahitya Akademi Award in 1962 for the collection Yadein. One caution: his article's short description dates him 1915–1966, contradicting the 1996 death date given in its own text, and the later date is used here as consistent with his 1966 award.</t>
        </is>
      </c>
      <c r="T52" s="5" t="inlineStr">
        <is>
          <t>SOURCE-169</t>
        </is>
      </c>
      <c r="U52" s="5" t="inlineStr">
        <is>
          <t>Medium</t>
        </is>
      </c>
    </row>
    <row r="53" ht="154" customHeight="1">
      <c r="A53" s="15" t="inlineStr">
        <is>
          <t>PERSON-052</t>
        </is>
      </c>
      <c r="B53" s="5" t="inlineStr">
        <is>
          <t>Anil Ganguly</t>
        </is>
      </c>
      <c r="C53" s="5" t="inlineStr">
        <is>
          <t>Director</t>
        </is>
      </c>
      <c r="D53" s="17" t="n">
        <v>1933</v>
      </c>
      <c r="E53" s="17" t="n">
        <v>2016</v>
      </c>
      <c r="F53" s="5" t="inlineStr">
        <is>
          <t>1962–2001</t>
        </is>
      </c>
      <c r="G53" s="5" t="inlineStr">
        <is>
          <t>Hindi and Bengali cinema</t>
        </is>
      </c>
      <c r="H53" s="5" t="inlineStr">
        <is>
          <t>Born 26 January 1933; died 15 January 2016. A film director and screenwriter who worked in Hindi cinema from the 1970s to 2001 and also made films in Bengali.</t>
        </is>
      </c>
      <c r="I53" s="5" t="inlineStr">
        <is>
          <t>Active from 1962; his reputation was made with Kora Kagaz (1974).</t>
        </is>
      </c>
      <c r="J53" s="5" t="inlineStr">
        <is>
          <t>With Kapoor: Trishna (1978), Neeyat (1980). Elsewhere: Kora Kagaz (1974) and Tapasya (1975), both of which won the National Film Award for Best Popular Film Providing Wholesome Entertainment, and Aanchal, Saaheb (1985) and the Bengali Balidan (1990).</t>
        </is>
      </c>
      <c r="K53" s="19" t="inlineStr">
        <is>
          <t>Domestic melodrama centred on a woman's endurance; a sustained working relationship with the actress Raakhee.</t>
        </is>
      </c>
      <c r="L53" s="19" t="inlineStr">
        <is>
          <t>A director of restrained middle-class melodrama, working against the spectacle of the period.</t>
        </is>
      </c>
      <c r="M53" s="5" t="inlineStr">
        <is>
          <t>Two of his films, Kora Kagaz and Tapasya, won the National Film Award for Best Popular Film Providing Wholesome Entertainment.</t>
        </is>
      </c>
      <c r="N53" s="19" t="inlineStr">
        <is>
          <t>A leading exponent of the sober domestic drama that ran alongside the masala cinema of the 1970s.</t>
        </is>
      </c>
      <c r="O53" s="19" t="inlineStr">
        <is>
          <t>Two films, Trishna (1978) and Neeyat (1980). Trishna is the more substantial and fits his pattern exactly: it pairs Kapoor with Raakhee, the actress around whom Ganguly built much of his best work. Both films sit at the quieter end of Kapoor's late-1970s output, away from the multi-starrers that dominate those years. His article names Trishna among his Raakhee films but does not mention Kapoor.</t>
        </is>
      </c>
      <c r="P53" s="17" t="n">
        <v>2</v>
      </c>
      <c r="Q53" s="5" t="inlineStr">
        <is>
          <t>FILM-072; FILM-093</t>
        </is>
      </c>
      <c r="R53" s="5" t="inlineStr">
        <is>
          <t>Trishna (1978)</t>
        </is>
      </c>
      <c r="S53" s="5" t="inlineStr">
        <is>
          <t>Anil Ganguly directed two Shashi Kapoor films, Trishna in 1978 and Neeyat in 1980, and the first belongs squarely to the line of work for which he is remembered. Ganguly built his reputation on sober domestic melodramas about women under pressure — Kora Kagaz in 1974 and Tapasya in 1975, both of which won the National Film Award for Best Popular Film Providing Wholesome Entertainment — and on a long association with the actress Raakhee, who plays opposite Kapoor in Trishna. These are quiet films, made in years when Kapoor's other work was dominated by large ensembles and action, and they show him continuing to accept chamber-scale romantic drama. Trishna was produced under the Sippy banner and written by Sachin Bhowmick with M. G. Hashmat, the lyricist of Ganguly's own Kora Kagaz. Born in 1933 and working from 1962 until 2001, Ganguly also directed in Bengali, where his Balidan became a substantial commercial success in 1990. He died in 2016. His article names Trishna but says nothing of Kapoor.</t>
        </is>
      </c>
      <c r="T53" s="5" t="inlineStr">
        <is>
          <t>SOURCE-170</t>
        </is>
      </c>
      <c r="U53" s="5" t="inlineStr">
        <is>
          <t>High</t>
        </is>
      </c>
    </row>
    <row r="54" ht="139" customHeight="1">
      <c r="A54" s="15" t="inlineStr">
        <is>
          <t>PERSON-053</t>
        </is>
      </c>
      <c r="B54" s="5" t="inlineStr">
        <is>
          <t>Anu Malik</t>
        </is>
      </c>
      <c r="C54" s="5" t="inlineStr">
        <is>
          <t>Song composer</t>
        </is>
      </c>
      <c r="D54" s="17" t="n">
        <v>1960</v>
      </c>
      <c r="E54" s="18" t="n"/>
      <c r="F54" s="5" t="inlineStr">
        <is>
          <t>1974–present</t>
        </is>
      </c>
      <c r="G54" s="5" t="inlineStr">
        <is>
          <t>Hindi cinema</t>
        </is>
      </c>
      <c r="H54" s="5" t="inlineStr">
        <is>
          <t>Born Anwar Sardar Malik on 2 November 1960, the son of the composer Sardar Malik, who was active from the 1950s to the 1970s. A composer, singer, arranger and score composer for the Hindi film industry.</t>
        </is>
      </c>
      <c r="I54" s="5" t="inlineStr">
        <is>
          <t>Composing from 1974; his prominence dates from the late 1980s and the 1990s.</t>
        </is>
      </c>
      <c r="J54" s="5" t="inlineStr">
        <is>
          <t>With Kapoor: Naam O Nishan (1987), Meri Zabaan (1989). Elsewhere: Baazigar, Baadshah, Refugee, Yaadein and Main Hoon Na.</t>
        </is>
      </c>
      <c r="K54" s="19" t="inlineStr">
        <is>
          <t>Mainstream film songs across disco, pop and rock registers, with a noted use of the tabla inside otherwise modern arrangements.</t>
        </is>
      </c>
      <c r="L54" s="19" t="inlineStr">
        <is>
          <t>A prolific commercial composer working in whatever idiom the decade demanded; his article notes melodious and classical-based writing alongside the dance material.</t>
        </is>
      </c>
      <c r="M54" s="5" t="inlineStr">
        <is>
          <t>A National Film Award and three Filmfare Awards.</t>
        </is>
      </c>
      <c r="N54" s="19" t="inlineStr">
        <is>
          <t>One of the dominant composers of 1990s Hindi film music, arriving at the tail end of Kapoor's career.</t>
        </is>
      </c>
      <c r="O54" s="19" t="inlineStr">
        <is>
          <t>Two films at the very end of Kapoor's working life as a regular screen presence, Naam O Nishan (1987) and Meri Zabaan (1989), both action pictures in which he is a senior supporting figure rather than the lead. The collaboration is chronological accident rather than partnership: Malik's major period began after Kapoor had effectively stopped. His article does not mention Kapoor.</t>
        </is>
      </c>
      <c r="P54" s="17" t="n">
        <v>2</v>
      </c>
      <c r="Q54" s="5" t="inlineStr">
        <is>
          <t>FILM-128; FILM-140</t>
        </is>
      </c>
      <c r="R54" s="5" t="inlineStr">
        <is>
          <t>Meri Zabaan (1989)</t>
        </is>
      </c>
      <c r="S54" s="5" t="inlineStr">
        <is>
          <t>Anu Malik scored two late Shashi Kapoor films, Naam O Nishan in 1987 and Meri Zabaan in 1989, both action pictures in which the actor appears in a senior supporting capacity rather than as a lead. The overlap between the two careers is slight and essentially chronological: Malik, born Anwar Sardar Malik on 2 November 1960 and composing since 1974, did not reach his dominant period until the 1990s, by which time Kapoor had largely stopped working. He is the son of Sardar Malik, a composer active from the 1950s to the 1970s, and his article notes a melodious, classical-based streak alongside the dance material, with a characteristic use of the tabla inside otherwise modern arrangements — 'Woh Ladki Jo' and 'Hum Toh Deewane' from Baadshah, 'Baazigar O Baazigar', 'Mere Humsafar' from Refugee, 'Tumhe Jo Maine Dekha' from Main Hoon Na. He holds a National Film Award and three Filmfare Awards. His article does not mention Kapoor.</t>
        </is>
      </c>
      <c r="T54" s="5" t="inlineStr">
        <is>
          <t>SOURCE-171</t>
        </is>
      </c>
      <c r="U54" s="5" t="inlineStr">
        <is>
          <t>High</t>
        </is>
      </c>
    </row>
    <row r="55" ht="154" customHeight="1">
      <c r="A55" s="15" t="inlineStr">
        <is>
          <t>PERSON-054</t>
        </is>
      </c>
      <c r="B55" s="5" t="inlineStr">
        <is>
          <t>Asit Sen</t>
        </is>
      </c>
      <c r="C55" s="5" t="inlineStr">
        <is>
          <t>Director</t>
        </is>
      </c>
      <c r="D55" s="17" t="n">
        <v>1922</v>
      </c>
      <c r="E55" s="17" t="n">
        <v>2001</v>
      </c>
      <c r="F55" s="5" t="inlineStr">
        <is>
          <t>1948–1983</t>
        </is>
      </c>
      <c r="G55" s="5" t="inlineStr">
        <is>
          <t>Bengali and Hindi cinema</t>
        </is>
      </c>
      <c r="H55" s="5" t="inlineStr">
        <is>
          <t>Born in Dhaka on 24 September 1922; died 25 August 2001. A director, cinematographer, documentary filmmaker and screenwriter who worked in both Bengali and Hindi cinema and made seventeen features. He is a different person from the comic actor of the same name.</t>
        </is>
      </c>
      <c r="I55" s="5" t="inlineStr">
        <is>
          <t>Directing from 1948; his Bengali reputation was made with Deep Jweley Jai (1959).</t>
        </is>
      </c>
      <c r="J55" s="5" t="inlineStr">
        <is>
          <t>With Kapoor: Anari (1975), Vakil Babu (1982). Elsewhere: Deep Jweley Jai (1959) and Uttar Falguni (1963) in Bengali; Mamta, Khamoshi (1969) and Safar (1970) in Hindi.</t>
        </is>
      </c>
      <c r="K55" s="19" t="inlineStr">
        <is>
          <t>Illness, sacrifice and unspoken devotion; the woman who gives up her own life for another's.</t>
        </is>
      </c>
      <c r="L55" s="19" t="inlineStr">
        <is>
          <t>A restrained melodramatist who worked in soft focus and long emotional silences, and who often remade his own Bengali films in Hindi.</t>
        </is>
      </c>
      <c r="M55" s="5" t="inlineStr">
        <is>
          <t>The Filmfare Best Director Award for Safar (1971), with an earlier nomination for Mamta; his Uttar Falguni won the National Film Award for Best Feature Film in Bengali in 1963.</t>
        </is>
      </c>
      <c r="N55" s="19" t="inlineStr">
        <is>
          <t>One of the significant bilingual directors of the period, and the maker of Khamoshi, among the most admired Hindi films about psychiatric care.</t>
        </is>
      </c>
      <c r="O55" s="19" t="inlineStr">
        <is>
          <t>Two films late in Sen's career, Anari (1975) and Vakil Babu (1982), neither of them among his best-known work. The pairing is nonetheless notable: a director formed in the Bengali art-melodrama tradition working with Kapoor in years otherwise dominated by the masala ensemble. His article does not mention Kapoor.</t>
        </is>
      </c>
      <c r="P55" s="17" t="n">
        <v>2</v>
      </c>
      <c r="Q55" s="5" t="inlineStr">
        <is>
          <t>FILM-051; FILM-104</t>
        </is>
      </c>
      <c r="R55" s="5" t="inlineStr">
        <is>
          <t>Anari (1975)</t>
        </is>
      </c>
      <c r="S55" s="5" t="inlineStr">
        <is>
          <t>Asit Sen directed two Shashi Kapoor films, Anari in 1975 and Vakil Babu in 1982, both late in a career that had begun in Bengali cinema almost thirty years earlier, and neither among his best-known work. The pairing is nonetheless of interest: a director formed in the Bengali art-melodrama tradition working with Kapoor during years otherwise dominated by the masala ensemble, which is useful evidence that he continued to take chamber-scale drama when it was offered. Sen — not to be confused with the comic actor of the same name, a distinction this sheet preserves — was born in Dhaka in 1922 and directed seventeen features in Hindi and Bengali. He made his reputation with Deep Jweley Jai and Uttar Falguni in Bengali, the latter winning the National Film Award for Best Feature Film in Bengali in 1963, and then with Mamta, Khamoshi and Safar in Hindi, a body of restrained, illness-haunted melodrama. Safar brought him the Filmfare Best Director Award in 1971, after an earlier nomination for Mamta. He died in 2001.</t>
        </is>
      </c>
      <c r="T55" s="5" t="inlineStr">
        <is>
          <t>SOURCE-172</t>
        </is>
      </c>
      <c r="U55" s="5" t="inlineStr">
        <is>
          <t>High</t>
        </is>
      </c>
    </row>
    <row r="56" ht="139" customHeight="1">
      <c r="A56" s="15" t="inlineStr">
        <is>
          <t>PERSON-055</t>
        </is>
      </c>
      <c r="B56" s="5" t="inlineStr">
        <is>
          <t>B. R. Chopra</t>
        </is>
      </c>
      <c r="C56" s="5" t="inlineStr">
        <is>
          <t>Producer</t>
        </is>
      </c>
      <c r="D56" s="17" t="n">
        <v>1914</v>
      </c>
      <c r="E56" s="17" t="n">
        <v>2008</v>
      </c>
      <c r="F56" s="5" t="inlineStr">
        <is>
          <t>1944–2006</t>
        </is>
      </c>
      <c r="G56" s="5" t="inlineStr">
        <is>
          <t>Hindi cinema and television</t>
        </is>
      </c>
      <c r="H56" s="5" t="inlineStr">
        <is>
          <t>Born Baldev Raj Chopra on 22 April 1914; died 5 November 2008. A prolific director and producer and the elder brother of Yash Chopra (PERSON-005), who began his career as B. R.'s assistant. He founded B. R. Films (PERSON-056).</t>
        </is>
      </c>
      <c r="I56" s="5" t="inlineStr">
        <is>
          <t>Working from 1944; his directing career includes Afsana and Ek Hi Raasta.</t>
        </is>
      </c>
      <c r="J56" s="5" t="inlineStr">
        <is>
          <t>With Kapoor: Dharmputra (1961), Waqt (1965) — both as producer. Elsewhere, as director: Sadhna, Kanoon, Gumrah, Hamraaz, Dhund, Pati Patni Aur Woh and Nikaah; as producer: Dhool Ka Phool, Ittefaq, The Burning Train, Baghban and the television Mahabharat.</t>
        </is>
      </c>
      <c r="K56" s="19" t="inlineStr">
        <is>
          <t>The social-issue melodrama — divorce, remarriage, communal identity and the law — argued through a domestic situation.</t>
        </is>
      </c>
      <c r="L56" s="19" t="inlineStr">
        <is>
          <t>A producer-director of issue pictures made to reach a mass audience, and an early user of the multi-star format.</t>
        </is>
      </c>
      <c r="M56" s="5" t="inlineStr">
        <is>
          <t>The Dadasaheb Phalke Award for 1998 and the Padma Bhushan in 2001.</t>
        </is>
      </c>
      <c r="N56" s="19" t="inlineStr">
        <is>
          <t>One of the major studio-builders of post-independence Hindi cinema and the producer of Mahabharat, among the most watched television productions ever made in India.</t>
        </is>
      </c>
      <c r="O56" s="19" t="inlineStr">
        <is>
          <t>Two films, and they are the two that launched Kapoor's adult career: he produced Dharmputra (1961), the actor's first adult lead, and Waqt (1965), the multi-star hit that made him. Both were directed by his younger brother Yash Chopra and written by Akhtar-ul-Iman (PERSON-051). The B. R. Films banner credit on the same two films is recorded separately at PERSON-056.</t>
        </is>
      </c>
      <c r="P56" s="17" t="n">
        <v>2</v>
      </c>
      <c r="Q56" s="5" t="inlineStr">
        <is>
          <t>FILM-007; FILM-017</t>
        </is>
      </c>
      <c r="R56" s="5" t="inlineStr">
        <is>
          <t>Waqt (1965)</t>
        </is>
      </c>
      <c r="S56" s="5" t="inlineStr">
        <is>
          <t>B. R. Chopra produced the two films that begin Shashi Kapoor's adult career. Dharmputra in 1961, directed by his younger brother Yash, gave Kapoor his first leading role as an adult — a partition drama about a Hindu nationalist who discovers he was born Muslim — and failed commercially; Waqt in 1965, again directed by Yash, was the lost-and-found family epic that helped turn him into a star and effectively invented the Hindi multi-starrer. Born in 1914, B. R. Chopra built one of the most durable production houses in the industry on social-issue melodrama — Kanoon, Gumrah, Hamraaz, Nikaah — and later produced the television Mahabharat, which reached an audience beyond anything in his film career. He received the Dadasaheb Phalke Award for 1998 and the Padma Bhushan in 2001. His article does not discuss Kapoor.</t>
        </is>
      </c>
      <c r="T56" s="5" t="inlineStr">
        <is>
          <t>SOURCE-173</t>
        </is>
      </c>
      <c r="U56" s="5" t="inlineStr">
        <is>
          <t>High</t>
        </is>
      </c>
    </row>
    <row r="57" ht="139" customHeight="1">
      <c r="A57" s="15" t="inlineStr">
        <is>
          <t>PERSON-056</t>
        </is>
      </c>
      <c r="B57" s="5" t="inlineStr">
        <is>
          <t>B. R. Films</t>
        </is>
      </c>
      <c r="C57" s="5" t="inlineStr">
        <is>
          <t>Production banner</t>
        </is>
      </c>
      <c r="D57" s="18" t="n"/>
      <c r="E57" s="18" t="n"/>
      <c r="F57" s="5" t="inlineStr">
        <is>
          <t>1955–2000s</t>
        </is>
      </c>
      <c r="G57" s="5" t="inlineStr">
        <is>
          <t>Hindi cinema and television</t>
        </is>
      </c>
      <c r="H57" s="5" t="inlineStr">
        <is>
          <t>The production house founded by B. R. Chopra (PERSON-055). It has no Wikipedia article of its own; the source used here is the article on Chopra himself, which covers the company's output, and the entry is graded accordingly.</t>
        </is>
      </c>
      <c r="I57" s="5" t="inlineStr">
        <is>
          <t>Its films date from the 1950s; Dhool Ka Phool (1959) launched Yash Chopra as a director.</t>
        </is>
      </c>
      <c r="J57" s="5" t="inlineStr">
        <is>
          <t>With Kapoor: Dharmputra (1961), Waqt (1965). Elsewhere: Dhool Ka Phool, Gumrah, Hamraaz, Ittefaq, The Burning Train, Nikaah, Baghban and the television Mahabharat.</t>
        </is>
      </c>
      <c r="K57" s="19" t="inlineStr">
        <is>
          <t>The social-issue film made on a commercial scale, and the large-cast family drama.</t>
        </is>
      </c>
      <c r="L57" s="19" t="inlineStr">
        <is>
          <t>Not applicable; a company, and in this period effectively an expression of its founder's own programme.</t>
        </is>
      </c>
      <c r="M57" s="5" t="n"/>
      <c r="N57" s="19" t="inlineStr">
        <is>
          <t>One of the principal family production houses of Hindi cinema, and the banner under which the multi-starrer form was established with Waqt.</t>
        </is>
      </c>
      <c r="O57" s="19" t="inlineStr">
        <is>
          <t>Two films, Dharmputra (1961) and Waqt (1965) — the same two on which B. R. Chopra takes the producer credit, so this row and PERSON-055 describe one relationship seen from two sides and should not be counted as separate collaborations. Both films were directed by Yash Chopra (PERSON-005) and gave Kapoor his adult debut and his first major success.</t>
        </is>
      </c>
      <c r="P57" s="17" t="n">
        <v>2</v>
      </c>
      <c r="Q57" s="5" t="inlineStr">
        <is>
          <t>FILM-007; FILM-017</t>
        </is>
      </c>
      <c r="R57" s="5" t="inlineStr">
        <is>
          <t>Waqt (1965)</t>
        </is>
      </c>
      <c r="S57" s="5" t="inlineStr">
        <is>
          <t>B. R. Films is the banner on Shashi Kapoor's first two adult films, Dharmputra in 1961 and Waqt in 1965, both produced by its founder B. R. Chopra and directed by his brother Yash. Waqt matters beyond Kapoor's own career: its lost-and-found plot and large star cast established the multi-starrer as a commercial form, and Kapoor would spend much of the next two decades inside films built on that template. The company had launched Yash Chopra as a director with Dhool Ka Phool in 1959 and went on to make Gumrah, Hamraaz, Nikaah and, later, the television Mahabharat. It has no Wikipedia article of its own, so this entry is drawn from the article on B. R. Chopra, which covers the company's work; it is graded Medium for that reason and because the banner and producer credits describe a single relationship.</t>
        </is>
      </c>
      <c r="T57" s="5" t="inlineStr">
        <is>
          <t>SOURCE-174</t>
        </is>
      </c>
      <c r="U57" s="5" t="inlineStr">
        <is>
          <t>Medium</t>
        </is>
      </c>
    </row>
    <row r="58" ht="139" customHeight="1">
      <c r="A58" s="15" t="inlineStr">
        <is>
          <t>PERSON-057</t>
        </is>
      </c>
      <c r="B58" s="5" t="inlineStr">
        <is>
          <t>Chandivali Studio</t>
        </is>
      </c>
      <c r="C58" s="5" t="inlineStr">
        <is>
          <t>Production banner (studio facility)</t>
        </is>
      </c>
      <c r="D58" s="18" t="n"/>
      <c r="E58" s="18" t="n"/>
      <c r="F58" s="5" t="n"/>
      <c r="G58" s="5" t="inlineStr">
        <is>
          <t>Hindi cinema</t>
        </is>
      </c>
      <c r="H58" s="5" t="inlineStr">
        <is>
          <t>A shooting facility in the Chandivali area of Mumbai. No Wikipedia article exists for the studio: the article at 'Chandivali' is about the Mumbai suburb itself and was rejected during research as a different subject. Everything here rests on the credits of the two films.</t>
        </is>
      </c>
      <c r="I58" s="5" t="n"/>
      <c r="J58" s="5" t="inlineStr">
        <is>
          <t>With Kapoor: Chor Machaye Shor (1974), Roti Kapda Aur Makaan (1974).</t>
        </is>
      </c>
      <c r="K58" s="19" t="inlineStr">
        <is>
          <t>Not applicable; a rental facility rather than a production house.</t>
        </is>
      </c>
      <c r="L58" s="19" t="inlineStr">
        <is>
          <t>Not applicable.</t>
        </is>
      </c>
      <c r="M58" s="5" t="n"/>
      <c r="N58" s="19" t="inlineStr">
        <is>
          <t>Not established from any available source.</t>
        </is>
      </c>
      <c r="O58" s="19" t="inlineStr">
        <is>
          <t>Two credits, both in 1974 and both on films that were among the top box-office releases of that year — Chor Machaye Shor and Roti Kapda Aur Makaan, the pair that made Kapoor one of the decade's most saleable stars. The credit is a facility credit, recording where the films were shot rather than any creative participation, and should be read as such.</t>
        </is>
      </c>
      <c r="P58" s="17" t="n">
        <v>2</v>
      </c>
      <c r="Q58" s="5" t="inlineStr">
        <is>
          <t>FILM-048; FILM-050</t>
        </is>
      </c>
      <c r="R58" s="5" t="inlineStr">
        <is>
          <t>Roti Kapda Aur Makaan (1974)</t>
        </is>
      </c>
      <c r="S58" s="5" t="inlineStr">
        <is>
          <t>Chandivali Studio appears on two Shashi Kapoor films, both released in 1974 and both among the highest-grossing Hindi films of that year: Chor Machaye Shor and Roti Kapda Aur Makaan, which together transformed his commercial standing. The credit is a studio-facility credit — it records the stage on which the films were shot, not creative involvement — and is kept in this sheet only because the filmography data carries it as a production-banner credit. No Wikipedia article exists for the studio; the page at Chandivali describes the Mumbai suburb of that name and was rejected during research as the wrong subject. The entry is graded Low.</t>
        </is>
      </c>
      <c r="T58" s="5" t="inlineStr">
        <is>
          <t>SOURCE-035; SOURCE-037</t>
        </is>
      </c>
      <c r="U58" s="5" t="inlineStr">
        <is>
          <t>Low</t>
        </is>
      </c>
    </row>
    <row r="59" ht="109" customHeight="1">
      <c r="A59" s="15" t="inlineStr">
        <is>
          <t>PERSON-058</t>
        </is>
      </c>
      <c r="B59" s="5" t="inlineStr">
        <is>
          <t>Filmalaya Studio</t>
        </is>
      </c>
      <c r="C59" s="5" t="inlineStr">
        <is>
          <t>Production banner (studio facility)</t>
        </is>
      </c>
      <c r="D59" s="18" t="n"/>
      <c r="E59" s="18" t="n"/>
      <c r="F59" s="5" t="n"/>
      <c r="G59" s="5" t="inlineStr">
        <is>
          <t>Hindi cinema</t>
        </is>
      </c>
      <c r="H59" s="5" t="inlineStr">
        <is>
          <t>A Mumbai film studio. No Wikipedia article was found under this name or under Filmalaya, so everything here rests on the credits of the two films.</t>
        </is>
      </c>
      <c r="I59" s="5" t="n"/>
      <c r="J59" s="5" t="inlineStr">
        <is>
          <t>With Kapoor: Abhinetri (1970), Chor Machaye Shor (1974).</t>
        </is>
      </c>
      <c r="K59" s="19" t="inlineStr">
        <is>
          <t>Not applicable; a studio facility.</t>
        </is>
      </c>
      <c r="L59" s="19" t="inlineStr">
        <is>
          <t>Not applicable.</t>
        </is>
      </c>
      <c r="M59" s="5" t="n"/>
      <c r="N59" s="19" t="inlineStr">
        <is>
          <t>Not established from any available source, though Filmalaya was among the working Bombay studios of the period.</t>
        </is>
      </c>
      <c r="O59" s="19" t="inlineStr">
        <is>
          <t>Two facility credits four years apart: Abhinetri (1970), directed and produced by Subodh Mukherjee (PERSON-045), and Chor Machaye Shor (1974). As with the other studio credits in this sheet, these record where a film was shot rather than who made it.</t>
        </is>
      </c>
      <c r="P59" s="17" t="n">
        <v>2</v>
      </c>
      <c r="Q59" s="5" t="inlineStr">
        <is>
          <t>FILM-032; FILM-048</t>
        </is>
      </c>
      <c r="R59" s="5" t="inlineStr">
        <is>
          <t>Chor Machaye Shor (1974)</t>
        </is>
      </c>
      <c r="S59" s="5" t="inlineStr">
        <is>
          <t>Filmalaya Studio carries a banner credit on two Shashi Kapoor films, Abhinetri in 1970 and Chor Machaye Shor in 1974. Both are facility credits rather than production ones — they name the stages where the films were made — and are retained here because the source data records them in the production-banner field. No Wikipedia article was located for the studio under this name or the shorter Filmalaya, so nothing can be said of its history, ownership or wider output. Chor Machaye Shor is the more consequential of the two films, one of the top-grossing Hindi releases of 1974 and a turning point in Kapoor's commercial standing. The entry is graded Low.</t>
        </is>
      </c>
      <c r="T59" s="5" t="inlineStr">
        <is>
          <t>SOURCE-026; SOURCE-035</t>
        </is>
      </c>
      <c r="U59" s="5" t="inlineStr">
        <is>
          <t>Low</t>
        </is>
      </c>
    </row>
    <row r="60" ht="124" customHeight="1">
      <c r="A60" s="15" t="inlineStr">
        <is>
          <t>PERSON-059</t>
        </is>
      </c>
      <c r="B60" s="5" t="inlineStr">
        <is>
          <t>G. P. Sippy</t>
        </is>
      </c>
      <c r="C60" s="5" t="inlineStr">
        <is>
          <t>Producer</t>
        </is>
      </c>
      <c r="D60" s="17" t="n">
        <v>1914</v>
      </c>
      <c r="E60" s="17" t="n">
        <v>2007</v>
      </c>
      <c r="F60" s="5" t="inlineStr">
        <is>
          <t>1940s–1990s</t>
        </is>
      </c>
      <c r="G60" s="5" t="inlineStr">
        <is>
          <t>Hindi cinema</t>
        </is>
      </c>
      <c r="H60" s="5" t="inlineStr">
        <is>
          <t>Born Gopaldas Parmanand Sipahimalani on 14 September 1914; died 25 December 2007. A film producer and director, and the father of the director Ramesh Sippy (PERSON-038).</t>
        </is>
      </c>
      <c r="I60" s="5" t="inlineStr">
        <is>
          <t>Producing from the 1940s; the Sippy banner's greatest success was Sholay (1975).</t>
        </is>
      </c>
      <c r="J60" s="5" t="inlineStr">
        <is>
          <t>With Kapoor: Trishna (1978), Shaan (1980). Elsewhere: Sholay (1975) and the other Sippy Films productions.</t>
        </is>
      </c>
      <c r="K60" s="19" t="inlineStr">
        <is>
          <t>Large-scale commercial entertainment, and the star-driven action ensemble of the 1970s.</t>
        </is>
      </c>
      <c r="L60" s="19" t="inlineStr">
        <is>
          <t>Not applicable; an industry figure and financier rather than a stylist.</t>
        </is>
      </c>
      <c r="M60" s="5" t="inlineStr">
        <is>
          <t>Filmfare Awards in 1968 and 1982. He was President of the Film Federation of India in 1972–73, 1985–86 and 1988–92, and chaired the Film and TV Producers Guild of India.</t>
        </is>
      </c>
      <c r="N60" s="19" t="inlineStr">
        <is>
          <t>One of the most powerful producers of his era and, through Sholay, the financier of the film that reset the terms of Hindi commercial cinema.</t>
        </is>
      </c>
      <c r="O60" s="19" t="inlineStr">
        <is>
          <t>Two producing credits, Trishna (1978) and Shaan (1980), both made through the Sippy organisation and the latter directed by his son Ramesh. Shaan is the important one: the large post-Sholay caper in which Kapoor and Amitabh Bachchan play brothers, and one of the defining multi-starrers of Kapoor's peak. His article does not mention Kapoor.</t>
        </is>
      </c>
      <c r="P60" s="17" t="n">
        <v>2</v>
      </c>
      <c r="Q60" s="5" t="inlineStr">
        <is>
          <t>FILM-072; FILM-094</t>
        </is>
      </c>
      <c r="R60" s="5" t="inlineStr">
        <is>
          <t>Shaan (1980)</t>
        </is>
      </c>
      <c r="S60" s="5" t="inlineStr">
        <is>
          <t>G. P. Sippy produced two Shashi Kapoor films: Trishna in 1978 and Shaan in 1980, the second directed by his son Ramesh Sippy. Shaan is the significant one — the enormous caper made in the wake of Sholay, with Kapoor and Amitabh Bachchan as brothers, and one of the most characteristic entries in the multi-starrer cycle that dominates Kapoor's late-1970s work. Born in 1914 as Gopaldas Sipahimalani, Sippy was among the most powerful figures in the industry's business life as well as one of its leading producers: he headed the Film Federation of India across three separate terms and chaired the Producers Guild, and his company had financed Sholay, the most commercially successful Hindi film ever made to that point. He won Filmfare Awards in 1968 and 1982. His article does not mention Kapoor.</t>
        </is>
      </c>
      <c r="T60" s="5" t="inlineStr">
        <is>
          <t>SOURCE-175</t>
        </is>
      </c>
      <c r="U60" s="5" t="inlineStr">
        <is>
          <t>High</t>
        </is>
      </c>
    </row>
    <row r="61" ht="199" customHeight="1">
      <c r="A61" s="15" t="inlineStr">
        <is>
          <t>PERSON-060</t>
        </is>
      </c>
      <c r="B61" s="5" t="inlineStr">
        <is>
          <t>Girish Karnad</t>
        </is>
      </c>
      <c r="C61" s="5" t="inlineStr">
        <is>
          <t>Director; Writer</t>
        </is>
      </c>
      <c r="D61" s="17" t="n">
        <v>1938</v>
      </c>
      <c r="E61" s="17" t="n">
        <v>2019</v>
      </c>
      <c r="F61" s="5" t="inlineStr">
        <is>
          <t>1960s–2019</t>
        </is>
      </c>
      <c r="G61" s="5" t="inlineStr">
        <is>
          <t>Kannada, Hindi and other Indian cinemas; Indian theatre</t>
        </is>
      </c>
      <c r="H61" s="5" t="inlineStr">
        <is>
          <t>Born Girish Raghunath Karnad on 19 May 1938; died 10 June 2019. A playwright, actor, film director and writer who worked in Kannada, Hindi, Tamil, Telugu, Malayalam and Marathi films. His emergence as a playwright in the 1960s is described as the coming of age of modern Indian playwriting in Kannada.</t>
        </is>
      </c>
      <c r="I61" s="5" t="inlineStr">
        <is>
          <t>Established first in the theatre; his plays include Tughlaq and Taledanda.</t>
        </is>
      </c>
      <c r="J61" s="5" t="inlineStr">
        <is>
          <t>With Kapoor: Kalyug (1981) as writer, Utsav (1984) as director and writer. Elsewhere: the plays Tughlaq and Taledanda, and a long acting career.</t>
        </is>
      </c>
      <c r="K61" s="19" t="inlineStr">
        <is>
          <t>History and mythology used to argue contemporary questions; power, desire and social order.</t>
        </is>
      </c>
      <c r="L61" s="19" t="inlineStr">
        <is>
          <t>A dramatist's cinema, built on structure and argument, drawing openly on classical sources.</t>
        </is>
      </c>
      <c r="M61" s="5" t="inlineStr">
        <is>
          <t>The Jnanpith Award in 1998, the highest literary honour in India.</t>
        </is>
      </c>
      <c r="N61" s="19" t="inlineStr">
        <is>
          <t>One of the most important Indian playwrights of the twentieth century and a central figure of the parallel cinema.</t>
        </is>
      </c>
      <c r="O61" s="19" t="inlineStr">
        <is>
          <t>Two films, both inside Kapoor's own producing programme. He wrote Kalyug (1981), Shyam Benegal's transposition of the Mahabharata to an industrial family, and wrote and directed Utsav (1984), an adaptation of the Sanskrit Mrichhakatika. Both were financed by Kapoor through Film-Valas, and Utsav — an expensive period piece about a courtesan — failed commercially and effectively ended his career as a producer. The romances in these two films are among the most unusual in the filmography, drawn from classical rather than contemporary models.</t>
        </is>
      </c>
      <c r="P61" s="17" t="n">
        <v>2</v>
      </c>
      <c r="Q61" s="5" t="inlineStr">
        <is>
          <t>FILM-100; FILM-114</t>
        </is>
      </c>
      <c r="R61" s="5" t="inlineStr">
        <is>
          <t>Utsav (1984)</t>
        </is>
      </c>
      <c r="S61" s="5" t="inlineStr">
        <is>
          <t>Girish Karnad wrote one Shashi Kapoor film and wrote and directed another, and both belong to the parallel-cinema slate Kapoor financed himself. Kalyug in 1981, directed by Shyam Benegal from Karnad's script, restages the Mahabharata inside a warring industrial family, with Kapoor as one of its compromised heirs. Utsav in 1984, which Karnad directed, adapts the Sanskrit play Mrichhakatika into a lavish erotic comedy about a courtesan and a merchant; it cost a great deal, failed at the box office, and effectively ended Kapoor's career as a producer. The romances in the two films are drawn from classical rather than contemporary models, which makes their rows among the most unusual in this workbook's Romances sheet. Karnad, born in 1938, was among the most important Indian playwrights of his century — Tughlaq and Taledanda are staples of the modern Indian stage — and won the Jnanpith Award in 1998, the highest literary honour in India. He acted widely and directed in several languages, and died in 2019. His article does not discuss Kapoor directly.</t>
        </is>
      </c>
      <c r="T61" s="5" t="inlineStr">
        <is>
          <t>SOURCE-176</t>
        </is>
      </c>
      <c r="U61" s="5" t="inlineStr">
        <is>
          <t>High</t>
        </is>
      </c>
    </row>
    <row r="62" ht="154" customHeight="1">
      <c r="A62" s="15" t="inlineStr">
        <is>
          <t>PERSON-061</t>
        </is>
      </c>
      <c r="B62" s="5" t="inlineStr">
        <is>
          <t>Gulshan Rai</t>
        </is>
      </c>
      <c r="C62" s="5" t="inlineStr">
        <is>
          <t>Producer</t>
        </is>
      </c>
      <c r="D62" s="17" t="n">
        <v>1924</v>
      </c>
      <c r="E62" s="17" t="n">
        <v>2004</v>
      </c>
      <c r="F62" s="5" t="inlineStr">
        <is>
          <t>1950s–1990s</t>
        </is>
      </c>
      <c r="G62" s="5" t="inlineStr">
        <is>
          <t>Hindi cinema</t>
        </is>
      </c>
      <c r="H62" s="5" t="inlineStr">
        <is>
          <t>Born Gulshan Madhosh Rai on 2 March 1924 in Lahore; died 11 October 2004. He moved to Mumbai after partition in 1947 and began as a film distributor, founding the production company Trimurti Films (PERSON-085) in 1969.</t>
        </is>
      </c>
      <c r="I62" s="5" t="inlineStr">
        <is>
          <t>As producer, Johny Mera Naam (1970), directed by Vijay Anand.</t>
        </is>
      </c>
      <c r="J62" s="5" t="inlineStr">
        <is>
          <t>With Kapoor: Deewaar (1975), Trishul (1978). Elsewhere: Johny Mera Naam (1970), Vidhaata (1982), Tridev, Vishwatma, Mohra and Gupt.</t>
        </is>
      </c>
      <c r="K62" s="19" t="inlineStr">
        <is>
          <t>Crime and revenge drama; the star vehicle built around a wronged protagonist.</t>
        </is>
      </c>
      <c r="L62" s="19" t="inlineStr">
        <is>
          <t>Not applicable; a producer and distributor with an unusually sure commercial instinct.</t>
        </is>
      </c>
      <c r="M62" s="5" t="inlineStr">
        <is>
          <t>His article places him in the category of Padma Shri recipients in the arts.</t>
        </is>
      </c>
      <c r="N62" s="19" t="inlineStr">
        <is>
          <t>The producer of Deewaar and Trishul, two of the films that established the angry-young-man cycle, and the man who, his article says, made Amitabh Bachchan a superstar and launched Salim–Javed's careers.</t>
        </is>
      </c>
      <c r="O62" s="19" t="inlineStr">
        <is>
          <t>Two films, but two of the most important in the filmography: Deewaar (1975) and Trishul (1978), both directed by Yash Chopra (PERSON-005) and written by Salim–Javed (PERSON-010). In both, Kapoor plays the lawful brother against Amitabh Bachchan's transgressor, and Deewaar brought him the Filmfare Award for Best Supporting Actor. The Trimurti Films banner credit on the same two films is recorded at PERSON-085.</t>
        </is>
      </c>
      <c r="P62" s="17" t="n">
        <v>2</v>
      </c>
      <c r="Q62" s="5" t="inlineStr">
        <is>
          <t>FILM-052; FILM-078</t>
        </is>
      </c>
      <c r="R62" s="5" t="inlineStr">
        <is>
          <t>Deewaar (1975)</t>
        </is>
      </c>
      <c r="S62" s="5" t="inlineStr">
        <is>
          <t>Gulshan Rai produced Deewaar and Trishul, two of the films on which Shashi Kapoor's reputation of the 1970s rests. Both were directed by Yash Chopra and written by Salim–Javed, and in both Kapoor is the lawful brother set against Amitabh Bachchan; Deewaar won him the Filmfare Award for Best Supporting Actor and gave him the most quoted line in Hindi cinema. Born in Lahore in 1924, Rai came to Bombay after partition, worked first as a distributor, and founded Trimurti Films in 1969, producing Johny Mera Naam the following year. His article credits the Yash Chopra films he financed with making Bachchan a superstar and with establishing Salim–Javed, and he continued producing into the 1990s through his son Rajiv Rai. He died in 2004. The article does not mention Kapoor.</t>
        </is>
      </c>
      <c r="T62" s="5" t="inlineStr">
        <is>
          <t>SOURCE-177</t>
        </is>
      </c>
      <c r="U62" s="5" t="inlineStr">
        <is>
          <t>High</t>
        </is>
      </c>
    </row>
    <row r="63" ht="109" customHeight="1">
      <c r="A63" s="15" t="inlineStr">
        <is>
          <t>PERSON-062</t>
        </is>
      </c>
      <c r="B63" s="5" t="inlineStr">
        <is>
          <t>Gyandev Agnihotri</t>
        </is>
      </c>
      <c r="C63" s="5" t="inlineStr">
        <is>
          <t>Writer</t>
        </is>
      </c>
      <c r="D63" s="18" t="n"/>
      <c r="E63" s="18" t="n"/>
      <c r="F63" s="5" t="n"/>
      <c r="G63" s="5" t="inlineStr">
        <is>
          <t>Hindi cinema</t>
        </is>
      </c>
      <c r="H63" s="5" t="inlineStr">
        <is>
          <t>No Wikipedia article exists for him, and none was found under any variant spelling. Everything here rests on the credits of the two films.</t>
        </is>
      </c>
      <c r="I63" s="5" t="n"/>
      <c r="J63" s="5" t="inlineStr">
        <is>
          <t>With Kapoor: Ghar Ek Mandir (1984), Sindoor (1987).</t>
        </is>
      </c>
      <c r="K63" s="19" t="inlineStr">
        <is>
          <t>Family melodrama of the mid-1980s.</t>
        </is>
      </c>
      <c r="L63" s="19" t="inlineStr">
        <is>
          <t>Not established; no biographical source was located.</t>
        </is>
      </c>
      <c r="M63" s="5" t="n"/>
      <c r="N63" s="19" t="inlineStr">
        <is>
          <t>Not established.</t>
        </is>
      </c>
      <c r="O63" s="19" t="inlineStr">
        <is>
          <t>Two writing credits, Ghar Ek Mandir (1984) and Sindoor (1987), the same pair produced by A. Krishnamurthy (PERSON-050) and scored by Laxmikant–Pyarelal (PERSON-001). Sindoor was the last commercial success of Kapoor's career, which makes this small unit the one that produced his final hit.</t>
        </is>
      </c>
      <c r="P63" s="17" t="n">
        <v>2</v>
      </c>
      <c r="Q63" s="5" t="inlineStr">
        <is>
          <t>FILM-112; FILM-130</t>
        </is>
      </c>
      <c r="R63" s="5" t="inlineStr">
        <is>
          <t>Sindoor (1987)</t>
        </is>
      </c>
      <c r="S63" s="5" t="inlineStr">
        <is>
          <t>Gyandev Agnihotri wrote two Shashi Kapoor films, Ghar Ek Mandir in 1984 and Sindoor in 1987. The two go together: the same producer, A. Krishnamurthy, and the same composers, Laxmikant–Pyarelal, worked on both, so they represent one small production unit working twice in the family-melodrama register that suited Kapoor's senior roles of the mid-1980s. Sindoor was the last commercial success of his career. No Wikipedia article exists for Agnihotri under this name or any variant attempted in research, and no other biographical source was found, so nothing further can responsibly be said. The entry is graded Low and rests on the two films' credits.</t>
        </is>
      </c>
      <c r="T63" s="5" t="inlineStr">
        <is>
          <t>SOURCE-093; SOURCE-107</t>
        </is>
      </c>
      <c r="U63" s="5" t="inlineStr">
        <is>
          <t>Low</t>
        </is>
      </c>
    </row>
    <row r="64" ht="139" customHeight="1">
      <c r="A64" s="15" t="inlineStr">
        <is>
          <t>PERSON-063</t>
        </is>
      </c>
      <c r="B64" s="5" t="inlineStr">
        <is>
          <t>Harmesh Malhotra</t>
        </is>
      </c>
      <c r="C64" s="5" t="inlineStr">
        <is>
          <t>Director</t>
        </is>
      </c>
      <c r="D64" s="17" t="n">
        <v>1936</v>
      </c>
      <c r="E64" s="17" t="n">
        <v>2005</v>
      </c>
      <c r="F64" s="5" t="inlineStr">
        <is>
          <t>1969–2005</t>
        </is>
      </c>
      <c r="G64" s="5" t="inlineStr">
        <is>
          <t>Hindi cinema</t>
        </is>
      </c>
      <c r="H64" s="5" t="inlineStr">
        <is>
          <t>Born 14 June 1936; died 22 November 2005. An Indian film director, producer and screenplay writer. His article is brief and gives little beyond these facts.</t>
        </is>
      </c>
      <c r="I64" s="5" t="inlineStr">
        <is>
          <t>Directing from 1969.</t>
        </is>
      </c>
      <c r="J64" s="5" t="inlineStr">
        <is>
          <t>With Kapoor: Amar Shakti (1978), Phaansi (1978).</t>
        </is>
      </c>
      <c r="K64" s="19" t="inlineStr">
        <is>
          <t>Commercial action and costume drama.</t>
        </is>
      </c>
      <c r="L64" s="19" t="inlineStr">
        <is>
          <t>Not assessed in the article.</t>
        </is>
      </c>
      <c r="M64" s="5" t="n"/>
      <c r="N64" s="19" t="inlineStr">
        <is>
          <t>Not established from the available source.</t>
        </is>
      </c>
      <c r="O64" s="19" t="inlineStr">
        <is>
          <t>Two films, both released in 1978 — Amar Shakti and Phaansi — at the height of Kapoor's output, when he was appearing in as many as six or seven releases a year. Amar Shakti was produced by A. K. Nadiadwala (PERSON-049). Both are scored by Laxmikant–Pyarelal (PERSON-001). His article does not mention Kapoor.</t>
        </is>
      </c>
      <c r="P64" s="17" t="n">
        <v>2</v>
      </c>
      <c r="Q64" s="5" t="inlineStr">
        <is>
          <t>FILM-074; FILM-075</t>
        </is>
      </c>
      <c r="R64" s="5" t="inlineStr">
        <is>
          <t>Amar Shakti (1978)</t>
        </is>
      </c>
      <c r="S64" s="5" t="inlineStr">
        <is>
          <t>Harmesh Malhotra directed two Shashi Kapoor films, Amar Shakti and Phaansi, both released in 1978 — a single year in which Kapoor appeared in a long string of films and was working at a pace that became notorious in the industry, and which accounts for more entries in this filmography than any other twelve months. Both are commercial vehicles of the period, scored by Laxmikant–Pyarelal, and Amar Shakti was produced by A. K. Nadiadwala, who had also produced Aa Gale Lag Jaa five years earlier. Malhotra, born on 14 June 1936, directed from 1969 until 2005 and also worked as a producer and screenplay writer across that period. His Wikipedia article is a few lines long: it records those three functions and his dates, offers no account of his style or standing and names none of his other films, and it does not mention Kapoor. This entry therefore rests mainly on the film credits, and is graded Medium.</t>
        </is>
      </c>
      <c r="T64" s="5" t="inlineStr">
        <is>
          <t>SOURCE-178</t>
        </is>
      </c>
      <c r="U64" s="5" t="inlineStr">
        <is>
          <t>Medium</t>
        </is>
      </c>
    </row>
    <row r="65" ht="139" customHeight="1">
      <c r="A65" s="15" t="inlineStr">
        <is>
          <t>PERSON-064</t>
        </is>
      </c>
      <c r="B65" s="5" t="inlineStr">
        <is>
          <t>J. V. Films</t>
        </is>
      </c>
      <c r="C65" s="5" t="inlineStr">
        <is>
          <t>Production banner</t>
        </is>
      </c>
      <c r="D65" s="18" t="n"/>
      <c r="E65" s="18" t="n"/>
      <c r="F65" s="5" t="n"/>
      <c r="G65" s="5" t="inlineStr">
        <is>
          <t>Hindi cinema</t>
        </is>
      </c>
      <c r="H65" s="5" t="inlineStr">
        <is>
          <t>No Wikipedia article exists for this banner under J. V. Films or JV Films. Everything here rests on the credits of the two films.</t>
        </is>
      </c>
      <c r="I65" s="5" t="n"/>
      <c r="J65" s="5" t="inlineStr">
        <is>
          <t>With Kapoor: Insaaniyat (1974), Oonch Neech Beech (1989).</t>
        </is>
      </c>
      <c r="K65" s="19" t="inlineStr">
        <is>
          <t>Commercial Hindi production across a fifteen-year span.</t>
        </is>
      </c>
      <c r="L65" s="19" t="inlineStr">
        <is>
          <t>Not applicable.</t>
        </is>
      </c>
      <c r="M65" s="5" t="n"/>
      <c r="N65" s="19" t="inlineStr">
        <is>
          <t>Not established.</t>
        </is>
      </c>
      <c r="O65" s="19" t="inlineStr">
        <is>
          <t>Two banner credits fifteen years apart, Insaaniyat (1974) and Oonch Neech Beech (1989), and on both the producers are Jagdish Varma (PERSON-065) and Satpal Varma (PERSON-082). The initials and the constant producing team make it near certain that J. V. Films is the Varmas' own banner, though no source confirms this and it is recorded here as an inference rather than a fact.</t>
        </is>
      </c>
      <c r="P65" s="17" t="n">
        <v>2</v>
      </c>
      <c r="Q65" s="5" t="inlineStr">
        <is>
          <t>FILM-047; FILM-144</t>
        </is>
      </c>
      <c r="R65" s="5" t="inlineStr">
        <is>
          <t>Insaaniyat (1974)</t>
        </is>
      </c>
      <c r="S65" s="5" t="inlineStr">
        <is>
          <t>J. V. Films is the banner on two Shashi Kapoor films fifteen years apart: Insaaniyat in 1974, directed by Prayag Raj, and Oonch Neech Beech in 1989. Both were produced by Jagdish Varma and Satpal Varma, who appear separately in this sheet, and the shared initials together with the identical producing team make it very likely that the banner was the Varmas' own company — an inference recorded as such, since no source was found to confirm it. No Wikipedia article exists under either spelling tried in research, so nothing can be said of the company's other output or its years of operation. The entry is graded Low and rests on the two films' credits.</t>
        </is>
      </c>
      <c r="T65" s="5" t="inlineStr">
        <is>
          <t>SOURCE-039; SOURCE-119</t>
        </is>
      </c>
      <c r="U65" s="5" t="inlineStr">
        <is>
          <t>Low</t>
        </is>
      </c>
    </row>
    <row r="66" ht="139" customHeight="1">
      <c r="A66" s="15" t="inlineStr">
        <is>
          <t>PERSON-065</t>
        </is>
      </c>
      <c r="B66" s="5" t="inlineStr">
        <is>
          <t>Jagdish Varma</t>
        </is>
      </c>
      <c r="C66" s="5" t="inlineStr">
        <is>
          <t>Producer</t>
        </is>
      </c>
      <c r="D66" s="18" t="n"/>
      <c r="E66" s="18" t="n"/>
      <c r="F66" s="5" t="n"/>
      <c r="G66" s="5" t="inlineStr">
        <is>
          <t>Hindi cinema</t>
        </is>
      </c>
      <c r="H66" s="5" t="inlineStr">
        <is>
          <t>No Wikipedia article exists for him, and none was found under any variant spelling. Everything here rests on the credits of the two films.</t>
        </is>
      </c>
      <c r="I66" s="5" t="n"/>
      <c r="J66" s="5" t="inlineStr">
        <is>
          <t>With Kapoor: Insaaniyat (1974), Oonch Neech Beech (1989).</t>
        </is>
      </c>
      <c r="K66" s="19" t="inlineStr">
        <is>
          <t>Commercial Hindi production.</t>
        </is>
      </c>
      <c r="L66" s="19" t="inlineStr">
        <is>
          <t>Not applicable; no biographical source was located.</t>
        </is>
      </c>
      <c r="M66" s="5" t="n"/>
      <c r="N66" s="19" t="inlineStr">
        <is>
          <t>Not established.</t>
        </is>
      </c>
      <c r="O66" s="19" t="inlineStr">
        <is>
          <t>Two producing credits fifteen years apart, Insaaniyat (1974) and Oonch Neech Beech (1989), on both of which he is paired with Satpal Varma (PERSON-082) under the J. V. Films banner (PERSON-064). The gap between the two films is unusual and suggests a family concern returning to the same star after a long interval rather than a continuous production business.</t>
        </is>
      </c>
      <c r="P66" s="17" t="n">
        <v>2</v>
      </c>
      <c r="Q66" s="5" t="inlineStr">
        <is>
          <t>FILM-047; FILM-144</t>
        </is>
      </c>
      <c r="R66" s="5" t="inlineStr">
        <is>
          <t>Insaaniyat (1974)</t>
        </is>
      </c>
      <c r="S66" s="5" t="inlineStr">
        <is>
          <t>Jagdish Varma produced two Shashi Kapoor films, Insaaniyat in 1974 and Oonch Neech Beech in 1989, working on both with Satpal Varma under the J. V. Films banner. The fifteen-year gap between them is the striking feature: the same producing pair, the same banner and the same lead actor, with nothing in between recorded in this filmography, which suggests a family concern that returned to Kapoor long after their first film rather than a continuously active production house. No Wikipedia article exists for him under this name or any variant attempted in research, and no other biographical source was located. The entry is graded Low and rests entirely on the film credits.</t>
        </is>
      </c>
      <c r="T66" s="5" t="inlineStr">
        <is>
          <t>SOURCE-039; SOURCE-119</t>
        </is>
      </c>
      <c r="U66" s="5" t="inlineStr">
        <is>
          <t>Low</t>
        </is>
      </c>
    </row>
    <row r="67" ht="139" customHeight="1">
      <c r="A67" s="15" t="inlineStr">
        <is>
          <t>PERSON-066</t>
        </is>
      </c>
      <c r="B67" s="5" t="inlineStr">
        <is>
          <t>Jainendra Jain</t>
        </is>
      </c>
      <c r="C67" s="5" t="inlineStr">
        <is>
          <t>Writer</t>
        </is>
      </c>
      <c r="D67" s="17" t="n">
        <v>1939</v>
      </c>
      <c r="E67" s="17" t="n">
        <v>2007</v>
      </c>
      <c r="F67" s="5" t="n"/>
      <c r="G67" s="5" t="inlineStr">
        <is>
          <t>Hindi cinema</t>
        </is>
      </c>
      <c r="H67" s="5" t="inlineStr">
        <is>
          <t>Born Jainendra Kumar Jain on 4 October 1939; died 23 December 2007. A Bollywood writer, director and film producer based in Mumbai. His article is short and offers little beyond these facts.</t>
        </is>
      </c>
      <c r="I67" s="5" t="inlineStr">
        <is>
          <t>Not recorded in the article.</t>
        </is>
      </c>
      <c r="J67" s="5" t="inlineStr">
        <is>
          <t>With Kapoor: Satyam Shivam Sundaram (1978), Bhavani Junction (1985).</t>
        </is>
      </c>
      <c r="K67" s="19" t="inlineStr">
        <is>
          <t>Not established from the article; the two Kapoor films are very different in register.</t>
        </is>
      </c>
      <c r="L67" s="19" t="inlineStr">
        <is>
          <t>Not assessed in the article.</t>
        </is>
      </c>
      <c r="M67" s="5" t="n"/>
      <c r="N67" s="19" t="inlineStr">
        <is>
          <t>Not established from the available source.</t>
        </is>
      </c>
      <c r="O67" s="19" t="inlineStr">
        <is>
          <t>Two writing credits seven years apart. Satyam Shivam Sundaram (1978) is much the more significant — Raj Kapoor's production, directed by the actor's eldest brother, with Shashi as the adult lead opposite Zeenat Aman, and one of the most discussed films of his career. Bhavani Junction (1985) belongs to his later commercial period. His article does not mention Kapoor.</t>
        </is>
      </c>
      <c r="P67" s="17" t="n">
        <v>2</v>
      </c>
      <c r="Q67" s="5" t="inlineStr">
        <is>
          <t>FILM-076; FILM-119</t>
        </is>
      </c>
      <c r="R67" s="5" t="inlineStr">
        <is>
          <t>Satyam Shivam Sundaram (1978)</t>
        </is>
      </c>
      <c r="S67" s="5" t="inlineStr">
        <is>
          <t>Jainendra Jain has two writing credits in this filmography, and they sit at opposite ends of Shashi Kapoor's standing. Satyam Shivam Sundaram in 1978 is an R. K. production directed by Raj Kapoor, with his youngest brother as the adult male lead opposite Zeenat Aman in a film whose treatment of beauty and disfigurement drew large audiences and heavy criticism in equal measure; Bhavani Junction in 1985 is an ordinary commercial picture of his later career. Jain, born in 1939, worked as a writer, director and producer in Mumbai until his death in 2007. His Wikipedia article runs to a couple of sentences and records nothing of his style, training or wider output, so this entry rests largely on the two credits and is graded Medium.</t>
        </is>
      </c>
      <c r="T67" s="5" t="inlineStr">
        <is>
          <t>SOURCE-179</t>
        </is>
      </c>
      <c r="U67" s="5" t="inlineStr">
        <is>
          <t>Medium</t>
        </is>
      </c>
    </row>
    <row r="68" ht="124" customHeight="1">
      <c r="A68" s="15" t="inlineStr">
        <is>
          <t>PERSON-067</t>
        </is>
      </c>
      <c r="B68" s="5" t="inlineStr">
        <is>
          <t>K. Asif Studios</t>
        </is>
      </c>
      <c r="C68" s="5" t="inlineStr">
        <is>
          <t>Production banner</t>
        </is>
      </c>
      <c r="D68" s="18" t="n"/>
      <c r="E68" s="18" t="n"/>
      <c r="F68" s="5" t="n"/>
      <c r="G68" s="5" t="inlineStr">
        <is>
          <t>Hindi cinema</t>
        </is>
      </c>
      <c r="H68" s="5" t="inlineStr">
        <is>
          <t>The studio bearing the name of the director K. Asif (born Asif Karim, 14 June 1922 – 9 March 1971). It has no Wikipedia article of its own; the source used here is the article on Asif himself, and the entry is graded accordingly. Both of its credits in this filmography fall after his death.</t>
        </is>
      </c>
      <c r="I68" s="5" t="inlineStr">
        <is>
          <t>Asif worked from 1945 to 1971; the studio credits here postdate him.</t>
        </is>
      </c>
      <c r="J68" s="5" t="inlineStr">
        <is>
          <t>With Kapoor: Aa Gale Lag Jaa (1973), Chor Machaye Shor (1974). Asif's own defining work is Mughal-e-Azam (1960).</t>
        </is>
      </c>
      <c r="K68" s="19" t="inlineStr">
        <is>
          <t>Not applicable to the banner; Asif's own reputation rests on a single monumental historical epic.</t>
        </is>
      </c>
      <c r="L68" s="19" t="inlineStr">
        <is>
          <t>Not applicable.</t>
        </is>
      </c>
      <c r="M68" s="5" t="inlineStr">
        <is>
          <t>For Mughal-e-Azam: the Filmfare Award for Best Film in 1960, a Best Director nomination, and the President's award for Best Feature Film in Hindi.</t>
        </is>
      </c>
      <c r="N68" s="19" t="inlineStr">
        <is>
          <t>Asif made Mughal-e-Azam, among the most celebrated films in Indian cinema; the studio carrying his name is a far smaller matter.</t>
        </is>
      </c>
      <c r="O68" s="19" t="inlineStr">
        <is>
          <t>Two banner credits, Aa Gale Lag Jaa (1973) and Chor Machaye Shor (1974), both after Asif's death in 1971 — so the credit records the facility and the name rather than any involvement by the director himself. Chor Machaye Shor was one of the top box-office films of 1974 and central to Kapoor's rise to full commercial stardom.</t>
        </is>
      </c>
      <c r="P68" s="17" t="n">
        <v>2</v>
      </c>
      <c r="Q68" s="5" t="inlineStr">
        <is>
          <t>FILM-043; FILM-048</t>
        </is>
      </c>
      <c r="R68" s="5" t="inlineStr">
        <is>
          <t>Chor Machaye Shor (1974)</t>
        </is>
      </c>
      <c r="S68" s="5" t="inlineStr">
        <is>
          <t>K. Asif Studios appears on two Shashi Kapoor films, Aa Gale Lag Jaa in 1973 and Chor Machaye Shor in 1974, the second of them among the top-grossing Hindi releases of its year and a turning point in the actor's commercial standing. Both credits fall after the death in 1971 of K. Asif himself, so they record a facility operating under his name rather than any participation by the director. Asif, born Asif Karim in 1922, is remembered for one film above all others: Mughal-e-Azam in 1960, which won the Filmfare Award for Best Film and the President's award for Best Feature Film in Hindi and remains among the most celebrated productions in Indian cinema. The studio has no article of its own, so this entry is drawn from his, and is graded Low.</t>
        </is>
      </c>
      <c r="T68" s="5" t="inlineStr">
        <is>
          <t>SOURCE-180</t>
        </is>
      </c>
      <c r="U68" s="5" t="inlineStr">
        <is>
          <t>Low</t>
        </is>
      </c>
    </row>
    <row r="69" ht="109" customHeight="1">
      <c r="A69" s="15" t="inlineStr">
        <is>
          <t>PERSON-068</t>
        </is>
      </c>
      <c r="B69" s="5" t="inlineStr">
        <is>
          <t>K. B. Pathak</t>
        </is>
      </c>
      <c r="C69" s="5" t="inlineStr">
        <is>
          <t>Writer</t>
        </is>
      </c>
      <c r="D69" s="18" t="n"/>
      <c r="E69" s="18" t="n"/>
      <c r="F69" s="5" t="n"/>
      <c r="G69" s="5" t="inlineStr">
        <is>
          <t>Hindi cinema</t>
        </is>
      </c>
      <c r="H69" s="5" t="inlineStr">
        <is>
          <t>No Wikipedia article exists for him under this name or the variant K.B. Pathak. Everything here rests on the credits of the two films.</t>
        </is>
      </c>
      <c r="I69" s="5" t="n"/>
      <c r="J69" s="5" t="inlineStr">
        <is>
          <t>With Kapoor: Aa Gale Lag Jaa (1973), Maa Beti (1986).</t>
        </is>
      </c>
      <c r="K69" s="19" t="inlineStr">
        <is>
          <t>Not established; the two credits are thirteen years apart and very different in kind.</t>
        </is>
      </c>
      <c r="L69" s="19" t="inlineStr">
        <is>
          <t>Not established; no biographical source was located.</t>
        </is>
      </c>
      <c r="M69" s="5" t="n"/>
      <c r="N69" s="19" t="inlineStr">
        <is>
          <t>Not established.</t>
        </is>
      </c>
      <c r="O69" s="19" t="inlineStr">
        <is>
          <t>Two writing credits thirteen years apart: Aa Gale Lag Jaa (1973), the Manmohan Desai film that was among Kapoor's substantial successes of the early 1970s, and Maa Beti (1986), directed by Kalpataru near the end of his career as a regular lead.</t>
        </is>
      </c>
      <c r="P69" s="17" t="n">
        <v>2</v>
      </c>
      <c r="Q69" s="5" t="inlineStr">
        <is>
          <t>FILM-043; FILM-125</t>
        </is>
      </c>
      <c r="R69" s="5" t="inlineStr">
        <is>
          <t>Aa Gale Lag Jaa (1973)</t>
        </is>
      </c>
      <c r="S69" s="5" t="inlineStr">
        <is>
          <t>K. B. Pathak has two writing credits in this filmography, thirteen years apart: Aa Gale Lag Jaa in 1973, directed by Manmohan Desai and among Shashi Kapoor's more successful films of the early 1970s, and Maa Beti in 1986, a late family melodrama directed by Kalpataru. No Wikipedia article exists for him under this spelling or the unspaced variant, and no other biographical source was found during research, so nothing can be said about his training, his wider output or even his dates. The two films share no director, producer or banner, and the pairing appears to be coincidence rather than an association. The entry is graded Low and rests on the film credits alone.</t>
        </is>
      </c>
      <c r="T69" s="5" t="inlineStr">
        <is>
          <t>SOURCE-033; SOURCE-103</t>
        </is>
      </c>
      <c r="U69" s="5" t="inlineStr">
        <is>
          <t>Low</t>
        </is>
      </c>
    </row>
    <row r="70" ht="139" customHeight="1">
      <c r="A70" s="15" t="inlineStr">
        <is>
          <t>PERSON-069</t>
        </is>
      </c>
      <c r="B70" s="5" t="inlineStr">
        <is>
          <t>Kanak Mishra</t>
        </is>
      </c>
      <c r="C70" s="5" t="inlineStr">
        <is>
          <t>Director; Writer</t>
        </is>
      </c>
      <c r="D70" s="18" t="n"/>
      <c r="E70" s="18" t="n"/>
      <c r="F70" s="5" t="n"/>
      <c r="G70" s="5" t="inlineStr">
        <is>
          <t>Hindi cinema</t>
        </is>
      </c>
      <c r="H70" s="5" t="inlineStr">
        <is>
          <t>No Wikipedia article exists for him under this name or the variant Kanak Mishra (director). Everything here rests on the credits of the two films.</t>
        </is>
      </c>
      <c r="I70" s="5" t="n"/>
      <c r="J70" s="5" t="inlineStr">
        <is>
          <t>With Kapoor: Yeh Dil Kisko Doon (1963), Naina (1973).</t>
        </is>
      </c>
      <c r="K70" s="19" t="inlineStr">
        <is>
          <t>Romantic drama, on the evidence of both credits.</t>
        </is>
      </c>
      <c r="L70" s="19" t="inlineStr">
        <is>
          <t>Not established; no biographical source was located.</t>
        </is>
      </c>
      <c r="M70" s="5" t="n"/>
      <c r="N70" s="19" t="inlineStr">
        <is>
          <t>Not established.</t>
        </is>
      </c>
      <c r="O70" s="19" t="inlineStr">
        <is>
          <t>Two films a decade apart, and the first belongs to Kapoor's difficult early period: he both wrote and directed Yeh Dil Kisko Doon (1963), one of the modest successes that followed the commercial failures of Dharmputra and Char Diwari and kept his career alive before Waqt and Jab Jab Phool Khile made him a star in 1965. He directed Naina (1973) ten years later.</t>
        </is>
      </c>
      <c r="P70" s="17" t="n">
        <v>2</v>
      </c>
      <c r="Q70" s="5" t="inlineStr">
        <is>
          <t>FILM-011; FILM-042</t>
        </is>
      </c>
      <c r="R70" s="5" t="inlineStr">
        <is>
          <t>Yeh Dil Kisko Doon (1963)</t>
        </is>
      </c>
      <c r="S70" s="5" t="inlineStr">
        <is>
          <t>Kanak Mishra wrote and directed Yeh Dil Kisko Doon in 1963 and directed Naina in 1973. The first of these matters more than its obscurity suggests: it comes in the period after Dharmputra and Char Diwari had both failed, when Shashi Kapoor's future as a leading man was uncertain, and it was among the modest successes that carried him to 1965, the year Waqt and Jab Jab Phool Khile made him a star. Naina followed a decade later, during his commercial peak. No Wikipedia article exists for Mishra under this name or any variant attempted in research, and no other biographical source was located, so nothing can be said of his wider career. The entry is graded Low and rests on the two films' credits.</t>
        </is>
      </c>
      <c r="T70" s="5" t="inlineStr">
        <is>
          <t>SOURCE-009; SOURCE-034</t>
        </is>
      </c>
      <c r="U70" s="5" t="inlineStr">
        <is>
          <t>Low</t>
        </is>
      </c>
    </row>
    <row r="71" ht="139" customHeight="1">
      <c r="A71" s="15" t="inlineStr">
        <is>
          <t>PERSON-070</t>
        </is>
      </c>
      <c r="B71" s="5" t="inlineStr">
        <is>
          <t>Lime Light</t>
        </is>
      </c>
      <c r="C71" s="5" t="inlineStr">
        <is>
          <t>Production banner</t>
        </is>
      </c>
      <c r="D71" s="18" t="n"/>
      <c r="E71" s="18" t="n"/>
      <c r="F71" s="5" t="n"/>
      <c r="G71" s="5" t="inlineStr">
        <is>
          <t>Hindi cinema</t>
        </is>
      </c>
      <c r="H71" s="5" t="inlineStr">
        <is>
          <t>No Wikipedia article exists for this banner. Everything here rests on the credits of the two films.</t>
        </is>
      </c>
      <c r="I71" s="5" t="n"/>
      <c r="J71" s="5" t="inlineStr">
        <is>
          <t>With Kapoor: Jab Jab Phool Khile (1965), Raja Saab (1969).</t>
        </is>
      </c>
      <c r="K71" s="19" t="inlineStr">
        <is>
          <t>Romantic drama built on class difference.</t>
        </is>
      </c>
      <c r="L71" s="19" t="inlineStr">
        <is>
          <t>Not applicable.</t>
        </is>
      </c>
      <c r="M71" s="5" t="n"/>
      <c r="N71" s="19" t="inlineStr">
        <is>
          <t>Not established from any available source, although the banner produced one of the most important films of Kapoor's career.</t>
        </is>
      </c>
      <c r="O71" s="19" t="inlineStr">
        <is>
          <t>Two banner credits, Jab Jab Phool Khile (1965) and Raja Saab (1969), both directed by Suraj Prakash (PERSON-046), who likewise has no Wikipedia article. The association makes it likely that Lime Light was Suraj Prakash's own banner, though no source confirms this and it is recorded as an inference. Jab Jab Phool Khile is the film that made Kapoor a star.</t>
        </is>
      </c>
      <c r="P71" s="17" t="n">
        <v>2</v>
      </c>
      <c r="Q71" s="5" t="inlineStr">
        <is>
          <t>FILM-018; FILM-030</t>
        </is>
      </c>
      <c r="R71" s="5" t="inlineStr">
        <is>
          <t>Jab Jab Phool Khile (1965)</t>
        </is>
      </c>
      <c r="S71" s="5" t="inlineStr">
        <is>
          <t>Lime Light is the banner on the film that made Shashi Kapoor a star. Jab Jab Phool Khile in 1965 cast him as a Kashmiri boatman opposite Nanda's wealthy visitor, won him the BFJA Best Actor award and fixed the courteous romantic persona that shapes most of the pairings recorded in this workbook; the banner returned for Raja Saab in 1969. Both films were directed by Suraj Prakash, and since he too has no Wikipedia article, an entire small production unit responsible for a pivotal film in this filmography is undocumented. That the banner was probably Suraj Prakash's own is an inference from the two shared credits, not a sourced fact. The entry is graded Low.</t>
        </is>
      </c>
      <c r="T71" s="5" t="inlineStr">
        <is>
          <t>SOURCE-013; SOURCE-020</t>
        </is>
      </c>
      <c r="U71" s="5" t="inlineStr">
        <is>
          <t>Low</t>
        </is>
      </c>
    </row>
    <row r="72" ht="124" customHeight="1">
      <c r="A72" s="15" t="inlineStr">
        <is>
          <t>PERSON-071</t>
        </is>
      </c>
      <c r="B72" s="5" t="inlineStr">
        <is>
          <t>Madan Joshi</t>
        </is>
      </c>
      <c r="C72" s="5" t="inlineStr">
        <is>
          <t>Director; Writer</t>
        </is>
      </c>
      <c r="D72" s="18" t="n"/>
      <c r="E72" s="18" t="n"/>
      <c r="F72" s="5" t="n"/>
      <c r="G72" s="5" t="inlineStr">
        <is>
          <t>Hindi cinema</t>
        </is>
      </c>
      <c r="H72" s="5" t="inlineStr">
        <is>
          <t>No Wikipedia article exists for him, and none was found under any variant spelling. Everything here rests on the credits of the two films.</t>
        </is>
      </c>
      <c r="I72" s="5" t="n"/>
      <c r="J72" s="5" t="inlineStr">
        <is>
          <t>With Kapoor: Neeyat (1980) as writer, Touhean as director.</t>
        </is>
      </c>
      <c r="K72" s="19" t="inlineStr">
        <is>
          <t>Commercial melodrama.</t>
        </is>
      </c>
      <c r="L72" s="19" t="inlineStr">
        <is>
          <t>Not established; no biographical source was located.</t>
        </is>
      </c>
      <c r="M72" s="5" t="n"/>
      <c r="N72" s="19" t="inlineStr">
        <is>
          <t>Not established.</t>
        </is>
      </c>
      <c r="O72" s="19" t="inlineStr">
        <is>
          <t>Two credits in different functions and twelve years apart: he wrote Neeyat (1980), directed by Anil Ganguly (PERSON-052), and directed Touhean, which was completed in 1987 but not released until 20 November 1992 — one of several delayed releases that make the end of Kapoor's filmography difficult to date.</t>
        </is>
      </c>
      <c r="P72" s="17" t="n">
        <v>2</v>
      </c>
      <c r="Q72" s="5" t="inlineStr">
        <is>
          <t>FILM-093; FILM-147</t>
        </is>
      </c>
      <c r="R72" s="5" t="inlineStr">
        <is>
          <t>Touhean (1992), which he directed</t>
        </is>
      </c>
      <c r="S72" s="5" t="inlineStr">
        <is>
          <t>Madan Joshi wrote Neeyat in 1980 and directed Touhean, a film completed in 1987 but held back until its release on 20 November 1992. The second belongs to the group of long-delayed pictures that cloud the chronology at the end of Shashi Kapoor's career, where completion and release years diverge by as much as five years and the filmography's ordering depends on which is used. No Wikipedia article exists for Joshi under this name or any variant attempted during research, and no other biographical source was located, so nothing further can be established about his output or dates. The entry is graded Low and rests on the two films' credits.</t>
        </is>
      </c>
      <c r="T72" s="5" t="inlineStr">
        <is>
          <t>SOURCE-077; SOURCE-118</t>
        </is>
      </c>
      <c r="U72" s="5" t="inlineStr">
        <is>
          <t>Low</t>
        </is>
      </c>
    </row>
    <row r="73" ht="169" customHeight="1">
      <c r="A73" s="15" t="inlineStr">
        <is>
          <t>PERSON-072</t>
        </is>
      </c>
      <c r="B73" s="5" t="inlineStr">
        <is>
          <t>Manmohan Desai</t>
        </is>
      </c>
      <c r="C73" s="5" t="inlineStr">
        <is>
          <t>Director</t>
        </is>
      </c>
      <c r="D73" s="17" t="n">
        <v>1937</v>
      </c>
      <c r="E73" s="17" t="n">
        <v>1994</v>
      </c>
      <c r="F73" s="5" t="inlineStr">
        <is>
          <t>1957–1994</t>
        </is>
      </c>
      <c r="G73" s="5" t="inlineStr">
        <is>
          <t>Hindi cinema</t>
        </is>
      </c>
      <c r="H73" s="5" t="inlineStr">
        <is>
          <t>Born 26 February 1937; died 1 March 1994. A film producer and director, one of the most successful filmmakers of the 1970s and 1980s and a pioneer of the masala film.</t>
        </is>
      </c>
      <c r="I73" s="5" t="inlineStr">
        <is>
          <t>Directing from 1957.</t>
        </is>
      </c>
      <c r="J73" s="5" t="inlineStr">
        <is>
          <t>With Kapoor: Aa Gale Lag Jaa (1973), Suhaag (1979). Elsewhere: Amar Akbar Anthony, Dharam Veer, Chacha Bhatija, Parvarish, Naseeb, Coolie and Mard.</t>
        </is>
      </c>
      <c r="K73" s="19" t="inlineStr">
        <is>
          <t>The lost-and-found family, brothers separated and reunited, religious plurality, and coincidence raised to a structural principle.</t>
        </is>
      </c>
      <c r="L73" s="19" t="inlineStr">
        <is>
          <t>The defining practitioner of the masala film — plot-dense, emotionally direct, and unembarrassed by implausibility.</t>
        </is>
      </c>
      <c r="M73" s="5" t="n"/>
      <c r="N73" s="19" t="inlineStr">
        <is>
          <t>With Prakash Mehra (PERSON-077) and Nasir Hussain, the filmmaker who established the masala form that dominated Hindi cinema through Kapoor's peak years.</t>
        </is>
      </c>
      <c r="O73" s="19" t="inlineStr">
        <is>
          <t>Two films, both written by Prayag Raj (PERSON-009): Aa Gale Lag Jaa (1973) and Suhaag (1979). Suhaag is one of the largest commercial successes of Kapoor's career, a lost-and-found story in which he and Amitabh Bachchan play brothers — the structure Desai used more effectively than anyone. Aa Gale Lag Jaa gave Kapoor a rarer thing in these years, a romantic lead in a film built around his own character. His article does not mention Kapoor.</t>
        </is>
      </c>
      <c r="P73" s="17" t="n">
        <v>2</v>
      </c>
      <c r="Q73" s="5" t="inlineStr">
        <is>
          <t>FILM-043; FILM-087</t>
        </is>
      </c>
      <c r="R73" s="5" t="inlineStr">
        <is>
          <t>Suhaag (1979)</t>
        </is>
      </c>
      <c r="S73" s="5" t="inlineStr">
        <is>
          <t>Manmohan Desai directed two Shashi Kapoor films, and one of them is among the biggest hits of the actor's career. Suhaag in 1979 is Desai at full strength: a lost-and-found story in which Kapoor and Amitabh Bachchan play separated brothers, written by Prayag Raj with K. K. Shukla and Kader Khan, scored by Laxmikant–Pyarelal, and constructed out of the coincidence, reunion and emotional directness that made him the defining maker of the masala film. Aa Gale Lag Jaa in 1973, also written by Prayag Raj, is the less typical of the two and gave Kapoor something rarer in these years — a romantic lead in a film built around his own character rather than a male pairing. Desai, born in 1937, was among the most commercially successful directors of his era, making Amar Akbar Anthony, Dharam Veer, Chacha Bhatija, Parvarish, Naseeb, Coolie and Mard, and is named in this sheet alongside Prakash Mehra and Nasir Hussain as a pioneer of the form. He died in 1994. His article does not mention Kapoor.</t>
        </is>
      </c>
      <c r="T73" s="5" t="inlineStr">
        <is>
          <t>SOURCE-181</t>
        </is>
      </c>
      <c r="U73" s="5" t="inlineStr">
        <is>
          <t>High</t>
        </is>
      </c>
    </row>
    <row r="74" ht="199" customHeight="1">
      <c r="A74" s="15" t="inlineStr">
        <is>
          <t>PERSON-073</t>
        </is>
      </c>
      <c r="B74" s="5" t="inlineStr">
        <is>
          <t>Merchant Ivory Productions</t>
        </is>
      </c>
      <c r="C74" s="5" t="inlineStr">
        <is>
          <t>Production banner</t>
        </is>
      </c>
      <c r="D74" s="18" t="n"/>
      <c r="E74" s="18" t="n"/>
      <c r="F74" s="5" t="inlineStr">
        <is>
          <t>1961–2005</t>
        </is>
      </c>
      <c r="G74" s="5" t="inlineStr">
        <is>
          <t>English-language international cinema</t>
        </is>
      </c>
      <c r="H74" s="5" t="inlineStr">
        <is>
          <t>A film company founded in 1961 by the producer Ismail Merchant (PERSON-006) and the director James Ivory (PERSON-015), who were life and business partners until Merchant's death in 2005. Together they made forty-four films, twenty-three of them scripted in some capacity by Ruth Prawer Jhabvala (PERSON-019).</t>
        </is>
      </c>
      <c r="I74" s="5" t="inlineStr">
        <is>
          <t>The Householder (1963), made in India.</t>
        </is>
      </c>
      <c r="J74" s="5" t="inlineStr">
        <is>
          <t>With Kapoor: Bombay Talkie (1970), Heat and Dust (1983) carry the banner credit; the company also made The Householder, Shakespeare Wallah, The Deceivers and In Custody, in which Kapoor appeared. Elsewhere: A Room with a View, Howards End and The Remains of the Day.</t>
        </is>
      </c>
      <c r="K74" s="19" t="inlineStr">
        <is>
          <t>Literary adaptation, particularly of Henry James, E. M. Forster and Jhabvala herself; the encounter between English and Indian life.</t>
        </is>
      </c>
      <c r="L74" s="19" t="inlineStr">
        <is>
          <t>The company's stated initial goal was to make English-language films in India aimed at the international market, and the look of those Indian films became, in its article's word, iconic.</t>
        </is>
      </c>
      <c r="M74" s="5" t="inlineStr">
        <is>
          <t>Academy Award wins and nominations across the company's output; Ivory received three directing nominations and finally won for the screenplay of Call Me by Your Name.</t>
        </is>
      </c>
      <c r="N74" s="19" t="inlineStr">
        <is>
          <t>The most durable independent production company in English-language art cinema, and the one that gave Indian performers a continuing route into it.</t>
        </is>
      </c>
      <c r="O74" s="19" t="inlineStr">
        <is>
          <t>The banner credit appears on only two of the films, Bombay Talkie (1970) and Heat and Dust (1983), though Kapoor appeared in at least six Merchant Ivory productions across thirty-five years. The count here should therefore not be read as the extent of the relationship, which is properly recorded under Ismail Merchant (PERSON-006), James Ivory (PERSON-015) and Ruth Prawer Jhabvala (PERSON-019). The inconsistency comes from the source data, where the production-company field is filled unevenly across the English-language films.</t>
        </is>
      </c>
      <c r="P74" s="17" t="n">
        <v>2</v>
      </c>
      <c r="Q74" s="5" t="inlineStr">
        <is>
          <t>FILM-036; FILM-109</t>
        </is>
      </c>
      <c r="R74" s="5" t="inlineStr">
        <is>
          <t>Bombay Talkie (1970)</t>
        </is>
      </c>
      <c r="S74" s="5" t="inlineStr">
        <is>
          <t>Merchant Ivory Productions carries a banner credit on two Shashi Kapoor films, Bombay Talkie in 1970 and Heat and Dust in 1983, but this understates the relationship badly: Kapoor appeared in at least six of the company's films between 1963 and 1998, and the fuller account belongs to the entries for Ismail Merchant, James Ivory and Ruth Prawer Jhabvala. The discrepancy arises from the source data, which fills the production-company field unevenly across the English-language titles. The company itself was founded in 1961 with the express aim of making English-language films in India for an international audience, and made forty-four of them before Merchant's death in 2005, moving from the Indian pictures to the Forster and James adaptations — A Room with a View, Howards End — that brought it Academy Awards. Its article does not mention Kapoor.</t>
        </is>
      </c>
      <c r="T74" s="5" t="inlineStr">
        <is>
          <t>SOURCE-182</t>
        </is>
      </c>
      <c r="U74" s="5" t="inlineStr">
        <is>
          <t>Medium</t>
        </is>
      </c>
    </row>
    <row r="75" ht="124" customHeight="1">
      <c r="A75" s="15" t="inlineStr">
        <is>
          <t>PERSON-074</t>
        </is>
      </c>
      <c r="B75" s="5" t="inlineStr">
        <is>
          <t>Mushir-Riaz</t>
        </is>
      </c>
      <c r="C75" s="5" t="inlineStr">
        <is>
          <t>Producer (producing partnership)</t>
        </is>
      </c>
      <c r="D75" s="18" t="n"/>
      <c r="E75" s="18" t="n"/>
      <c r="F75" s="5" t="inlineStr">
        <is>
          <t>1970–1997</t>
        </is>
      </c>
      <c r="G75" s="5" t="inlineStr">
        <is>
          <t>Hindi cinema</t>
        </is>
      </c>
      <c r="H75" s="5" t="inlineStr">
        <is>
          <t>A joint venture of the producers Mushir Alam (died 20 February 2019) and Mohammed Riaz (died 21 May 2022). The article used here is Mushir Alam's; there is none for the partnership itself or for Riaz, so half the pairing is undocumented. Alam was described as among Bollywood's highest-profile and most successful producers of the 1970s and 1980s, and was kidnapped in Mumbai in 1982.</t>
        </is>
      </c>
      <c r="I75" s="5" t="inlineStr">
        <is>
          <t>Producing from 1970.</t>
        </is>
      </c>
      <c r="J75" s="5" t="inlineStr">
        <is>
          <t>With Kapoor: Commando (1988), Akayla (1991). Elsewhere: Shakti (1983).</t>
        </is>
      </c>
      <c r="K75" s="19" t="inlineStr">
        <is>
          <t>Star-led action and crime pictures.</t>
        </is>
      </c>
      <c r="L75" s="19" t="inlineStr">
        <is>
          <t>Not applicable; a producing partnership.</t>
        </is>
      </c>
      <c r="M75" s="5" t="inlineStr">
        <is>
          <t>The Filmfare Award for Best Film for Shakti in 1983.</t>
        </is>
      </c>
      <c r="N75" s="19" t="inlineStr">
        <is>
          <t>A leading commercial producing outfit of the 1970s and 1980s, responsible for Shakti, the film that paired Dilip Kumar with Amitabh Bachchan.</t>
        </is>
      </c>
      <c r="O75" s="19" t="inlineStr">
        <is>
          <t>Two films at the end of Kapoor's career as a working lead: Commando (1988), directed by B. Subhash (PERSON-027), and Akayla (1991), directed by Ramesh Sippy (PERSON-038) and written by Salim Khan alone. In both, Kapoor is a supporting presence in a film built around another star. Akayla is among his last substantial commercial appearances.</t>
        </is>
      </c>
      <c r="P75" s="17" t="n">
        <v>2</v>
      </c>
      <c r="Q75" s="5" t="inlineStr">
        <is>
          <t>FILM-134; FILM-146</t>
        </is>
      </c>
      <c r="R75" s="5" t="inlineStr">
        <is>
          <t>Akayla (1991)</t>
        </is>
      </c>
      <c r="S75" s="5" t="inlineStr">
        <is>
          <t>Mushir-Riaz produced two late Shashi Kapoor films, Commando in 1988 and Akayla in 1991, both of them pictures built around other stars in which Kapoor appears in support — Akayla, directed by Ramesh Sippy and written by Salim Khan without Javed Akhtar, is among his last substantial commercial roles. The partnership was formed by Mushir Alam and Mohammed Riaz and was among the most successful producing outfits of the 1970s and 1980s, winning the Filmfare Award for Best Film for Shakti in 1983. Only Alam has a Wikipedia article, and it is that article which supports this entry: it records his kidnapping in Mumbai in 1982, his standing in the industry and his death in 2019, but nothing about Riaz beyond the fact of the joint venture, and nothing about Kapoor. The entry is graded Medium.</t>
        </is>
      </c>
      <c r="T75" s="5" t="inlineStr">
        <is>
          <t>SOURCE-183</t>
        </is>
      </c>
      <c r="U75" s="5" t="inlineStr">
        <is>
          <t>Medium</t>
        </is>
      </c>
    </row>
    <row r="76" ht="139" customHeight="1">
      <c r="A76" s="15" t="inlineStr">
        <is>
          <t>PERSON-075</t>
        </is>
      </c>
      <c r="B76" s="5" t="inlineStr">
        <is>
          <t>N. N. Sippy</t>
        </is>
      </c>
      <c r="C76" s="5" t="inlineStr">
        <is>
          <t>Producer</t>
        </is>
      </c>
      <c r="D76" s="18" t="n"/>
      <c r="E76" s="18" t="n"/>
      <c r="F76" s="5" t="n"/>
      <c r="G76" s="5" t="inlineStr">
        <is>
          <t>Hindi cinema</t>
        </is>
      </c>
      <c r="H76" s="5" t="inlineStr">
        <is>
          <t>No Wikipedia article exists for him under this spelling or the unspaced N.N. Sippy. He is a different person from G. P. Sippy (PERSON-059) and Ramesh Sippy (PERSON-038), who are father and son and appear separately in this sheet. Everything here rests on the credits of the two films.</t>
        </is>
      </c>
      <c r="I76" s="5" t="n"/>
      <c r="J76" s="5" t="inlineStr">
        <is>
          <t>With Kapoor: Chor Machaye Shor (1974), Fakira (1976).</t>
        </is>
      </c>
      <c r="K76" s="19" t="inlineStr">
        <is>
          <t>Commercial action and crime pictures of the mid-1970s.</t>
        </is>
      </c>
      <c r="L76" s="19" t="inlineStr">
        <is>
          <t>Not applicable; no biographical source was located.</t>
        </is>
      </c>
      <c r="M76" s="5" t="n"/>
      <c r="N76" s="19" t="inlineStr">
        <is>
          <t>Not established, though producing one of the top-grossing films of 1974 is a substantial credit.</t>
        </is>
      </c>
      <c r="O76" s="19" t="inlineStr">
        <is>
          <t>Two producing credits, Chor Machaye Shor (1974) and Fakira (1976), both written by S. M. Abbas (PERSON-011) and Dhruva Chatterjee (PERSON-029) and both scored by Ravindra Jain (PERSON-018) — a consistent creative unit working twice in three years. Chor Machaye Shor took one of the leading box-office places of 1974 and was central to Kapoor's rise to full commercial stardom.</t>
        </is>
      </c>
      <c r="P76" s="17" t="n">
        <v>2</v>
      </c>
      <c r="Q76" s="5" t="inlineStr">
        <is>
          <t>FILM-048; FILM-062</t>
        </is>
      </c>
      <c r="R76" s="5" t="inlineStr">
        <is>
          <t>Chor Machaye Shor (1974)</t>
        </is>
      </c>
      <c r="S76" s="5" t="inlineStr">
        <is>
          <t>N. N. Sippy produced two Shashi Kapoor films, Chor Machaye Shor in 1974 and Fakira in 1976, and the first was among the top-grossing Hindi releases of its year — one of the two films, with Roti Kapda Aur Makaan, that made Kapoor a leading commercial draw. The pair hang together closely: S. M. Abbas and Dhruva Chatterjee wrote both and Ravindra Jain scored both, so they represent one production unit returning to the same star and team. No Wikipedia article exists for him under either spelling attempted in research; he should not be confused with G. P. Sippy or Ramesh Sippy, who are unrelated to these credits and appear separately here. The entry is graded Low.</t>
        </is>
      </c>
      <c r="T76" s="5" t="inlineStr">
        <is>
          <t>SOURCE-035; SOURCE-047</t>
        </is>
      </c>
      <c r="U76" s="5" t="inlineStr">
        <is>
          <t>Low</t>
        </is>
      </c>
    </row>
    <row r="77" ht="154" customHeight="1">
      <c r="A77" s="15" t="inlineStr">
        <is>
          <t>PERSON-076</t>
        </is>
      </c>
      <c r="B77" s="5" t="inlineStr">
        <is>
          <t>Pahlaj Nihalani</t>
        </is>
      </c>
      <c r="C77" s="5" t="inlineStr">
        <is>
          <t>Producer</t>
        </is>
      </c>
      <c r="D77" s="17" t="n">
        <v>1950</v>
      </c>
      <c r="E77" s="17" t="n">
        <v>2026</v>
      </c>
      <c r="F77" s="5" t="inlineStr">
        <is>
          <t>1970s–2010s</t>
        </is>
      </c>
      <c r="G77" s="5" t="inlineStr">
        <is>
          <t>Hindi cinema</t>
        </is>
      </c>
      <c r="H77" s="5" t="inlineStr">
        <is>
          <t>Born 10 January 1950; died 4 June 2026. A film producer who was also chairman of the Central Board of Film Certification under the Ministry of Information and Broadcasting, and president of the Association of Pictures and TV Programme Producers for twenty-nine years until he resigned in 2009.</t>
        </is>
      </c>
      <c r="I77" s="5" t="inlineStr">
        <is>
          <t>Producing from the 1970s.</t>
        </is>
      </c>
      <c r="J77" s="5" t="inlineStr">
        <is>
          <t>With Kapoor: Aandhi-Toofan (1985), Ilzaam (1986).</t>
        </is>
      </c>
      <c r="K77" s="19" t="inlineStr">
        <is>
          <t>Commercial entertainment aimed at the mass market, particularly music-driven youth pictures of the 1980s.</t>
        </is>
      </c>
      <c r="L77" s="19" t="inlineStr">
        <is>
          <t>Not applicable; a producer and later a regulator.</t>
        </is>
      </c>
      <c r="M77" s="5" t="n"/>
      <c r="N77" s="19" t="inlineStr">
        <is>
          <t>Better known latterly for his tenure as India's film censor, from which he was removed on 11 August 2017 and replaced by Prasoon Joshi.</t>
        </is>
      </c>
      <c r="O77" s="19" t="inlineStr">
        <is>
          <t>Two producing credits in consecutive years, Aandhi-Toofan (1985) and Ilzaam (1986), both from the period in which Kapoor had moved into senior supporting roles. Ilzaam is the more consequential: it launched Govinda, and Kapoor's place in it is as the established name lending weight to a newcomer's vehicle. Both were directed by men who appear elsewhere in this sheet — B. Subhash (PERSON-027) and Shibu Mitra (PERSON-024).</t>
        </is>
      </c>
      <c r="P77" s="17" t="n">
        <v>2</v>
      </c>
      <c r="Q77" s="5" t="inlineStr">
        <is>
          <t>FILM-116; FILM-123</t>
        </is>
      </c>
      <c r="R77" s="5" t="inlineStr">
        <is>
          <t>Ilzaam (1986)</t>
        </is>
      </c>
      <c r="S77" s="5" t="inlineStr">
        <is>
          <t>Pahlaj Nihalani produced two Shashi Kapoor films in consecutive years, Aandhi-Toofan in 1985 and Ilzaam in 1986. Both belong to the phase in which Kapoor had become a senior supporting presence rather than a lead, and Ilzaam is the clearest instance: a music-driven youth picture that launched Govinda, with Kapoor supplying the established name. Nihalani, born in 1950, spent the 1980s producing exactly this kind of commercial entertainment and led the producers' association for twenty-nine years, but became far better known after 2015 as chairman of the Central Board of Film Certification, a tenure that ended with his removal in August 2017. He died in June 2026. His article does not mention Kapoor, and this entry rests on the two credits together with his biography.</t>
        </is>
      </c>
      <c r="T77" s="5" t="inlineStr">
        <is>
          <t>SOURCE-184</t>
        </is>
      </c>
      <c r="U77" s="5" t="inlineStr">
        <is>
          <t>High</t>
        </is>
      </c>
    </row>
    <row r="78" ht="184" customHeight="1">
      <c r="A78" s="15" t="inlineStr">
        <is>
          <t>PERSON-077</t>
        </is>
      </c>
      <c r="B78" s="5" t="inlineStr">
        <is>
          <t>Prakash Mehra</t>
        </is>
      </c>
      <c r="C78" s="5" t="inlineStr">
        <is>
          <t>Director</t>
        </is>
      </c>
      <c r="D78" s="17" t="n">
        <v>1939</v>
      </c>
      <c r="E78" s="17" t="n">
        <v>2009</v>
      </c>
      <c r="F78" s="5" t="inlineStr">
        <is>
          <t>1960s–2000s</t>
        </is>
      </c>
      <c r="G78" s="5" t="inlineStr">
        <is>
          <t>Hindi cinema</t>
        </is>
      </c>
      <c r="H78" s="5" t="inlineStr">
        <is>
          <t>Born 13 July 1939; died 17 May 2009. A film director and producer known for his work in Hindi films and, with Nasir Hussain (PERSON-238) and Manmohan Desai (PERSON-072), one of the pioneers of the masala film.</t>
        </is>
      </c>
      <c r="I78" s="5" t="inlineStr">
        <is>
          <t>Directing from the 1960s; Haseena Maan Jayegi (1968) is among his early films.</t>
        </is>
      </c>
      <c r="J78" s="5" t="inlineStr">
        <is>
          <t>With Kapoor: Haseena Maan Jayegi (1968), Namak Halaal (1982). His article records that his collaborations with Amitabh Bachchan produced several box-office blockbusters.</t>
        </is>
      </c>
      <c r="K78" s="19" t="inlineStr">
        <is>
          <t>The wronged man's revenge, the street-level hero, and the confrontation with entrenched power.</t>
        </is>
      </c>
      <c r="L78" s="19" t="inlineStr">
        <is>
          <t>A director of high-energy commercial pictures built on star presence and set-piece confrontation.</t>
        </is>
      </c>
      <c r="M78" s="5" t="n"/>
      <c r="N78" s="19" t="inlineStr">
        <is>
          <t>One of the architects of the masala film and of the Amitabh Bachchan persona that dominated the decade in which Kapoor did his most commercially successful work.</t>
        </is>
      </c>
      <c r="O78" s="19" t="inlineStr">
        <is>
          <t>Two films fourteen years apart, and the gap tells the story. Haseena Maan Jayegi (1968) is a Kapoor vehicle, a double-role comedy opposite Babita from the period when he was establishing himself as a lead. Namak Halaal (1982) is an Amitabh Bachchan film in which Kapoor plays the employer, a supporting part in someone else's vehicle. The two credits bracket almost exactly the arc this workbook traces, from romantic lead to senior figure. His article does not mention Kapoor.</t>
        </is>
      </c>
      <c r="P78" s="17" t="n">
        <v>2</v>
      </c>
      <c r="Q78" s="5" t="inlineStr">
        <is>
          <t>FILM-025; FILM-105</t>
        </is>
      </c>
      <c r="R78" s="5" t="inlineStr">
        <is>
          <t>Haseena Maan Jayegi (1968)</t>
        </is>
      </c>
      <c r="S78" s="5" t="inlineStr">
        <is>
          <t>Prakash Mehra directed two Shashi Kapoor films fourteen years apart, and the pair make an unusually clean measure of the actor's changing position. Haseena Maan Jayegi in 1968 is a Kapoor vehicle — a double-role comedy opposite Babita, written by S. M. Abbas and scored by Kalyanji–Anandji, from the years in which he was consolidating the stardom Jab Jab Phool Khile had won him. Namak Halaal in 1982 is an Amitabh Bachchan picture in which Kapoor plays the wealthy employer: a substantial part, but plainly subordinate in someone else's film. In the fourteen years between, Mehra had become one of the architects of the masala cinema and of the Bachchan persona itself, directing a run of blockbusters that his article records without naming them individually and that his obituaries treat as the defining commercial films of the 1970s. Born in 1939, he worked as producer as well as director and is grouped in his article with Nasir Hussain and Manmohan Desai as a pioneer of the form. He died in 2009.</t>
        </is>
      </c>
      <c r="T78" s="5" t="inlineStr">
        <is>
          <t>SOURCE-185</t>
        </is>
      </c>
      <c r="U78" s="5" t="inlineStr">
        <is>
          <t>High</t>
        </is>
      </c>
    </row>
    <row r="79" ht="139" customHeight="1">
      <c r="A79" s="15" t="inlineStr">
        <is>
          <t>PERSON-078</t>
        </is>
      </c>
      <c r="B79" s="5" t="inlineStr">
        <is>
          <t>R. K. Films</t>
        </is>
      </c>
      <c r="C79" s="5" t="inlineStr">
        <is>
          <t>Production banner</t>
        </is>
      </c>
      <c r="D79" s="18" t="n"/>
      <c r="E79" s="18" t="n"/>
      <c r="F79" s="5" t="inlineStr">
        <is>
          <t>1948–2010s</t>
        </is>
      </c>
      <c r="G79" s="5" t="inlineStr">
        <is>
          <t>Hindi cinema</t>
        </is>
      </c>
      <c r="H79" s="5" t="inlineStr">
        <is>
          <t>The production company established by Raj Kapoor (PERSON-036) in 1948, based at R. K. Studio in Chembur, Mumbai (PERSON-034). Its first film, Aag, did not perform well at the box office.</t>
        </is>
      </c>
      <c r="I79" s="5" t="inlineStr">
        <is>
          <t>Aag (1948) — which is also Shashi Kapoor's first film.</t>
        </is>
      </c>
      <c r="J79" s="5" t="inlineStr">
        <is>
          <t>With Kapoor: Aag (1948), Awaara (1951). The company's wider output includes Shree 420 and Satyam Shivam Sundaram.</t>
        </is>
      </c>
      <c r="K79" s="19" t="inlineStr">
        <is>
          <t>Its article notes that most R. K. productions share a theme of criticising society and depicting love across social divides.</t>
        </is>
      </c>
      <c r="L79" s="19" t="inlineStr">
        <is>
          <t>Not applicable; a company, and in practice the instrument of Raj Kapoor's own filmmaking.</t>
        </is>
      </c>
      <c r="M79" s="5" t="inlineStr">
        <is>
          <t>The company's films won National Film Awards for Best Feature Film in Hindi and in Bengali and Filmfare Awards for Best Film.</t>
        </is>
      </c>
      <c r="N79" s="19" t="inlineStr">
        <is>
          <t>The most famous family production house in Indian cinema and the institution within which the Kapoor dynasty worked.</t>
        </is>
      </c>
      <c r="O79" s="19" t="inlineStr">
        <is>
          <t>Two banner credits, and they are the first two films of Kapoor's life: Aag (1948), in which the nine-year-old plays the child version of his brother Raj's character, and Awaara (1951), where he does the same. The family company is therefore literally where his screen career begins. The later studio-facility credits are recorded separately at PERSON-034.</t>
        </is>
      </c>
      <c r="P79" s="17" t="n">
        <v>2</v>
      </c>
      <c r="Q79" s="5" t="inlineStr">
        <is>
          <t>FILM-001; FILM-004</t>
        </is>
      </c>
      <c r="R79" s="5" t="inlineStr">
        <is>
          <t>Aag (1948)</t>
        </is>
      </c>
      <c r="S79" s="5" t="inlineStr">
        <is>
          <t>R. K. Films is the banner on the first two films Shashi Kapoor ever appeared in. Raj Kapoor founded the company in 1948, and its first production, Aag, cast his nine-year-old brother as the child version of his own character — the beginning of a screen career that would run for fifty years. Awaara followed in 1951 with the same arrangement, and those two child appearances are the whole of the banner's presence in this filmography; the later R. K. credits are for the Chembur studio facility and are recorded separately. The company became the most famous family production house in Indian cinema, and its article notes the social criticism and the love-across-class-divides theme running through most of its output. It does not mention Shashi Kapoor, whose connection to it was familial rather than contractual.</t>
        </is>
      </c>
      <c r="T79" s="5" t="inlineStr">
        <is>
          <t>SOURCE-186</t>
        </is>
      </c>
      <c r="U79" s="5" t="inlineStr">
        <is>
          <t>High</t>
        </is>
      </c>
    </row>
    <row r="80" ht="169" customHeight="1">
      <c r="A80" s="15" t="inlineStr">
        <is>
          <t>PERSON-079</t>
        </is>
      </c>
      <c r="B80" s="5" t="inlineStr">
        <is>
          <t>Rajkamal Kalamandir</t>
        </is>
      </c>
      <c r="C80" s="5" t="inlineStr">
        <is>
          <t>Production banner (studio facility)</t>
        </is>
      </c>
      <c r="D80" s="18" t="n"/>
      <c r="E80" s="18" t="n"/>
      <c r="F80" s="5" t="inlineStr">
        <is>
          <t>1942–2010s</t>
        </is>
      </c>
      <c r="G80" s="5" t="inlineStr">
        <is>
          <t>Hindi and Marathi cinema</t>
        </is>
      </c>
      <c r="H80" s="5" t="inlineStr">
        <is>
          <t>A film production company and studio in Mumbai, established by V. Shantaram in 1942 after he left the Prabhat Film Company. It produced in both Hindi and Marathi and was, in its heyday, among the most sophisticated studios in the country; as of 2019 more than two thousand films had been made there.</t>
        </is>
      </c>
      <c r="I80" s="5" t="inlineStr">
        <is>
          <t>Founded in 1942; Dr. Kotnis Ki Amar Kahani (1946) is among its early works.</t>
        </is>
      </c>
      <c r="J80" s="5" t="inlineStr">
        <is>
          <t>With Kapoor: Roti Kapda Aur Makaan (1974), Mukti (1977). Elsewhere: Amar Bhoopali, Jhanak Jhanak Payal Baaje, Do Ankhen Barah Haath, Navrang and Pinjara.</t>
        </is>
      </c>
      <c r="K80" s="19" t="inlineStr">
        <is>
          <t>Not applicable to these credits; V. Shantaram's own productions are known for social reform subjects and for musical and dance spectacle.</t>
        </is>
      </c>
      <c r="L80" s="19" t="inlineStr">
        <is>
          <t>Not applicable.</t>
        </is>
      </c>
      <c r="M80" s="5" t="inlineStr">
        <is>
          <t>The studio's own productions include National Film Award winners; its article notes the Best Children's Film National Film Award among its producers' honours.</t>
        </is>
      </c>
      <c r="N80" s="19" t="inlineStr">
        <is>
          <t>One of the major Bombay studios, founded by V. Shantaram, among the most important filmmakers of the pre-independence and early post-independence periods.</t>
        </is>
      </c>
      <c r="O80" s="19" t="inlineStr">
        <is>
          <t>Two credits, Roti Kapda Aur Makaan (1974) and Mukti (1977), both of them studio-facility credits rather than production ones — the films were made by Manoj Kumar (PERSON-033) and others, and Rajkamal's role was to provide the stages. The same two films also carry R. K. Studios (PERSON-034) and, in one case, Filmistan (PERSON-013) credits, which is a clear sign that these fields record shooting locations rather than production responsibility.</t>
        </is>
      </c>
      <c r="P80" s="17" t="n">
        <v>2</v>
      </c>
      <c r="Q80" s="5" t="inlineStr">
        <is>
          <t>FILM-050; FILM-068</t>
        </is>
      </c>
      <c r="R80" s="5" t="inlineStr">
        <is>
          <t>Roti Kapda Aur Makaan (1974)</t>
        </is>
      </c>
      <c r="S80" s="5" t="inlineStr">
        <is>
          <t>Rajkamal Kalamandir appears on two Shashi Kapoor films, Roti Kapda Aur Makaan in 1974 and Mukti in 1977, in both cases as the studio where the film was shot rather than as its producer. That both films also carry R. K. Studios credits, and one a Filmistan credit as well, confirms how these fields should be read: they record facilities, not creative participation, and are kept distinct in this sheet to avoid inflating the collaboration. The studio itself is a significant institution — V. Shantaram founded it in 1942 after leaving Prabhat, produced Do Ankhen Barah Haath, Jhanak Jhanak Payal Baaje and Navrang there, and by 2019 more than two thousand films had been made on its stages. Its article does not mention Kapoor.</t>
        </is>
      </c>
      <c r="T80" s="5" t="inlineStr">
        <is>
          <t>SOURCE-187</t>
        </is>
      </c>
      <c r="U80" s="5" t="inlineStr">
        <is>
          <t>Medium</t>
        </is>
      </c>
    </row>
    <row r="81" ht="169" customHeight="1">
      <c r="A81" s="15" t="inlineStr">
        <is>
          <t>PERSON-080</t>
        </is>
      </c>
      <c r="B81" s="5" t="inlineStr">
        <is>
          <t>Ramesh Sharma</t>
        </is>
      </c>
      <c r="C81" s="5" t="inlineStr">
        <is>
          <t>Director; Producer</t>
        </is>
      </c>
      <c r="D81" s="18" t="n"/>
      <c r="E81" s="18" t="n"/>
      <c r="F81" s="5" t="n"/>
      <c r="G81" s="5" t="inlineStr">
        <is>
          <t>Hindi cinema</t>
        </is>
      </c>
      <c r="H81" s="5" t="inlineStr">
        <is>
          <t>No Wikipedia article exists for him under this name or the variants Ramesh Sharma (director) and Ramesh Sharma (filmmaker). Everything here rests on the credits of the two films — which is a notable gap, since one of them brought Kapoor a National Film Award.</t>
        </is>
      </c>
      <c r="I81" s="5" t="n"/>
      <c r="J81" s="5" t="inlineStr">
        <is>
          <t>With Kapoor: Suhaag (1979) as producer, New Delhi Times (1986) as director.</t>
        </is>
      </c>
      <c r="K81" s="19" t="inlineStr">
        <is>
          <t>The two credits are very different: a mass-market masala hit and a serious political drama.</t>
        </is>
      </c>
      <c r="L81" s="19" t="inlineStr">
        <is>
          <t>Not established; no biographical source was located.</t>
        </is>
      </c>
      <c r="M81" s="5" t="n"/>
      <c r="N81" s="19" t="inlineStr">
        <is>
          <t>Not established from any available source, despite directing one of the most honoured Hindi films of the 1980s.</t>
        </is>
      </c>
      <c r="O81" s="19" t="inlineStr">
        <is>
          <t>Two films in different functions. He produced Suhaag (1979), among the largest commercial successes of Kapoor's career, and directed New Delhi Times (1986), written by Gulzar (PERSON-031), in which Kapoor plays a newspaper editor investigating a political murder and for which he won the National Film Award for Best Actor. That the director of that film has no Wikipedia article is among the more surprising gaps in this research.</t>
        </is>
      </c>
      <c r="P81" s="17" t="n">
        <v>2</v>
      </c>
      <c r="Q81" s="5" t="inlineStr">
        <is>
          <t>FILM-087; FILM-120</t>
        </is>
      </c>
      <c r="R81" s="5" t="inlineStr">
        <is>
          <t>New Delhi Times (1986)</t>
        </is>
      </c>
      <c r="S81" s="5" t="inlineStr">
        <is>
          <t>Ramesh Sharma directed the film that won Shashi Kapoor the National Film Award for Best Actor, and no biographical record of him could be found. New Delhi Times in 1986, written by Gulzar, casts Kapoor as a newspaper editor pursuing a political murder through a system that closes around him; it is among the most honoured Hindi films of its decade and the high point of the actor's late career. Seven years earlier Sharma had produced Suhaag, one of Kapoor's biggest commercial successes — an unusually wide range for two credits. No Wikipedia article exists under his name or the disambiguated variants attempted during research, and no other biographical source was located, so the entry rests entirely on the two films' credits and is graded Low. The absence is a real one, not a failure to look.</t>
        </is>
      </c>
      <c r="T81" s="5" t="inlineStr">
        <is>
          <t>SOURCE-074; SOURCE-104</t>
        </is>
      </c>
      <c r="U81" s="5" t="inlineStr">
        <is>
          <t>Low</t>
        </is>
      </c>
    </row>
    <row r="82" ht="169" customHeight="1">
      <c r="A82" s="15" t="inlineStr">
        <is>
          <t>PERSON-081</t>
        </is>
      </c>
      <c r="B82" s="5" t="inlineStr">
        <is>
          <t>Sandow M. M. A. Chinnappa Thevar</t>
        </is>
      </c>
      <c r="C82" s="5" t="inlineStr">
        <is>
          <t>Producer; Writer</t>
        </is>
      </c>
      <c r="D82" s="17" t="n">
        <v>1915</v>
      </c>
      <c r="E82" s="17" t="n">
        <v>1978</v>
      </c>
      <c r="F82" s="5" t="inlineStr">
        <is>
          <t>1940–1978</t>
        </is>
      </c>
      <c r="G82" s="5" t="inlineStr">
        <is>
          <t>Tamil and Hindi cinema</t>
        </is>
      </c>
      <c r="H82" s="5" t="inlineStr">
        <is>
          <t>Born Marudhur Marudachalamurthy Ayyavoo Chinnappa Thevar on 28 June 1915 in Ramanathapuram; died 8 September 1978 in Coimbatore. A producer of Tamil cinema from the mid-1950s through the 1970s, best known for films featuring animals, who launched his pictures under the Devar Films banner (PERSON-152).</t>
        </is>
      </c>
      <c r="I82" s="5" t="inlineStr">
        <is>
          <t>Producing from 1940; sixteen films with M. G. Ramachandran as lead actor.</t>
        </is>
      </c>
      <c r="J82" s="5" t="inlineStr">
        <is>
          <t>With Kapoor: Jaanwar Aur Insaan (1972) as producer and writer, Do Aur Do Paanch (1980) as producer. Elsewhere: Haathi Mere Saathi (1971), the Rajesh Khanna hit that brought him national attention.</t>
        </is>
      </c>
      <c r="K82" s="19" t="inlineStr">
        <is>
          <t>Animals as central characters; the Tamil producer's crossover into Hindi.</t>
        </is>
      </c>
      <c r="L82" s="19" t="inlineStr">
        <is>
          <t>Not applicable; a producer with a distinctive and identifiable subject matter.</t>
        </is>
      </c>
      <c r="M82" s="5" t="n"/>
      <c r="N82" s="19" t="inlineStr">
        <is>
          <t>One of the leading Tamil producers of his generation and the man who brought the animal picture into mainstream Hindi cinema with Haathi Mere Saathi.</t>
        </is>
      </c>
      <c r="O82" s="19" t="inlineStr">
        <is>
          <t>Two credits, and the second is posthumous: he produced and wrote Jaanwar Aur Insaan (1972), and is credited as producer on Do Aur Do Paanch (1980), two years after his death in September 1978 — presumably because the film was set up under his banner before he died. Do Aur Do Paanch is a substantial Kapoor and Amitabh Bachchan caper. His banners Devar Films and Dhandayuthapani Films appear separately in this sheet, both documented from this same article.</t>
        </is>
      </c>
      <c r="P82" s="17" t="n">
        <v>2</v>
      </c>
      <c r="Q82" s="5" t="inlineStr">
        <is>
          <t>FILM-040; FILM-092</t>
        </is>
      </c>
      <c r="R82" s="5" t="inlineStr">
        <is>
          <t>Do Aur Do Paanch (1980)</t>
        </is>
      </c>
      <c r="S82" s="5" t="inlineStr">
        <is>
          <t>Sandow M. M. A. Chinnappa Thevar produced two Shashi Kapoor films, and one of the credits comes after his death. He produced and wrote Jaanwar Aur Insaan in 1972, and is named as producer of Do Aur Do Paanch in 1980 — a caper pairing Kapoor with Amitabh Bachchan — although he had died in September 1978, so the credit presumably reflects a project set up under his banner beforehand. Born in Ramanathapuram in 1915, Thevar was among the leading producers of Tamil cinema, made sixteen films with M. G. Ramachandran, and became known above all for pictures built around animals; Haathi Mere Saathi in 1971 carried that formula into Hindi and gave Rajesh Khanna one of his hits. His banners Devar Films and Dhandayuthapani Films are listed separately here and rest on this same article.</t>
        </is>
      </c>
      <c r="T82" s="5" t="inlineStr">
        <is>
          <t>SOURCE-188</t>
        </is>
      </c>
      <c r="U82" s="5" t="inlineStr">
        <is>
          <t>High</t>
        </is>
      </c>
    </row>
    <row r="83" ht="124" customHeight="1">
      <c r="A83" s="15" t="inlineStr">
        <is>
          <t>PERSON-082</t>
        </is>
      </c>
      <c r="B83" s="5" t="inlineStr">
        <is>
          <t>Satpal Varma</t>
        </is>
      </c>
      <c r="C83" s="5" t="inlineStr">
        <is>
          <t>Producer</t>
        </is>
      </c>
      <c r="D83" s="18" t="n"/>
      <c r="E83" s="18" t="n"/>
      <c r="F83" s="5" t="n"/>
      <c r="G83" s="5" t="inlineStr">
        <is>
          <t>Hindi cinema</t>
        </is>
      </c>
      <c r="H83" s="5" t="inlineStr">
        <is>
          <t>No Wikipedia article exists for him, and none was found under any variant spelling. Everything here rests on the credits of the two films. On Insaaniyat he is credited alongside an associate producer credit for Sunil Varma, and on Oonch Neech Beech as associate producer; the role qualifiers have been normalised out of the name fields in this workbook.</t>
        </is>
      </c>
      <c r="I83" s="5" t="n"/>
      <c r="J83" s="5" t="inlineStr">
        <is>
          <t>With Kapoor: Insaaniyat (1974), Oonch Neech Beech (1989).</t>
        </is>
      </c>
      <c r="K83" s="19" t="inlineStr">
        <is>
          <t>Commercial Hindi production.</t>
        </is>
      </c>
      <c r="L83" s="19" t="inlineStr">
        <is>
          <t>Not applicable; no biographical source was located.</t>
        </is>
      </c>
      <c r="M83" s="5" t="n"/>
      <c r="N83" s="19" t="inlineStr">
        <is>
          <t>Not established.</t>
        </is>
      </c>
      <c r="O83" s="19" t="inlineStr">
        <is>
          <t>Two producing credits fifteen years apart, Insaaniyat (1974) and Oonch Neech Beech (1989), on both of which he works with Jagdish Varma (PERSON-065) under the J. V. Films banner (PERSON-064). The three entries describe a single family producing concern seen from three angles.</t>
        </is>
      </c>
      <c r="P83" s="17" t="n">
        <v>2</v>
      </c>
      <c r="Q83" s="5" t="inlineStr">
        <is>
          <t>FILM-047; FILM-144</t>
        </is>
      </c>
      <c r="R83" s="5" t="inlineStr">
        <is>
          <t>Insaaniyat (1974)</t>
        </is>
      </c>
      <c r="S83" s="5" t="inlineStr">
        <is>
          <t>Satpal Varma produced two Shashi Kapoor films, Insaaniyat in 1974 and Oonch Neech Beech in 1989, working both times with Jagdish Varma under the J. V. Films banner. The three entries — two producers and a banner, all appearing on exactly the same two films fifteen years apart — describe what is almost certainly one family concern, though no source confirms the relationship and it is recorded here as an inference from the credits. No Wikipedia article exists for him under this name or any variant attempted during research. The workbook's source data qualifies his Oonch Neech Beech credit as associate producer; those role qualifiers have been normalised out of the name fields to keep the roster consistent. The entry is graded Low.</t>
        </is>
      </c>
      <c r="T83" s="5" t="inlineStr">
        <is>
          <t>SOURCE-039; SOURCE-119</t>
        </is>
      </c>
      <c r="U83" s="5" t="inlineStr">
        <is>
          <t>Low</t>
        </is>
      </c>
    </row>
    <row r="84" ht="214" customHeight="1">
      <c r="A84" s="15" t="inlineStr">
        <is>
          <t>PERSON-083</t>
        </is>
      </c>
      <c r="B84" s="5" t="inlineStr">
        <is>
          <t>Shyam Benegal</t>
        </is>
      </c>
      <c r="C84" s="5" t="inlineStr">
        <is>
          <t>Director; Writer</t>
        </is>
      </c>
      <c r="D84" s="17" t="n">
        <v>1934</v>
      </c>
      <c r="E84" s="17" t="n">
        <v>2024</v>
      </c>
      <c r="F84" s="5" t="inlineStr">
        <is>
          <t>1960s–2024</t>
        </is>
      </c>
      <c r="G84" s="5" t="inlineStr">
        <is>
          <t>Indian parallel cinema</t>
        </is>
      </c>
      <c r="H84" s="5" t="inlineStr">
        <is>
          <t>Born in Hyderabad on 14 December 1934; died 23 December 2024 in Mumbai. A film director, screenwriter and documentary filmmaker, widely regarded as a pioneer of parallel cinema and among the greatest Indian filmmakers after the 1970s.</t>
        </is>
      </c>
      <c r="I84" s="5" t="inlineStr">
        <is>
          <t>Ankur (1974), scored by Vanraj Bhatia (PERSON-048).</t>
        </is>
      </c>
      <c r="J84" s="5" t="inlineStr">
        <is>
          <t>With Kapoor: Junoon (1979), Kalyug (1981) — he directed and wrote both. Elsewhere: Ankur, Nishant, Manthan, Bhumika.</t>
        </is>
      </c>
      <c r="K84" s="19" t="inlineStr">
        <is>
          <t>Caste and land, the exercise of power inside households and villages, and historical subjects treated without romance.</t>
        </is>
      </c>
      <c r="L84" s="19" t="inlineStr">
        <is>
          <t>A realist working with an ensemble of trained actors, building films on social structure rather than individual heroics.</t>
        </is>
      </c>
      <c r="M84" s="5" t="inlineStr">
        <is>
          <t>Eighteen National Film Awards, a Filmfare Award and a Nandi Award; the Padma Shri in 1976, the Padma Bhushan in 1991 and the Dadasaheb Phalke Award in 2005.</t>
        </is>
      </c>
      <c r="N84" s="19" t="inlineStr">
        <is>
          <t>The central figure of the Indian parallel cinema of the 1970s and 1980s, whose work redefined what a serious Indian film could look like.</t>
        </is>
      </c>
      <c r="O84" s="19" t="inlineStr">
        <is>
          <t>Two films, both financed by Kapoor himself through Film-Valas, and together the core of his career as a patron. Junoon (1979), from Ruskin Bond's novella about the 1857 rebellion, casts Kapoor as the Pathan Javed Khan, consumed by an obsession with an English girl; Kalyug (1981) transposes the Mahabharata into a feuding industrial family, with Kapoor as one of its compromised heirs. Both give him roles of a moral ambiguity the commercial cinema never offered, and both are central to this workbook's evidence that his darkest romantic material came from films he paid for.</t>
        </is>
      </c>
      <c r="P84" s="17" t="n">
        <v>2</v>
      </c>
      <c r="Q84" s="5" t="inlineStr">
        <is>
          <t>FILM-084; FILM-100</t>
        </is>
      </c>
      <c r="R84" s="5" t="inlineStr">
        <is>
          <t>Junoon (1979)</t>
        </is>
      </c>
      <c r="S84" s="5" t="inlineStr">
        <is>
          <t>Shyam Benegal directed the two films that best justify Shashi Kapoor's reputation as something more than a commercial star, and Kapoor paid for both. Junoon in 1979, adapted from Ruskin Bond's novella A Flight of Pigeons and set during the 1857 rebellion, gave him Javed Khan, a Pathan whose pursuit of an English girl sheltering in his household destroys him — a role with no romantic consolation whatever, and the darkest in this filmography. Kalyug in 1981 restaged the Mahabharata inside a warring industrial dynasty, from a script by Girish Karnad, with Kapoor as one of its compromised heirs. Both came through Film-Valas, the banner he funded from his multi-starrer earnings, and both were written as well as directed by Benegal, with songs by Vanraj Bhatia and dialogue by Satyadev Dubey, who won a Filmfare Award for Junoon. Born in Hyderabad in 1934, Benegal was the central figure of the Indian parallel cinema, winner of eighteen National Film Awards, the Padma Shri, the Padma Bhushan and the Dadasaheb Phalke Award. He died in December 2024.</t>
        </is>
      </c>
      <c r="T84" s="5" t="inlineStr">
        <is>
          <t>SOURCE-189</t>
        </is>
      </c>
      <c r="U84" s="5" t="inlineStr">
        <is>
          <t>High</t>
        </is>
      </c>
    </row>
    <row r="85" ht="154" customHeight="1">
      <c r="A85" s="15" t="inlineStr">
        <is>
          <t>PERSON-084</t>
        </is>
      </c>
      <c r="B85" s="5" t="inlineStr">
        <is>
          <t>Subhash Ghai</t>
        </is>
      </c>
      <c r="C85" s="5" t="inlineStr">
        <is>
          <t>Director; Writer</t>
        </is>
      </c>
      <c r="D85" s="17" t="n">
        <v>1945</v>
      </c>
      <c r="E85" s="18" t="n"/>
      <c r="F85" s="5" t="inlineStr">
        <is>
          <t>1967–present</t>
        </is>
      </c>
      <c r="G85" s="5" t="inlineStr">
        <is>
          <t>Hindi cinema</t>
        </is>
      </c>
      <c r="H85" s="5" t="inlineStr">
        <is>
          <t>Born 24 January 1945. A film director, producer, actor, lyricist, music director and screenwriter, and one of the most prominent Hindi filmmakers of the 1980s and 1990s. He founded Mukta Arts in 1982, which became a public company in 2000 with Ghai as executive chairman, and established the film school Whistling Woods International in 2006.</t>
        </is>
      </c>
      <c r="I85" s="5" t="inlineStr">
        <is>
          <t>Working from 1967; Kalicharan (1976) established him as a director.</t>
        </is>
      </c>
      <c r="J85" s="5" t="inlineStr">
        <is>
          <t>With Kapoor: Gautam Govinda (1979) as director, Krodhi (1981) as director and writer. Elsewhere: Karz (1980), Vidhaata (1982), Hero (1983), Karma (1986), Ram Lakhan (1989), Saudagar (1991), Khalnayak (1993), Pardes (1997) and Taal (1999).</t>
        </is>
      </c>
      <c r="K85" s="19" t="inlineStr">
        <is>
          <t>Fate and reincarnation, rivalry between men, and the large-scale musical star vehicle.</t>
        </is>
      </c>
      <c r="L85" s="19" t="inlineStr">
        <is>
          <t>A showman's commercial cinema with strong musical set pieces and a taste for high melodrama.</t>
        </is>
      </c>
      <c r="M85" s="5" t="inlineStr">
        <is>
          <t>The National Film Award for Best Film on Other Social Issues in 2006 for producing Iqbal; the IIFA Award for Outstanding Contribution in 2015.</t>
        </is>
      </c>
      <c r="N85" s="19" t="inlineStr">
        <is>
          <t>One of the dominant commercial directors of the 1980s and 1990s, often called the showman of his generation.</t>
        </is>
      </c>
      <c r="O85" s="19" t="inlineStr">
        <is>
          <t>Two films at the turn of the 1980s, Gautam Govinda (1979) and Krodhi (1981), both directed by Ghai while he was still establishing himself and before the run of blockbusters that made his name. They fall in Kapoor's busiest years and neither is among the major works of either man. His article does not mention Kapoor.</t>
        </is>
      </c>
      <c r="P85" s="17" t="n">
        <v>2</v>
      </c>
      <c r="Q85" s="5" t="inlineStr">
        <is>
          <t>FILM-083; FILM-098</t>
        </is>
      </c>
      <c r="R85" s="5" t="inlineStr">
        <is>
          <t>Krodhi (1981)</t>
        </is>
      </c>
      <c r="S85" s="5" t="inlineStr">
        <is>
          <t>Subhash Ghai directed two Shashi Kapoor films at the turn of the 1980s, Gautam Govinda in 1979 and Krodhi in 1981, the second of which he also wrote, from a script shared with Nabendu Ghosh — the screenwriter of Sujata and Bandini, in an incongruous late commercial assignment. Both films come early in Ghai's directing career, after Kalicharan had established him but before the run of blockbusters that made his name, and neither is among the notable works of either man; for Kapoor they belong to the crowded years in which he was taking almost everything offered. Born in 1945, Ghai went on to make Karz, Vidhaata, Hero, Meri Jung, Karma, Ram Lakhan, Saudagar, Khalnayak, Pardes and Taal, becoming the most prominent commercial showman of the 1980s and 1990s. He founded Mukta Arts in 1982, took it public in 2000, won a National Film Award for producing Iqbal in 2006, and established the Whistling Woods film school the same year. His article does not mention Kapoor.</t>
        </is>
      </c>
      <c r="T85" s="5" t="inlineStr">
        <is>
          <t>SOURCE-190</t>
        </is>
      </c>
      <c r="U85" s="5" t="inlineStr">
        <is>
          <t>High</t>
        </is>
      </c>
    </row>
    <row r="86" ht="124" customHeight="1">
      <c r="A86" s="15" t="inlineStr">
        <is>
          <t>PERSON-085</t>
        </is>
      </c>
      <c r="B86" s="5" t="inlineStr">
        <is>
          <t>Trimurti Films</t>
        </is>
      </c>
      <c r="C86" s="5" t="inlineStr">
        <is>
          <t>Production banner</t>
        </is>
      </c>
      <c r="D86" s="18" t="n"/>
      <c r="E86" s="18" t="n"/>
      <c r="F86" s="5" t="inlineStr">
        <is>
          <t>1969–2004; relaunched 2022</t>
        </is>
      </c>
      <c r="G86" s="5" t="inlineStr">
        <is>
          <t>Hindi cinema</t>
        </is>
      </c>
      <c r="H86" s="5" t="inlineStr">
        <is>
          <t>An Indian film production house founded by Gulshan Rai (PERSON-061) in 1969. After Rai's death his son Rajiv Rai took over. The company was dormant for more than a decade after its last production, Asambhav (2004), and was relaunched in 2022.</t>
        </is>
      </c>
      <c r="I86" s="5" t="inlineStr">
        <is>
          <t>Johny Mera Naam (1970), directed by Vijay Anand.</t>
        </is>
      </c>
      <c r="J86" s="5" t="inlineStr">
        <is>
          <t>With Kapoor: Deewaar (1975), Trishul (1978). Elsewhere: Johny Mera Naam, Vidhaata, Tridev, Vishwatma, Mohra and Gupt.</t>
        </is>
      </c>
      <c r="K86" s="19" t="inlineStr">
        <is>
          <t>Crime and revenge drama, and the large star vehicle.</t>
        </is>
      </c>
      <c r="L86" s="19" t="inlineStr">
        <is>
          <t>Not applicable; a company, and in this period an expression of Gulshan Rai's commercial judgement.</t>
        </is>
      </c>
      <c r="M86" s="5" t="n"/>
      <c r="N86" s="19" t="inlineStr">
        <is>
          <t>The banner behind Deewaar and Trishul, two of the films that defined the angry-young-man cycle of the 1970s.</t>
        </is>
      </c>
      <c r="O86" s="19" t="inlineStr">
        <is>
          <t>Two banner credits, Deewaar (1975) and Trishul (1978), the same two films on which Gulshan Rai takes the producer credit — so this row and PERSON-061 describe one relationship from two sides. Both were directed by Yash Chopra (PERSON-005) and written by Salim–Javed (PERSON-010), and both are central to Kapoor's standing in the 1970s.</t>
        </is>
      </c>
      <c r="P86" s="17" t="n">
        <v>2</v>
      </c>
      <c r="Q86" s="5" t="inlineStr">
        <is>
          <t>FILM-052; FILM-078</t>
        </is>
      </c>
      <c r="R86" s="5" t="inlineStr">
        <is>
          <t>Deewaar (1975)</t>
        </is>
      </c>
      <c r="S86" s="5" t="inlineStr">
        <is>
          <t>Trimurti Films is the banner on Deewaar and Trishul, two of the most important films in Shashi Kapoor's career. Gulshan Rai founded the company in 1969 after years as a distributor, produced Johny Mera Naam the following year, and then backed the Yash Chopra films written by Salim–Javed that made Amitabh Bachchan a superstar and gave Kapoor his Filmfare Award for Best Supporting Actor. The banner and producer credits cover exactly the same two films, so the entries at PERSON-061 and here describe a single relationship rather than two. Trimurti continued under Rai's son Rajiv into the 1990s with Tridev, Mohra and Gupt, fell dormant after Asambhav in 2004, and was relaunched in 2022. Its article does not mention Kapoor.</t>
        </is>
      </c>
      <c r="T86" s="5" t="inlineStr">
        <is>
          <t>SOURCE-191</t>
        </is>
      </c>
      <c r="U86" s="5" t="inlineStr">
        <is>
          <t>High</t>
        </is>
      </c>
    </row>
    <row r="87" ht="184" customHeight="1">
      <c r="A87" s="15" t="inlineStr">
        <is>
          <t>PERSON-086</t>
        </is>
      </c>
      <c r="B87" s="5" t="inlineStr">
        <is>
          <t>Ved Rahi</t>
        </is>
      </c>
      <c r="C87" s="5" t="inlineStr">
        <is>
          <t>Director; Producer; Writer</t>
        </is>
      </c>
      <c r="D87" s="17" t="n">
        <v>1933</v>
      </c>
      <c r="E87" s="18" t="n"/>
      <c r="F87" s="5" t="inlineStr">
        <is>
          <t>1960s–2000s</t>
        </is>
      </c>
      <c r="G87" s="5" t="inlineStr">
        <is>
          <t>Hindi cinema, television and Dogri literature</t>
        </is>
      </c>
      <c r="H87" s="5" t="inlineStr">
        <is>
          <t>Born in Jammu on 22 May 1933. An author writing predominantly in Dogri, and also a screenwriter, director and producer for Hindi films and television. His father, Mulk Raj Saraf, started the first newspaper in the princely state of Jammu and Kashmir, Ranbir, in 1924 and received the Padma Shri in 1976.</t>
        </is>
      </c>
      <c r="I87" s="5" t="inlineStr">
        <is>
          <t>Writing for Hindi cinema from the 1960s.</t>
        </is>
      </c>
      <c r="J87" s="5" t="inlineStr">
        <is>
          <t>With Kapoor: Kali Ghata (1980), which he directed, produced and wrote, and Bezubaan (1982) as writer. Elsewhere: the Doordarshan serial Meerabai (1996) and the film Veer Savarkar (2001).</t>
        </is>
      </c>
      <c r="K87" s="19" t="inlineStr">
        <is>
          <t>Historical and biographical subjects; Dogri literary material alongside commercial screenwriting.</t>
        </is>
      </c>
      <c r="L87" s="19" t="inlineStr">
        <is>
          <t>A literary writer working across languages and media, from Dogri short stories to Hindi screenplays and television.</t>
        </is>
      </c>
      <c r="M87" s="5" t="inlineStr">
        <is>
          <t>The Sahitya Akademi Award for Dogri in 1983 for the short-story collection Aale, and the Mahapandit Rahul Sankrityayan Award in 2011.</t>
        </is>
      </c>
      <c r="N87" s="19" t="inlineStr">
        <is>
          <t>A significant figure in Dogri literature who maintained a parallel career in commercial Hindi cinema.</t>
        </is>
      </c>
      <c r="O87" s="19" t="inlineStr">
        <is>
          <t>Two films. On Kali Ghata (1980) he is director, producer and writer at once, so the film is entirely his; on Bezubaan (1982), directed by Bapu (PERSON-118) and adapted from a Tamil source, he takes the story credit while Bhushan Banmali wrote the screenplay. Neither is among Kapoor's important films, but the pairing of a Sahitya Akademi-winning Dogri writer with mainstream Hindi melodrama is characteristic of how many serious literary figures passed through this filmography.</t>
        </is>
      </c>
      <c r="P87" s="17" t="n">
        <v>2</v>
      </c>
      <c r="Q87" s="5" t="inlineStr">
        <is>
          <t>FILM-091; FILM-102</t>
        </is>
      </c>
      <c r="R87" s="5" t="inlineStr">
        <is>
          <t>Kali Ghata (1980)</t>
        </is>
      </c>
      <c r="S87" s="5" t="inlineStr">
        <is>
          <t>Ved Rahi directed, produced and wrote Kali Ghata in 1980 — the one film in this filmography on which he held all three functions — and wrote Bezubaan in 1982, a remake of a Tamil picture directed by the Telugu filmmaker Bapu, where he took the story while Bhushan Banmali wrote the screenplay. Neither is among Shashi Kapoor's significant works, but Rahi himself is a figure of real standing outside cinema. Born in Jammu on 22 May 1933 into a newspaper family — his father, Mulk Raj Saraf, founded Ranbir, the first newspaper in the princely state of Jammu and Kashmir, in 1924 and received the Padma Shri in 1976 — he is a leading author in the Dogri language and won the Sahitya Akademi Award in that language in 1983 for his short-story collection Aale, followed by the Mahapandit Rahul Sankrityayan Award in 2011. He later directed the Doordarshan serial Meerabai in 1996 and the biographical film Veer Savarkar in 2001. His presence here is one of many instances in this sheet of serious literary writers taking commercial screen work.</t>
        </is>
      </c>
      <c r="T87" s="5" t="inlineStr">
        <is>
          <t>SOURCE-192</t>
        </is>
      </c>
      <c r="U87" s="5" t="inlineStr">
        <is>
          <t>Medium</t>
        </is>
      </c>
    </row>
    <row r="88" ht="169" customHeight="1">
      <c r="A88" s="15" t="inlineStr">
        <is>
          <t>PERSON-087</t>
        </is>
      </c>
      <c r="B88" s="5" t="inlineStr">
        <is>
          <t>Zakir Hussain</t>
        </is>
      </c>
      <c r="C88" s="5" t="inlineStr">
        <is>
          <t>Song composer</t>
        </is>
      </c>
      <c r="D88" s="17" t="n">
        <v>1951</v>
      </c>
      <c r="E88" s="17" t="n">
        <v>2024</v>
      </c>
      <c r="F88" s="5" t="inlineStr">
        <is>
          <t>1963–2024</t>
        </is>
      </c>
      <c r="G88" s="5" t="inlineStr">
        <is>
          <t>Indian classical music and international cinema</t>
        </is>
      </c>
      <c r="H88" s="5" t="inlineStr">
        <is>
          <t>Born Zakir Hussain Qureshi on 9 March 1951; died 15 December 2024. The eldest son of the tabla player Alla Rakha, he was widely regarded as the greatest tabla player of his generation and worked for much of his career from the San Francisco Bay Area as a composer, arranger, percussionist and producer.</t>
        </is>
      </c>
      <c r="I88" s="5" t="inlineStr">
        <is>
          <t>Performing from 1963; his film work is occasional beside his concert career.</t>
        </is>
      </c>
      <c r="J88" s="5" t="inlineStr">
        <is>
          <t>With Kapoor: Heat and Dust (1983), In Custody (1993). Elsewhere, a large body of recordings across Indian classical and fusion traditions.</t>
        </is>
      </c>
      <c r="K88" s="19" t="inlineStr">
        <is>
          <t>Indian classical percussion brought into dialogue with Western and global forms.</t>
        </is>
      </c>
      <c r="L88" s="19" t="inlineStr">
        <is>
          <t>A virtuoso instrumentalist whose film scoring carries the same rhythmic sophistication as his concert work.</t>
        </is>
      </c>
      <c r="M88" s="5" t="inlineStr">
        <is>
          <t>Nine Grammy Awards; the United States National Endowment for the Arts National Heritage Fellowship; the Sangeet Natak Akademi Award in 1990 and its Fellowship, Ratna Sadsya, in 2018.</t>
        </is>
      </c>
      <c r="N88" s="19" t="inlineStr">
        <is>
          <t>The musician most responsible for carrying Indian classical percussion to a global audience.</t>
        </is>
      </c>
      <c r="O88" s="19" t="inlineStr">
        <is>
          <t>Two films, and both belong to Kapoor's English-language and art-cinema line rather than his Hindi career: Heat and Dust (1983), directed by James Ivory (PERSON-015), and In Custody (1993), directed by Ismail Merchant (PERSON-006), in which Kapoor plays the failing Urdu poet Nur. The pairing of a classical virtuoso with these two films is characteristic of the Merchant Ivory practice of drawing on Indian concert musicians rather than film composers.</t>
        </is>
      </c>
      <c r="P88" s="17" t="n">
        <v>2</v>
      </c>
      <c r="Q88" s="5" t="inlineStr">
        <is>
          <t>FILM-109; FILM-148</t>
        </is>
      </c>
      <c r="R88" s="5" t="inlineStr">
        <is>
          <t>In Custody (1993)</t>
        </is>
      </c>
      <c r="S88" s="5" t="inlineStr">
        <is>
          <t>Zakir Hussain scored two Shashi Kapoor films, and both are Merchant Ivory productions rather than Hindi pictures: Heat and Dust in 1983, directed by James Ivory, and In Custody in 1993, Ismail Merchant's own directorial debut, in which Kapoor gives one of his most admired late performances as a dissipated Urdu poet. The company habitually drew on Indian concert musicians instead of film composers — Satyajit Ray on Shakespeare Wallah, Ali Akbar Khan on The Householder, Sultan Khan alongside Hussain on In Custody — and he was among the most distinguished of them. Born in 1951, the eldest son of the tabla player Alla Rakha, Hussain was by common consent the finest tabla player of his generation and one of its finest percussionists in any tradition. Based for much of his career in the San Francisco Bay Area, he won nine Grammy Awards, the American National Heritage Fellowship, the Sangeet Natak Akademi Award in 1990 and its Fellowship in 2018, and did more than almost anyone to carry Indian classical music to a world audience. He died in December 2024.</t>
        </is>
      </c>
      <c r="T88" s="5" t="inlineStr">
        <is>
          <t>SOURCE-193</t>
        </is>
      </c>
      <c r="U88" s="5" t="inlineStr">
        <is>
          <t>High</t>
        </is>
      </c>
    </row>
    <row r="89" ht="94" customHeight="1">
      <c r="A89" s="15" t="inlineStr">
        <is>
          <t>PERSON-088</t>
        </is>
      </c>
      <c r="B89" s="5" t="inlineStr">
        <is>
          <t>A. Salaam</t>
        </is>
      </c>
      <c r="C89" s="5" t="inlineStr">
        <is>
          <t>Director</t>
        </is>
      </c>
      <c r="D89" s="18" t="n"/>
      <c r="E89" s="18" t="n"/>
      <c r="F89" s="5" t="n"/>
      <c r="G89" s="5" t="inlineStr">
        <is>
          <t>Hindi cinema</t>
        </is>
      </c>
      <c r="H89" s="5" t="inlineStr">
        <is>
          <t>No Wikipedia article exists for him under this name or the variant Abdul Salaam (director). Everything here rests on the credit of the single film.</t>
        </is>
      </c>
      <c r="I89" s="5" t="n"/>
      <c r="J89" s="5" t="inlineStr">
        <is>
          <t>With Kapoor: Salaakhen (1975).</t>
        </is>
      </c>
      <c r="K89" s="19" t="inlineStr">
        <is>
          <t>Not established from a single credit.</t>
        </is>
      </c>
      <c r="L89" s="19" t="inlineStr">
        <is>
          <t>Not established; no biographical source was located.</t>
        </is>
      </c>
      <c r="M89" s="5" t="n"/>
      <c r="N89" s="19" t="inlineStr">
        <is>
          <t>Not established.</t>
        </is>
      </c>
      <c r="O89" s="19" t="inlineStr">
        <is>
          <t>One film, Salaakhen (1975), made at the height of Kapoor's commercial period and scored by Ravindra Jain (PERSON-018).</t>
        </is>
      </c>
      <c r="P89" s="17" t="n">
        <v>1</v>
      </c>
      <c r="Q89" s="5" t="inlineStr">
        <is>
          <t>FILM-055</t>
        </is>
      </c>
      <c r="R89" s="5" t="inlineStr">
        <is>
          <t>Salaakhen (1975), his only film with Kapoor</t>
        </is>
      </c>
      <c r="S89" s="5" t="inlineStr">
        <is>
          <t>A. Salaam directed Salaakhen in 1975, his only film in this filmography. It belongs to Shashi Kapoor's busiest commercial years, when he was appearing in several releases annually, and was scored by Ravindra Jain, who worked on four Kapoor films in this period. No Wikipedia article exists for the director under this name or the disambiguated variant attempted in research, and no other biographical source was located, so nothing can be said of his wider career, his dates or his other films. The entry is included because the workbook records every credited director, and it is graded Low, resting on the single film credit.</t>
        </is>
      </c>
      <c r="T89" s="5" t="inlineStr">
        <is>
          <t>SOURCE-044</t>
        </is>
      </c>
      <c r="U89" s="5" t="inlineStr">
        <is>
          <t>Low</t>
        </is>
      </c>
    </row>
    <row r="90" ht="79" customHeight="1">
      <c r="A90" s="15" t="inlineStr">
        <is>
          <t>PERSON-089</t>
        </is>
      </c>
      <c r="B90" s="5" t="inlineStr">
        <is>
          <t>Aashirwad Films</t>
        </is>
      </c>
      <c r="C90" s="5" t="inlineStr">
        <is>
          <t>Production banner</t>
        </is>
      </c>
      <c r="D90" s="18" t="n"/>
      <c r="E90" s="18" t="n"/>
      <c r="F90" s="5" t="n"/>
      <c r="G90" s="5" t="inlineStr">
        <is>
          <t>Hindi cinema</t>
        </is>
      </c>
      <c r="H90" s="5" t="inlineStr">
        <is>
          <t>No Wikipedia article exists for this banner. Everything here rests on the credit of the single film.</t>
        </is>
      </c>
      <c r="I90" s="5" t="n"/>
      <c r="J90" s="5" t="inlineStr">
        <is>
          <t>With Kapoor: Alag Alag (1985).</t>
        </is>
      </c>
      <c r="K90" s="19" t="inlineStr">
        <is>
          <t>Not established from a single credit.</t>
        </is>
      </c>
      <c r="L90" s="19" t="inlineStr">
        <is>
          <t>Not applicable.</t>
        </is>
      </c>
      <c r="M90" s="5" t="n"/>
      <c r="N90" s="19" t="inlineStr">
        <is>
          <t>Not established.</t>
        </is>
      </c>
      <c r="O90" s="19" t="inlineStr">
        <is>
          <t>One banner credit, Alag Alag (1985), a film produced by Rajesh Khanna, written by Sachin Bhowmick (PERSON-012) and Ehsan Rizvi (PERSON-030), and scored by R. D. Burman (PERSON-003).</t>
        </is>
      </c>
      <c r="P90" s="17" t="n">
        <v>1</v>
      </c>
      <c r="Q90" s="5" t="inlineStr">
        <is>
          <t>FILM-118</t>
        </is>
      </c>
      <c r="R90" s="5" t="inlineStr">
        <is>
          <t>Alag Alag (1985), its only film with Kapoor</t>
        </is>
      </c>
      <c r="S90" s="5" t="inlineStr">
        <is>
          <t>Aashirwad Films is the banner on a single Shashi Kapoor film, Alag Alag in 1985 — a production of Rajesh Khanna's, written by Sachin Bhowmick with Ehsan Rizvi and scored by R. D. Burman. No Wikipedia article exists for the company, and no other source was located, so nothing can be said about its ownership, its other productions or its years of activity. The entry exists because this workbook records every credited production banner, and it is graded Low on the strength of the single film credit.</t>
        </is>
      </c>
      <c r="T90" s="5" t="inlineStr">
        <is>
          <t>SOURCE-099</t>
        </is>
      </c>
      <c r="U90" s="5" t="inlineStr">
        <is>
          <t>Low</t>
        </is>
      </c>
    </row>
    <row r="91" ht="139" customHeight="1">
      <c r="A91" s="15" t="inlineStr">
        <is>
          <t>PERSON-090</t>
        </is>
      </c>
      <c r="B91" s="5" t="inlineStr">
        <is>
          <t>Ajay Kashyap</t>
        </is>
      </c>
      <c r="C91" s="5" t="inlineStr">
        <is>
          <t>Director</t>
        </is>
      </c>
      <c r="D91" s="18" t="n"/>
      <c r="E91" s="18" t="n"/>
      <c r="F91" s="5" t="n"/>
      <c r="G91" s="5" t="inlineStr">
        <is>
          <t>Hindi cinema</t>
        </is>
      </c>
      <c r="H91" s="5" t="inlineStr">
        <is>
          <t>An Indian film director whose article gives no dates. His directorial debut came in 1985 and his last film, The Coal Mafia, in 2012. Six of his films starred Sanjay Dutt.</t>
        </is>
      </c>
      <c r="I91" s="5" t="inlineStr">
        <is>
          <t>A first film in 1985, followed by Mera Haque (1986).</t>
        </is>
      </c>
      <c r="J91" s="5" t="inlineStr">
        <is>
          <t>With Kapoor: Naam O Nishan (1987). Elsewhere: Mera Haque (1986) and The Coal Mafia (2012).</t>
        </is>
      </c>
      <c r="K91" s="19" t="inlineStr">
        <is>
          <t>Commercial action pictures, several built around Sanjay Dutt.</t>
        </is>
      </c>
      <c r="L91" s="19" t="inlineStr">
        <is>
          <t>Not assessed in the article.</t>
        </is>
      </c>
      <c r="M91" s="5" t="n"/>
      <c r="N91" s="19" t="inlineStr">
        <is>
          <t>Not established beyond his long association with Sanjay Dutt.</t>
        </is>
      </c>
      <c r="O91" s="19" t="inlineStr">
        <is>
          <t>One film, Naam O Nishan (1987), an action picture from the period in which Kapoor had moved into senior supporting roles, scored by Anu Malik (PERSON-053). His article does not mention Kapoor.</t>
        </is>
      </c>
      <c r="P91" s="17" t="n">
        <v>1</v>
      </c>
      <c r="Q91" s="5" t="inlineStr">
        <is>
          <t>FILM-128</t>
        </is>
      </c>
      <c r="R91" s="5" t="inlineStr">
        <is>
          <t>Naam O Nishan (1987), his only film with Kapoor</t>
        </is>
      </c>
      <c r="S91" s="5" t="inlineStr">
        <is>
          <t>Ajay Kashyap directed Naam O Nishan in 1987, his only film with Shashi Kapoor — a commercial action picture produced by B. P. Verma, written by Santosh Saroj and scored by Anu Malik, from the phase in which Kapoor had become a senior supporting presence rather than a lead. The film's writer would shortly go on to Shahenshah and Agneepath, two of the defining Amitabh Bachchan vehicles of the period, so the credit catches him just before his own rise. Kashyap's career began with a first feature in 1985 and continued through Mera Haque the following year to The Coal Mafia in 2012, with six of his films starring Sanjay Dutt — the association that gives his filmography whatever shape it has. His Wikipedia article is brief, gives no dates of birth, offers no critical assessment and does not mention Kapoor, so this entry rests on it together with the single secure credit. It is graded Medium.</t>
        </is>
      </c>
      <c r="T91" s="5" t="inlineStr">
        <is>
          <t>SOURCE-194</t>
        </is>
      </c>
      <c r="U91" s="5" t="inlineStr">
        <is>
          <t>Medium</t>
        </is>
      </c>
    </row>
    <row r="92" ht="154" customHeight="1">
      <c r="A92" s="15" t="inlineStr">
        <is>
          <t>PERSON-091</t>
        </is>
      </c>
      <c r="B92" s="5" t="inlineStr">
        <is>
          <t>Ajit Varman</t>
        </is>
      </c>
      <c r="C92" s="5" t="inlineStr">
        <is>
          <t>Song composer; Background-score composer</t>
        </is>
      </c>
      <c r="D92" s="17" t="n">
        <v>1947</v>
      </c>
      <c r="E92" s="17" t="n">
        <v>2016</v>
      </c>
      <c r="F92" s="5" t="inlineStr">
        <is>
          <t>1975–2016</t>
        </is>
      </c>
      <c r="G92" s="5" t="inlineStr">
        <is>
          <t>Indian parallel cinema</t>
        </is>
      </c>
      <c r="H92" s="5" t="inlineStr">
        <is>
          <t>Born Ajit Singh Varman on 26 March 1947; died 15 December 2016. Sometimes credited as Ajit Verman. He began in the 1960s as a working musician for Satyajit Ray, Mrinal Sen, Pankaj Mullick and Salil Chowdhury (PERSON-042) in Calcutta, and for Shankar–Jaikishan (PERSON-008) and Laxmikant–Pyarelal (PERSON-001) in Bombay, before turning to music direction full-time in 1975.</t>
        </is>
      </c>
      <c r="I92" s="5" t="inlineStr">
        <is>
          <t>As a composer from 1975; Govind Nihalani's Aakrosh (1980) was among his first significant scores.</t>
        </is>
      </c>
      <c r="J92" s="5" t="inlineStr">
        <is>
          <t>With Kapoor: Vijeta (1982), for which he wrote both songs and background score. Elsewhere: Aakrosh (1980), Ardh Satya (1983), Saaransh (1984) and Janam (1985).</t>
        </is>
      </c>
      <c r="K92" s="19" t="inlineStr">
        <is>
          <t>Scores for the parallel cinema of the early 1980s, particularly the work of Govind Nihalani and Mahesh Bhatt.</t>
        </is>
      </c>
      <c r="L92" s="19" t="inlineStr">
        <is>
          <t>A composer formed as a session musician for the most demanding figures in Indian film music, who brought that discipline to a spare, unshowy scoring style.</t>
        </is>
      </c>
      <c r="M92" s="5" t="n"/>
      <c r="N92" s="19" t="inlineStr">
        <is>
          <t>One of the small group of composers who gave the 1980s parallel cinema its sound.</t>
        </is>
      </c>
      <c r="O92" s="19" t="inlineStr">
        <is>
          <t>One film, but a significant one: Vijeta (1982), directed by Govind Nihalani and produced by Kapoor himself through Film-Valas, in which his son Kunal Kapoor took the lead. Varman wrote both the songs and the background score. The film belongs to the run of parallel-cinema productions Kapoor financed between 1979 and 1984.</t>
        </is>
      </c>
      <c r="P92" s="17" t="n">
        <v>1</v>
      </c>
      <c r="Q92" s="5" t="inlineStr">
        <is>
          <t>FILM-103</t>
        </is>
      </c>
      <c r="R92" s="5" t="inlineStr">
        <is>
          <t>Vijeta (1982), his only film with Kapoor</t>
        </is>
      </c>
      <c r="S92" s="5" t="inlineStr">
        <is>
          <t>Ajit Varman scored one Shashi Kapoor film, writing both the songs and the background music for Vijeta in 1982 — Govind Nihalani's film about a young man's entry into the air force, produced by Kapoor through Film-Valas, written by the poet Dilip Chitre, and starring his son Kunal while he himself played the father. It belongs to the run of serious films Kapoor financed from his commercial earnings between 1979 and 1984. Varman's career had an unusual shape. Born Ajit Singh Varman on 26 March 1947 and sometimes credited as Ajit Verman, he worked through the 1960s and early 1970s as a session musician for Satyajit Ray, Mrinal Sen, Pankaj Mullick and Salil Chowdhury in Calcutta, and for Shankar–Jaikishan and Laxmikant–Pyarelal in Bombay, only turning to composing full-time in 1975. He then became one of the defining musical voices of the 1980s parallel cinema, scoring Nihalani's Aakrosh and Ardh Satya and Mahesh Bhatt's Saaransh and Janam. He died on 15 December 2016.</t>
        </is>
      </c>
      <c r="T92" s="5" t="inlineStr">
        <is>
          <t>SOURCE-195</t>
        </is>
      </c>
      <c r="U92" s="5" t="inlineStr">
        <is>
          <t>High</t>
        </is>
      </c>
    </row>
    <row r="93" ht="124" customHeight="1">
      <c r="A93" s="15" t="inlineStr">
        <is>
          <t>PERSON-092</t>
        </is>
      </c>
      <c r="B93" s="5" t="inlineStr">
        <is>
          <t>Akbar S. Ahmed</t>
        </is>
      </c>
      <c r="C93" s="5" t="inlineStr">
        <is>
          <t>Writer</t>
        </is>
      </c>
      <c r="D93" s="17" t="n">
        <v>1943</v>
      </c>
      <c r="E93" s="18" t="n"/>
      <c r="F93" s="5" t="inlineStr">
        <is>
          <t>1960s–present</t>
        </is>
      </c>
      <c r="G93" s="5" t="inlineStr">
        <is>
          <t>Academia, diplomacy and occasional filmmaking</t>
        </is>
      </c>
      <c r="H93" s="5" t="inlineStr">
        <is>
          <t>Born Akbar Salahuddin Ahmed on 15 January 1943. A Pakistani-American academic, author, poet, playwright, filmmaker and former diplomat who served as Pakistan High Commissioner to the United Kingdom and Ireland. He holds the Ibn Khaldun Chair of Islamic Studies at the American University in Washington, D.C., and has taught at Princeton, Harvard and the US Naval Academy.</t>
        </is>
      </c>
      <c r="I93" s="5" t="inlineStr">
        <is>
          <t>His screen work is occasional; his principal output is scholarly.</t>
        </is>
      </c>
      <c r="J93" s="5" t="inlineStr">
        <is>
          <t>With Kapoor: Jinnah (1998). Elsewhere: Discovering Islam, which became the BBC series Living Islam, Postmodernism and Islam and Islam Today.</t>
        </is>
      </c>
      <c r="K93" s="19" t="inlineStr">
        <is>
          <t>Islam, Muslim identity and the interpretation of Muslim history for Western audiences.</t>
        </is>
      </c>
      <c r="L93" s="19" t="inlineStr">
        <is>
          <t>A scholar's approach to screen writing, concerned with historical argument and with correcting received accounts.</t>
        </is>
      </c>
      <c r="M93" s="5" t="inlineStr">
        <is>
          <t>His books have won awards; Postmodernism and Islam was nominated for an Amalfi Award and Islam Today was honoured by the Los Angeles press, per his article.</t>
        </is>
      </c>
      <c r="N93" s="19" t="inlineStr">
        <is>
          <t>A prominent interpreter of Islam to Western audiences and a former diplomat, whose one significant film was a defence of Pakistan's founder.</t>
        </is>
      </c>
      <c r="O93" s="19" t="inlineStr">
        <is>
          <t>One film, Jinnah (1998), in which Kapoor narrates — a role listed in this filmography as narration rather than a conventional part, and one of the last three films of his career. Ahmed wrote the film as an argued historical case for Muhammad Ali Jinnah, and the project was mounted by The Quaid Project Limited in the United Kingdom.</t>
        </is>
      </c>
      <c r="P93" s="17" t="n">
        <v>1</v>
      </c>
      <c r="Q93" s="5" t="inlineStr">
        <is>
          <t>FILM-153</t>
        </is>
      </c>
      <c r="R93" s="5" t="inlineStr">
        <is>
          <t>Jinnah (1998), his only film with Kapoor</t>
        </is>
      </c>
      <c r="S93" s="5" t="inlineStr">
        <is>
          <t>Akbar S. Ahmed wrote Jinnah, released in 1998, the film in which Shashi Kapoor serves as narrator — one of the last three credits of his acting life, alongside Swami Vivekananda and Side Streets, before he stopped working. Ahmed conceived the film as a historical argument for Muhammad Ali Jinnah against what he regarded as the received Western account, and it was mounted through a British company, The Quaid Project Limited. He is not primarily a filmmaker: born in 1943, he is a Pakistani-American academic who served as his country's High Commissioner to the United Kingdom and Ireland, holds the Ibn Khaldun Chair of Islamic Studies at the American University in Washington, and has written more than a dozen books, one of which became the BBC series Living Islam. His article does not mention Kapoor.</t>
        </is>
      </c>
      <c r="T93" s="5" t="inlineStr">
        <is>
          <t>SOURCE-196</t>
        </is>
      </c>
      <c r="U93" s="5" t="inlineStr">
        <is>
          <t>High</t>
        </is>
      </c>
    </row>
    <row r="94" ht="154" customHeight="1">
      <c r="A94" s="15" t="inlineStr">
        <is>
          <t>PERSON-093</t>
        </is>
      </c>
      <c r="B94" s="5" t="inlineStr">
        <is>
          <t>Akhtar Mirza</t>
        </is>
      </c>
      <c r="C94" s="5" t="inlineStr">
        <is>
          <t>Writer</t>
        </is>
      </c>
      <c r="D94" s="18" t="n"/>
      <c r="E94" s="18" t="n"/>
      <c r="F94" s="5" t="n"/>
      <c r="G94" s="5" t="inlineStr">
        <is>
          <t>Hindi cinema</t>
        </is>
      </c>
      <c r="H94" s="5" t="inlineStr">
        <is>
          <t>An Indian screenwriter and director for Hindi films. His article gives no birth or death dates. He was the father of the National Award-winning director Saeed Akhtar Mirza and of the filmmaker Aziz Mirza, who launched Shah Rukh Khan's career.</t>
        </is>
      </c>
      <c r="I94" s="5" t="inlineStr">
        <is>
          <t>Not recorded in the article.</t>
        </is>
      </c>
      <c r="J94" s="5" t="inlineStr">
        <is>
          <t>With Kapoor: Waqt (1965), for which he won the Filmfare Award for Best Story.</t>
        </is>
      </c>
      <c r="K94" s="19" t="inlineStr">
        <is>
          <t>Not established from the article beyond the family melodrama of Waqt.</t>
        </is>
      </c>
      <c r="L94" s="19" t="inlineStr">
        <is>
          <t>Not assessed in the article.</t>
        </is>
      </c>
      <c r="M94" s="5" t="inlineStr">
        <is>
          <t>The Filmfare Award for Best Story for Waqt (1965).</t>
        </is>
      </c>
      <c r="N94" s="19" t="inlineStr">
        <is>
          <t>The author of the story of Waqt, the film that established the lost-and-found multi-starrer as a commercial form, and the head of a filmmaking family.</t>
        </is>
      </c>
      <c r="O94" s="19" t="inlineStr">
        <is>
          <t>One film, but a decisive one: he wrote the story of Waqt (1965), the B. R. Chopra production directed by Yash Chopra (PERSON-005) that, with Jab Jab Phool Khile the same year, made Kapoor a star. Two different writers took Filmfare Awards for that film — Mirza for Best Story and Akhtar-ul-Iman (PERSON-051) for Best Dialogue — which is a fair measure of how carefully it was constructed.</t>
        </is>
      </c>
      <c r="P94" s="17" t="n">
        <v>1</v>
      </c>
      <c r="Q94" s="5" t="inlineStr">
        <is>
          <t>FILM-017</t>
        </is>
      </c>
      <c r="R94" s="5" t="inlineStr">
        <is>
          <t>Waqt (1965), his only film with Kapoor</t>
        </is>
      </c>
      <c r="S94" s="5" t="inlineStr">
        <is>
          <t>Akhtar Mirza wrote the story of Waqt, and that single credit makes him one of the more consequential names in this filmography. Released in 1965, Waqt separated a family by earthquake and reunited it in a courtroom, and its success established the lost-and-found multi-starrer that Shashi Kapoor would work inside for the next fifteen years; the film also made him a star in the same year as Jab Jab Phool Khile. Mirza won the Filmfare Award for Best Story for it, while Akhtar-ul-Iman took Best Dialogue for the same picture. His Wikipedia article is short and gives no dates, recording chiefly that he was a screenwriter and director and the father of the director Saeed Akhtar Mirza and the filmmaker Aziz Mirza. It does not mention Kapoor. The entry is graded Medium.</t>
        </is>
      </c>
      <c r="T94" s="5" t="inlineStr">
        <is>
          <t>SOURCE-197</t>
        </is>
      </c>
      <c r="U94" s="5" t="inlineStr">
        <is>
          <t>Medium</t>
        </is>
      </c>
    </row>
    <row r="95" ht="109" customHeight="1">
      <c r="A95" s="15" t="inlineStr">
        <is>
          <t>PERSON-094</t>
        </is>
      </c>
      <c r="B95" s="5" t="inlineStr">
        <is>
          <t>All India Film Corporation</t>
        </is>
      </c>
      <c r="C95" s="5" t="inlineStr">
        <is>
          <t>Production banner</t>
        </is>
      </c>
      <c r="D95" s="18" t="n"/>
      <c r="E95" s="18" t="n"/>
      <c r="F95" s="5" t="n"/>
      <c r="G95" s="5" t="inlineStr">
        <is>
          <t>Hindi cinema</t>
        </is>
      </c>
      <c r="H95" s="5" t="inlineStr">
        <is>
          <t>No Wikipedia article exists for this banner. Everything here rests on the credit of the single film.</t>
        </is>
      </c>
      <c r="I95" s="5" t="n"/>
      <c r="J95" s="5" t="inlineStr">
        <is>
          <t>With Kapoor: Awaara (1951).</t>
        </is>
      </c>
      <c r="K95" s="19" t="inlineStr">
        <is>
          <t>Not established from a single credit.</t>
        </is>
      </c>
      <c r="L95" s="19" t="inlineStr">
        <is>
          <t>Not applicable.</t>
        </is>
      </c>
      <c r="M95" s="5" t="n"/>
      <c r="N95" s="19" t="inlineStr">
        <is>
          <t>Not established, although the film it is credited on is among the most celebrated in Indian cinema.</t>
        </is>
      </c>
      <c r="O95" s="19" t="inlineStr">
        <is>
          <t>One banner credit, on Awaara (1951) — the Raj Kapoor film in which the thirteen-year-old Shashi, billed as Shashiraj, plays the child version of his brother's character. The film also carries an R. K. Films credit (PERSON-078), so this banner's role in it is not clear from the available sources.</t>
        </is>
      </c>
      <c r="P95" s="17" t="n">
        <v>1</v>
      </c>
      <c r="Q95" s="5" t="inlineStr">
        <is>
          <t>FILM-004</t>
        </is>
      </c>
      <c r="R95" s="5" t="inlineStr">
        <is>
          <t>Awaara (1951), its only film with Kapoor</t>
        </is>
      </c>
      <c r="S95" s="5" t="inlineStr">
        <is>
          <t>All India Film Corporation appears as a production banner on one film in this filmography, and it happens to be Awaara — Raj Kapoor's 1951 picture, among the most widely seen Indian films ever made, in which his youngest brother plays the child version of the tramp hero. The same film also carries an R. K. Films credit, and no source was found that explains how the two companies divided the work. No Wikipedia article exists for All India Film Corporation, and nothing further could be established about its ownership, its other productions or its years of operation. The entry is recorded because this workbook lists every credited banner, and it is graded Low on the strength of the single credit.</t>
        </is>
      </c>
      <c r="T95" s="5" t="inlineStr">
        <is>
          <t>SOURCE-004</t>
        </is>
      </c>
      <c r="U95" s="5" t="inlineStr">
        <is>
          <t>Low</t>
        </is>
      </c>
    </row>
    <row r="96" ht="94" customHeight="1">
      <c r="A96" s="15" t="inlineStr">
        <is>
          <t>PERSON-095</t>
        </is>
      </c>
      <c r="B96" s="5" t="inlineStr">
        <is>
          <t>Amarjeet</t>
        </is>
      </c>
      <c r="C96" s="5" t="inlineStr">
        <is>
          <t>Writer</t>
        </is>
      </c>
      <c r="D96" s="18" t="n"/>
      <c r="E96" s="18" t="n"/>
      <c r="F96" s="5" t="n"/>
      <c r="G96" s="5" t="inlineStr">
        <is>
          <t>Hindi cinema</t>
        </is>
      </c>
      <c r="H96" s="5" t="inlineStr">
        <is>
          <t>No Wikipedia article exists for him. The page at the variant spelling 'Amarjit' is a list of people bearing the given name and was rejected during research as not a biography. Everything here rests on the credit of the single film.</t>
        </is>
      </c>
      <c r="I96" s="5" t="n"/>
      <c r="J96" s="5" t="inlineStr">
        <is>
          <t>With Kapoor: Trishna (1978).</t>
        </is>
      </c>
      <c r="K96" s="19" t="inlineStr">
        <is>
          <t>Not established from a single credit.</t>
        </is>
      </c>
      <c r="L96" s="19" t="inlineStr">
        <is>
          <t>Not established; no biographical source was located.</t>
        </is>
      </c>
      <c r="M96" s="5" t="n"/>
      <c r="N96" s="19" t="inlineStr">
        <is>
          <t>Not established.</t>
        </is>
      </c>
      <c r="O96" s="19" t="inlineStr">
        <is>
          <t>One writing credit, on Trishna (1978), the Anil Ganguly (PERSON-052) melodrama pairing Kapoor with Raakhee, which was produced by Ramesh Sippy (PERSON-038) and G. P. Sippy (PERSON-059) and also written by Sachin Bhowmick (PERSON-012).</t>
        </is>
      </c>
      <c r="P96" s="17" t="n">
        <v>1</v>
      </c>
      <c r="Q96" s="5" t="inlineStr">
        <is>
          <t>FILM-072</t>
        </is>
      </c>
      <c r="R96" s="5" t="inlineStr">
        <is>
          <t>Trishna (1978), his only film with Kapoor</t>
        </is>
      </c>
      <c r="S96" s="5" t="inlineStr">
        <is>
          <t>Amarjeet has a single writing credit in this filmography, on Trishna in 1978 — the Anil Ganguly film that pairs Shashi Kapoor with Raakhee, made under the Sippy banner and written with Sachin Bhowmick. No Wikipedia article exists for him: the page standing at the variant spelling Amarjit turned out to be a list of people who share the given name, and was rejected during research as not a biography of anyone in particular. No other source was located, so nothing can be said of his wider work or his dates. The entry is graded Low and rests on the single film credit.</t>
        </is>
      </c>
      <c r="T96" s="5" t="inlineStr">
        <is>
          <t>SOURCE-064</t>
        </is>
      </c>
      <c r="U96" s="5" t="inlineStr">
        <is>
          <t>Low</t>
        </is>
      </c>
    </row>
    <row r="97" ht="94" customHeight="1">
      <c r="A97" s="15" t="inlineStr">
        <is>
          <t>PERSON-096</t>
        </is>
      </c>
      <c r="B97" s="5" t="inlineStr">
        <is>
          <t>Ambrish Sangal</t>
        </is>
      </c>
      <c r="C97" s="5" t="inlineStr">
        <is>
          <t>Director</t>
        </is>
      </c>
      <c r="D97" s="18" t="n"/>
      <c r="E97" s="18" t="n"/>
      <c r="F97" s="5" t="n"/>
      <c r="G97" s="5" t="inlineStr">
        <is>
          <t>Hindi cinema</t>
        </is>
      </c>
      <c r="H97" s="5" t="inlineStr">
        <is>
          <t>No Wikipedia article exists for him, and none was found under any variant spelling. Everything here rests on the credit of the single film.</t>
        </is>
      </c>
      <c r="I97" s="5" t="n"/>
      <c r="J97" s="5" t="inlineStr">
        <is>
          <t>With Kapoor: Gehri Chot - Urf: Durdesh (1983).</t>
        </is>
      </c>
      <c r="K97" s="19" t="inlineStr">
        <is>
          <t>Not established from a single credit.</t>
        </is>
      </c>
      <c r="L97" s="19" t="inlineStr">
        <is>
          <t>Not established; no biographical source was located.</t>
        </is>
      </c>
      <c r="M97" s="5" t="n"/>
      <c r="N97" s="19" t="inlineStr">
        <is>
          <t>Not established.</t>
        </is>
      </c>
      <c r="O97" s="19" t="inlineStr">
        <is>
          <t>One film, Gehri Chot - Urf: Durdesh (1983), produced by Ashok 'Charlie' Mehra (PERSON-108) and scored by Usha Khanna (PERSON-047). The film belongs to the transitional phase in which Kapoor was moving away from leading roles.</t>
        </is>
      </c>
      <c r="P97" s="17" t="n">
        <v>1</v>
      </c>
      <c r="Q97" s="5" t="inlineStr">
        <is>
          <t>FILM-110</t>
        </is>
      </c>
      <c r="R97" s="5" t="inlineStr">
        <is>
          <t>Gehri Chot - Urf: Durdesh (1983), his only film with Kapoor</t>
        </is>
      </c>
      <c r="S97" s="5" t="inlineStr">
        <is>
          <t>Ambrish Sangal directed Gehri Chot - Urf: Durdesh in 1983, his only film in this filmography. It comes at the point where Shashi Kapoor's run as a commercial lead was ending and his character and supporting work beginning, and was produced by Ashok 'Charlie' Mehra with songs by Usha Khanna — all three of them figures for whom little or no biographical record survives. No Wikipedia article exists for Sangal under this name or any variant attempted during research, and no other source was located. The entry is included because this workbook records every credited director, and it is graded Low.</t>
        </is>
      </c>
      <c r="T97" s="5" t="inlineStr">
        <is>
          <t>SOURCE-091</t>
        </is>
      </c>
      <c r="U97" s="5" t="inlineStr">
        <is>
          <t>Low</t>
        </is>
      </c>
    </row>
    <row r="98" ht="124" customHeight="1">
      <c r="A98" s="15" t="inlineStr">
        <is>
          <t>PERSON-097</t>
        </is>
      </c>
      <c r="B98" s="5" t="inlineStr">
        <is>
          <t>Amit Khanna</t>
        </is>
      </c>
      <c r="C98" s="5" t="inlineStr">
        <is>
          <t>Writer</t>
        </is>
      </c>
      <c r="D98" s="18" t="n"/>
      <c r="E98" s="18" t="n"/>
      <c r="F98" s="5" t="inlineStr">
        <is>
          <t>1971–present</t>
        </is>
      </c>
      <c r="G98" s="5" t="inlineStr">
        <is>
          <t>Hindi cinema and Indian media</t>
        </is>
      </c>
      <c r="H98" s="5" t="inlineStr">
        <is>
          <t>A film producer, director, writer and journalist, and a lyricist and media executive. He was founder chairman of Reliance Entertainment, a former president of the Producers Guild of India, and a founder trustee of the Mumbai Academy of the Moving Image. His article credits him with having coined the term Bollywood.</t>
        </is>
      </c>
      <c r="I98" s="5" t="inlineStr">
        <is>
          <t>Working in the industry from 1971.</t>
        </is>
      </c>
      <c r="J98" s="5" t="inlineStr">
        <is>
          <t>With Kapoor: Chakkar Pe Chakkar (1977). Elsewhere: Gudia, Sardari Begum and Bhairavi as producer.</t>
        </is>
      </c>
      <c r="K98" s="19" t="inlineStr">
        <is>
          <t>Not established from the single Kapoor credit; his own productions lean toward serious and art-house subjects.</t>
        </is>
      </c>
      <c r="L98" s="19" t="inlineStr">
        <is>
          <t>Principally an executive and producer rather than a stylist, working across writing, lyric-writing and media management.</t>
        </is>
      </c>
      <c r="M98" s="5" t="inlineStr">
        <is>
          <t>Three National Film Awards, as producer and as lyricist.</t>
        </is>
      </c>
      <c r="N98" s="19" t="inlineStr">
        <is>
          <t>A significant figure in the business and institutional life of Indian cinema — Reliance Entertainment, the Producers Guild and MAMI — and, by his article's account, the man who named Bollywood.</t>
        </is>
      </c>
      <c r="O98" s="19" t="inlineStr">
        <is>
          <t>One writing credit, on Chakkar Pe Chakkar (1977), directed and produced by Ashok Roy (PERSON-026). It is an early credit, six years into his career and long before the executive roles for which he is better known. His article does not mention Kapoor or this film.</t>
        </is>
      </c>
      <c r="P98" s="17" t="n">
        <v>1</v>
      </c>
      <c r="Q98" s="5" t="inlineStr">
        <is>
          <t>FILM-066</t>
        </is>
      </c>
      <c r="R98" s="5" t="inlineStr">
        <is>
          <t>Chakkar Pe Chakkar (1977), his only film with Kapoor</t>
        </is>
      </c>
      <c r="S98" s="5" t="inlineStr">
        <is>
          <t>Amit Khanna wrote one Shashi Kapoor film, Chakkar Pe Chakkar in 1977, an early credit in a career that had begun six years before and would take him a long way from screenwriting. Khanna became founder chairman of Reliance Entertainment, president of the Producers Guild of India and a founder trustee of the Mumbai Academy of the Moving Image, and produced Gudia, Sardari Begum and Bhairavi, winning three National Film Awards as producer and lyricist. His article also credits him with coining the word Bollywood, which is the claim he is most often cited for. None of this touches the Kapoor film, which was a routine commercial picture directed by Ashok Roy, and his article does not mention the actor. The entry is graded High for the biography and rests on a single secure credit.</t>
        </is>
      </c>
      <c r="T98" s="5" t="inlineStr">
        <is>
          <t>SOURCE-198</t>
        </is>
      </c>
      <c r="U98" s="5" t="inlineStr">
        <is>
          <t>High</t>
        </is>
      </c>
    </row>
    <row r="99" ht="79" customHeight="1">
      <c r="A99" s="15" t="inlineStr">
        <is>
          <t>PERSON-098</t>
        </is>
      </c>
      <c r="B99" s="5" t="inlineStr">
        <is>
          <t>Amrit Aryan</t>
        </is>
      </c>
      <c r="C99" s="5" t="inlineStr">
        <is>
          <t>Writer</t>
        </is>
      </c>
      <c r="D99" s="18" t="n"/>
      <c r="E99" s="18" t="n"/>
      <c r="F99" s="5" t="n"/>
      <c r="G99" s="5" t="inlineStr">
        <is>
          <t>Hindi cinema</t>
        </is>
      </c>
      <c r="H99" s="5" t="inlineStr">
        <is>
          <t>No Wikipedia article exists for him, and none was found under any variant spelling. Everything here rests on the credit of the single film.</t>
        </is>
      </c>
      <c r="I99" s="5" t="n"/>
      <c r="J99" s="5" t="inlineStr">
        <is>
          <t>With Kapoor: Farz Ki Jung (1989).</t>
        </is>
      </c>
      <c r="K99" s="19" t="inlineStr">
        <is>
          <t>Not established from a single credit.</t>
        </is>
      </c>
      <c r="L99" s="19" t="inlineStr">
        <is>
          <t>Not established; no biographical source was located.</t>
        </is>
      </c>
      <c r="M99" s="5" t="n"/>
      <c r="N99" s="19" t="inlineStr">
        <is>
          <t>Not established.</t>
        </is>
      </c>
      <c r="O99" s="19" t="inlineStr">
        <is>
          <t>One writing credit, on Farz Ki Jung (1989), a late action picture scored by Bappi Lahiri (PERSON-004) in which Kapoor appears in a supporting capacity.</t>
        </is>
      </c>
      <c r="P99" s="17" t="n">
        <v>1</v>
      </c>
      <c r="Q99" s="5" t="inlineStr">
        <is>
          <t>FILM-141</t>
        </is>
      </c>
      <c r="R99" s="5" t="inlineStr">
        <is>
          <t>Farz Ki Jung (1989), his only film with Kapoor</t>
        </is>
      </c>
      <c r="S99" s="5" t="inlineStr">
        <is>
          <t>Amrit Aryan wrote Farz Ki Jung, released in 1989, his only credit in this filmography. It is a late commercial action picture, scored by Bappi Lahiri, from the period in which Shashi Kapoor had become a supporting presence in films built around younger stars. No Wikipedia article exists for Aryan under this name or any variant attempted in research, and no other biographical source was located, so nothing further can be said about his career. The entry is graded Low and rests on the single film credit.</t>
        </is>
      </c>
      <c r="T99" s="5" t="inlineStr">
        <is>
          <t>SOURCE-115</t>
        </is>
      </c>
      <c r="U99" s="5" t="inlineStr">
        <is>
          <t>Low</t>
        </is>
      </c>
    </row>
    <row r="100" ht="94" customHeight="1">
      <c r="A100" s="15" t="inlineStr">
        <is>
          <t>PERSON-099</t>
        </is>
      </c>
      <c r="B100" s="5" t="inlineStr">
        <is>
          <t>Anand Bhargava</t>
        </is>
      </c>
      <c r="C100" s="5" t="inlineStr">
        <is>
          <t>Producer</t>
        </is>
      </c>
      <c r="D100" s="18" t="n"/>
      <c r="E100" s="18" t="n"/>
      <c r="F100" s="5" t="n"/>
      <c r="G100" s="5" t="inlineStr">
        <is>
          <t>Hindi cinema</t>
        </is>
      </c>
      <c r="H100" s="5" t="inlineStr">
        <is>
          <t>No Wikipedia article exists for him, and none was found under any variant spelling. Everything here rests on the credit of the single film.</t>
        </is>
      </c>
      <c r="I100" s="5" t="n"/>
      <c r="J100" s="5" t="inlineStr">
        <is>
          <t>With Kapoor: Koi Jeeta Koi Haara (1976).</t>
        </is>
      </c>
      <c r="K100" s="19" t="inlineStr">
        <is>
          <t>Not established from a single credit.</t>
        </is>
      </c>
      <c r="L100" s="19" t="inlineStr">
        <is>
          <t>Not applicable; no biographical source was located.</t>
        </is>
      </c>
      <c r="M100" s="5" t="n"/>
      <c r="N100" s="19" t="inlineStr">
        <is>
          <t>Not established.</t>
        </is>
      </c>
      <c r="O100" s="19" t="inlineStr">
        <is>
          <t>One producing credit, on Koi Jeeta Koi Haara (1976), directed by Samir Ganguly (PERSON-021) and scored by Laxmikant–Pyarelal (PERSON-001), from the middle of Kapoor's busiest commercial period.</t>
        </is>
      </c>
      <c r="P100" s="17" t="n">
        <v>1</v>
      </c>
      <c r="Q100" s="5" t="inlineStr">
        <is>
          <t>FILM-057</t>
        </is>
      </c>
      <c r="R100" s="5" t="inlineStr">
        <is>
          <t>Koi Jeeta Koi Haara (1976), his only film with Kapoor</t>
        </is>
      </c>
      <c r="S100" s="5" t="inlineStr">
        <is>
          <t>Anand Bhargava produced Koi Jeeta Koi Haara in 1976, his only credit in this filmography. The film was directed by Samir Ganguly, who made three other Kapoor pictures, and scored by Laxmikant–Pyarelal, and it belongs to the years when Kapoor was appearing in several releases annually. No Wikipedia article exists for Bhargava under this name or any variant tried during research, and no other biographical source was found, so nothing can be established about his other productions or his dates. The entry is graded Low and rests on the single credit.</t>
        </is>
      </c>
      <c r="T100" s="5" t="inlineStr">
        <is>
          <t>SOURCE-049</t>
        </is>
      </c>
      <c r="U100" s="5" t="inlineStr">
        <is>
          <t>Low</t>
        </is>
      </c>
    </row>
    <row r="101" ht="109" customHeight="1">
      <c r="A101" s="15" t="inlineStr">
        <is>
          <t>PERSON-100</t>
        </is>
      </c>
      <c r="B101" s="5" t="inlineStr">
        <is>
          <t>Anand Dutta</t>
        </is>
      </c>
      <c r="C101" s="5" t="inlineStr">
        <is>
          <t>Writer</t>
        </is>
      </c>
      <c r="D101" s="18" t="n"/>
      <c r="E101" s="18" t="n"/>
      <c r="F101" s="5" t="n"/>
      <c r="G101" s="5" t="inlineStr">
        <is>
          <t>Hindi cinema</t>
        </is>
      </c>
      <c r="H101" s="5" t="inlineStr">
        <is>
          <t>No Wikipedia article exists for him, and none was found under any variant spelling. Everything here rests on the credit of the single film.</t>
        </is>
      </c>
      <c r="I101" s="5" t="n"/>
      <c r="J101" s="5" t="inlineStr">
        <is>
          <t>With Kapoor: Deewaangee (1976).</t>
        </is>
      </c>
      <c r="K101" s="19" t="inlineStr">
        <is>
          <t>Not established from a single credit.</t>
        </is>
      </c>
      <c r="L101" s="19" t="inlineStr">
        <is>
          <t>Not established; no biographical source was located.</t>
        </is>
      </c>
      <c r="M101" s="5" t="n"/>
      <c r="N101" s="19" t="inlineStr">
        <is>
          <t>Not established.</t>
        </is>
      </c>
      <c r="O101" s="19" t="inlineStr">
        <is>
          <t>One writing credit, on Deewaangee (1976), directed by Samir Ganguly (PERSON-021), produced by Subodh Mukherjee (PERSON-045) and scored by both Ravindra Jain (PERSON-018) and S. D. Burman (PERSON-040) — the last of these a credit appearing after Burman's death.</t>
        </is>
      </c>
      <c r="P101" s="17" t="n">
        <v>1</v>
      </c>
      <c r="Q101" s="5" t="inlineStr">
        <is>
          <t>FILM-058</t>
        </is>
      </c>
      <c r="R101" s="5" t="inlineStr">
        <is>
          <t>Deewaangee (1976), his only film with Kapoor</t>
        </is>
      </c>
      <c r="S101" s="5" t="inlineStr">
        <is>
          <t>Anand Dutta wrote Deewaangee, released in 1976, his only credit here. The film brought together a notable group: Samir Ganguly directed, Subodh Mukherjee produced, and the songs are credited to both Ravindra Jain and S. D. Burman, the latter appearing on a film released after his death in October 1975. Of Dutta himself nothing is recorded: no Wikipedia article exists under this name or any variant attempted in research, and no other biographical source was located. The entry is graded Low and rests on the single film credit.</t>
        </is>
      </c>
      <c r="T101" s="5" t="inlineStr">
        <is>
          <t>SOURCE-050</t>
        </is>
      </c>
      <c r="U101" s="5" t="inlineStr">
        <is>
          <t>Low</t>
        </is>
      </c>
    </row>
    <row r="102" ht="154" customHeight="1">
      <c r="A102" s="15" t="inlineStr">
        <is>
          <t>PERSON-101</t>
        </is>
      </c>
      <c r="B102" s="5" t="inlineStr">
        <is>
          <t>Anand-Milind</t>
        </is>
      </c>
      <c r="C102" s="5" t="inlineStr">
        <is>
          <t>Song composer (composing duo)</t>
        </is>
      </c>
      <c r="D102" s="18" t="n"/>
      <c r="E102" s="18" t="n"/>
      <c r="F102" s="5" t="inlineStr">
        <is>
          <t>1983–present</t>
        </is>
      </c>
      <c r="G102" s="5" t="inlineStr">
        <is>
          <t>Hindi cinema</t>
        </is>
      </c>
      <c r="H102" s="5" t="inlineStr">
        <is>
          <t>A composer duo of the brothers Anand Srivastava and Milind Srivastava, sons of the composer Chitragupt. They have written music for more than two hundred Hindi films.</t>
        </is>
      </c>
      <c r="I102" s="5" t="inlineStr">
        <is>
          <t>Ab Ayega Mazaa (1984); their breakthrough came with Qayamat Se Qayamat Tak (1988).</t>
        </is>
      </c>
      <c r="J102" s="5" t="inlineStr">
        <is>
          <t>With Kapoor: Maa Beti (1986). Elsewhere: Qayamat Se Qayamat Tak (1988), for which they won the Filmfare Award for Best Music Director.</t>
        </is>
      </c>
      <c r="K102" s="19" t="inlineStr">
        <is>
          <t>Melodic romantic film songs of the late 1980s and 1990s, particularly for youth-centred love stories.</t>
        </is>
      </c>
      <c r="L102" s="19" t="inlineStr">
        <is>
          <t>Song-led composing in the mainstream idiom, at its most characteristic in the romantic musical.</t>
        </is>
      </c>
      <c r="M102" s="5" t="inlineStr">
        <is>
          <t>The Filmfare Award for Best Music Director for Qayamat Se Qayamat Tak.</t>
        </is>
      </c>
      <c r="N102" s="19" t="inlineStr">
        <is>
          <t>The composers of Qayamat Se Qayamat Tak, the soundtrack that helped reset the Hindi romantic musical at the end of the 1980s.</t>
        </is>
      </c>
      <c r="O102" s="19" t="inlineStr">
        <is>
          <t>One film, Maa Beti (1986), directed by Kalpataru (PERSON-195) — and it comes two years before the success that made the duo's name, so the credit catches them early rather than at their height. By 1986 Kapoor was working mainly in supporting and senior roles. Their article does not mention Kapoor.</t>
        </is>
      </c>
      <c r="P102" s="17" t="n">
        <v>1</v>
      </c>
      <c r="Q102" s="5" t="inlineStr">
        <is>
          <t>FILM-125</t>
        </is>
      </c>
      <c r="R102" s="5" t="inlineStr">
        <is>
          <t>Maa Beti (1986), their only film with Kapoor</t>
        </is>
      </c>
      <c r="S102" s="5" t="inlineStr">
        <is>
          <t>Anand–Milind scored one Shashi Kapoor film, Maa Beti in 1986, and the date matters more than the film does. The brothers had debuted only two years earlier with Ab Ayega Mazaa and would not have their breakthrough until Qayamat Se Qayamat Tak in 1988, the blockbuster romantic musical that won them the Filmfare Award for Best Music Director and made them among the most sought-after composers of the following decade. Maa Beti therefore catches them before their reputation was made and Kapoor well after his, in the years when he had moved into senior family roles; the film was directed by Kalpataru, a specialist in exactly that register. Anand and Milind Srivastava were the sons of the composer Chitragupt, and went on to write music for more than two hundred Hindi films, their name inseparable from the youth-oriented romantic musical that dominated the early 1990s. Their article does not mention Kapoor, and this entry rests on it together with the single credit.</t>
        </is>
      </c>
      <c r="T102" s="5" t="inlineStr">
        <is>
          <t>SOURCE-199</t>
        </is>
      </c>
      <c r="U102" s="5" t="inlineStr">
        <is>
          <t>High</t>
        </is>
      </c>
    </row>
    <row r="103" ht="124" customHeight="1">
      <c r="A103" s="15" t="inlineStr">
        <is>
          <t>PERSON-102</t>
        </is>
      </c>
      <c r="B103" s="5" t="inlineStr">
        <is>
          <t>Anantha Lakshmi Films</t>
        </is>
      </c>
      <c r="C103" s="5" t="inlineStr">
        <is>
          <t>Production banner</t>
        </is>
      </c>
      <c r="D103" s="18" t="n"/>
      <c r="E103" s="18" t="n"/>
      <c r="F103" s="5" t="n"/>
      <c r="G103" s="5" t="inlineStr">
        <is>
          <t>Hindi and Telugu cinema</t>
        </is>
      </c>
      <c r="H103" s="5" t="inlineStr">
        <is>
          <t>No Wikipedia article exists for this banner. Everything here rests on the credit of the single film.</t>
        </is>
      </c>
      <c r="I103" s="5" t="n"/>
      <c r="J103" s="5" t="inlineStr">
        <is>
          <t>With Kapoor: Swami Vivekananda (1998).</t>
        </is>
      </c>
      <c r="K103" s="19" t="inlineStr">
        <is>
          <t>Not established from a single credit.</t>
        </is>
      </c>
      <c r="L103" s="19" t="inlineStr">
        <is>
          <t>Not applicable.</t>
        </is>
      </c>
      <c r="M103" s="5" t="n"/>
      <c r="N103" s="19" t="inlineStr">
        <is>
          <t>Not established.</t>
        </is>
      </c>
      <c r="O103" s="19" t="inlineStr">
        <is>
          <t>One banner credit, on Swami Vivekananda (1998), one of the last three films of Kapoor's career. The film was produced by T. Subbarami Reddy, scored by Salil Chowdhury (PERSON-042) — a credit appearing three years after his death — and made in Hindi and English versions with separate background-score composers for each.</t>
        </is>
      </c>
      <c r="P103" s="17" t="n">
        <v>1</v>
      </c>
      <c r="Q103" s="5" t="inlineStr">
        <is>
          <t>FILM-152</t>
        </is>
      </c>
      <c r="R103" s="5" t="inlineStr">
        <is>
          <t>Swami Vivekananda (1998), its only film with Kapoor</t>
        </is>
      </c>
      <c r="S103" s="5" t="inlineStr">
        <is>
          <t>Anantha Lakshmi Films is the banner on Swami Vivekananda, released in 1998 — one of the final three films of Shashi Kapoor's career, alongside Jinnah and Side Streets, after which he stopped acting. The production is unusual in several ways recorded elsewhere in this workbook: songs credited to Salil Chowdhury three years after his death, and separate background scores for the Hindi and English versions by Vijaya Bhaskar and B. V. Karanth (PERSON-115). No Wikipedia article exists for the banner itself, and no other source was located, so nothing can be said of its ownership or other productions. The entry is graded Low.</t>
        </is>
      </c>
      <c r="T103" s="5" t="inlineStr">
        <is>
          <t>SOURCE-124</t>
        </is>
      </c>
      <c r="U103" s="5" t="inlineStr">
        <is>
          <t>Low</t>
        </is>
      </c>
    </row>
    <row r="104" ht="109" customHeight="1">
      <c r="A104" s="15" t="inlineStr">
        <is>
          <t>PERSON-103</t>
        </is>
      </c>
      <c r="B104" s="5" t="inlineStr">
        <is>
          <t>Anees Bazmee</t>
        </is>
      </c>
      <c r="C104" s="5" t="inlineStr">
        <is>
          <t>Writer</t>
        </is>
      </c>
      <c r="D104" s="17" t="n">
        <v>1962</v>
      </c>
      <c r="E104" s="18" t="n"/>
      <c r="F104" s="5" t="inlineStr">
        <is>
          <t>1982–present</t>
        </is>
      </c>
      <c r="G104" s="5" t="inlineStr">
        <is>
          <t>Hindi cinema</t>
        </is>
      </c>
      <c r="H104" s="5" t="inlineStr">
        <is>
          <t>Born in 1962. A film director, screenwriter and producer working in Hindi cinema, active since 1982 and best known as a director of broad comedies.</t>
        </is>
      </c>
      <c r="I104" s="5" t="inlineStr">
        <is>
          <t>Working from 1982; his directing reputation was made much later.</t>
        </is>
      </c>
      <c r="J104" s="5" t="inlineStr">
        <is>
          <t>With Kapoor: Hum To Chale Pardes (1988). Elsewhere, as director: No Entry (2005), Welcome (2007), Singh is Kinng (2008), Bhool Bhulaiyaa 2 (2022) and Bhool Bhulaiyaa 3 (2024).</t>
        </is>
      </c>
      <c r="K104" s="19" t="inlineStr">
        <is>
          <t>Ensemble farce, mistaken identity and comic misunderstanding.</t>
        </is>
      </c>
      <c r="L104" s="19" t="inlineStr">
        <is>
          <t>A comedy specialist working in broad, plot-driven farce built for large casts.</t>
        </is>
      </c>
      <c r="M104" s="5" t="inlineStr">
        <is>
          <t>A Filmfare Award nomination for Best Director for Bhool Bhulaiyaa 2 (2022).</t>
        </is>
      </c>
      <c r="N104" s="19" t="inlineStr">
        <is>
          <t>One of the most commercially successful comedy directors of twenty-first-century Hindi cinema.</t>
        </is>
      </c>
      <c r="O104" s="19" t="inlineStr">
        <is>
          <t>One writing credit, on Hum To Chale Pardes (1988), from six years into a career that would not reach prominence for another decade and a half. The film belongs to Kapoor's final years as a working screen presence. His article, which concentrates on his directing career, does not mention it or Kapoor.</t>
        </is>
      </c>
      <c r="P104" s="17" t="n">
        <v>1</v>
      </c>
      <c r="Q104" s="5" t="inlineStr">
        <is>
          <t>FILM-135</t>
        </is>
      </c>
      <c r="R104" s="5" t="inlineStr">
        <is>
          <t>Hum To Chale Pardes (1988), his only film with Kapoor</t>
        </is>
      </c>
      <c r="S104" s="5" t="inlineStr">
        <is>
          <t>Anees Bazmee wrote Hum To Chale Pardes in 1988, his only credit in this filmography and an early one in a long career. Bazmee had been working since 1982 and would not become well known until the 2000s, when No Entry, Welcome and Singh is Kinng established him as the leading director of broad Hindi ensemble comedy; Bhool Bhulaiyaa 2 brought him a Filmfare Best Director nomination in 2022 and a third instalment followed in 2024. The Kapoor film comes from the very end of the actor's regular screen work and from the beginning of Bazmee's rise, so the two careers cross only briefly. His article does not mention Kapoor or the film.</t>
        </is>
      </c>
      <c r="T104" s="5" t="inlineStr">
        <is>
          <t>SOURCE-200</t>
        </is>
      </c>
      <c r="U104" s="5" t="inlineStr">
        <is>
          <t>High</t>
        </is>
      </c>
    </row>
    <row r="105" ht="139" customHeight="1">
      <c r="A105" s="15" t="inlineStr">
        <is>
          <t>PERSON-104</t>
        </is>
      </c>
      <c r="B105" s="5" t="inlineStr">
        <is>
          <t>Anil Sharma</t>
        </is>
      </c>
      <c r="C105" s="5" t="inlineStr">
        <is>
          <t>Director; Writer</t>
        </is>
      </c>
      <c r="D105" s="18" t="n"/>
      <c r="E105" s="18" t="n"/>
      <c r="F105" s="5" t="inlineStr">
        <is>
          <t>1980–present</t>
        </is>
      </c>
      <c r="G105" s="5" t="inlineStr">
        <is>
          <t>Hindi cinema</t>
        </is>
      </c>
      <c r="H105" s="5" t="inlineStr">
        <is>
          <t>An Indian film director and producer working since 1980. His article gives no birth date.</t>
        </is>
      </c>
      <c r="I105" s="5" t="inlineStr">
        <is>
          <t>Directing from 1980.</t>
        </is>
      </c>
      <c r="J105" s="5" t="inlineStr">
        <is>
          <t>With Kapoor: Bandhan Kuchchey Dhaagon Ka (1983), which he both directed and wrote. Elsewhere: Gadar: Ek Prem Katha (2001), The Hero: Love Story of a Spy (2003) and Gadar 2 (2023).</t>
        </is>
      </c>
      <c r="K105" s="19" t="inlineStr">
        <is>
          <t>Large-scale patriotic melodrama and cross-border love stories.</t>
        </is>
      </c>
      <c r="L105" s="19" t="inlineStr">
        <is>
          <t>A director of emotionally direct, heavily scored mass entertainment.</t>
        </is>
      </c>
      <c r="M105" s="5" t="n"/>
      <c r="N105" s="19" t="inlineStr">
        <is>
          <t>The director of Gadar: Ek Prem Katha, among the largest commercial successes in Hindi cinema, and of its 2023 sequel.</t>
        </is>
      </c>
      <c r="O105" s="19" t="inlineStr">
        <is>
          <t>One film, Bandhan Kuchchey Dhaagon Ka (1983), which Sharma directed and wrote three years into his career and eighteen years before Gadar made his name. It falls in the transitional phase of Kapoor's career, after his run as a top commercial lead had ended. His article does not mention Kapoor.</t>
        </is>
      </c>
      <c r="P105" s="17" t="n">
        <v>1</v>
      </c>
      <c r="Q105" s="5" t="inlineStr">
        <is>
          <t>FILM-108</t>
        </is>
      </c>
      <c r="R105" s="5" t="inlineStr">
        <is>
          <t>Bandhan Kuchchey Dhaagon Ka (1983), his only film with Kapoor</t>
        </is>
      </c>
      <c r="S105" s="5" t="inlineStr">
        <is>
          <t>Anil Sharma directed and wrote Bandhan Kuchchey Dhaagon Ka in 1983, his only film with Shashi Kapoor and an early one in his own career, produced by K. C. Sharma with songs by Hemant Bhonsle. He had begun directing in 1980 and would work for nearly two decades more before Gadar: Ek Prem Katha in 2001 made him one of the most commercially successful directors in the industry — a cross-border love story set against partition that became among the largest Hindi hits ever made, and whose sequel, Gadar 2, repeated the feat in 2023. He also made The Hero: Love Story of a Spy in 2003. The Kapoor film belongs to the transitional years when the actor's commercial standing was falling away and he was taking a wide range of work, from parallel cinema to routine melodrama, in the same twelve months. Sharma's article is brief, gives no birth date and does not mention Kapoor.</t>
        </is>
      </c>
      <c r="T105" s="5" t="inlineStr">
        <is>
          <t>SOURCE-201</t>
        </is>
      </c>
      <c r="U105" s="5" t="inlineStr">
        <is>
          <t>High</t>
        </is>
      </c>
    </row>
    <row r="106" ht="154" customHeight="1">
      <c r="A106" s="15" t="inlineStr">
        <is>
          <t>PERSON-105</t>
        </is>
      </c>
      <c r="B106" s="5" t="inlineStr">
        <is>
          <t>Anita Desai</t>
        </is>
      </c>
      <c r="C106" s="5" t="inlineStr">
        <is>
          <t>Writer</t>
        </is>
      </c>
      <c r="D106" s="17" t="n">
        <v>1937</v>
      </c>
      <c r="E106" s="18" t="n"/>
      <c r="F106" s="5" t="n"/>
      <c r="G106" s="5" t="inlineStr">
        <is>
          <t>English-language fiction and international cinema</t>
        </is>
      </c>
      <c r="H106" s="5" t="inlineStr">
        <is>
          <t>Born Anita Mazumdar in 1937. An Indian novelist and the emerita John E. Burchard Professor of Humanities at the Massachusetts Institute of Technology. She has been shortlisted for the Booker Prize three times and sits on the advisory board of the Lalit Kala Akademi; she is a Fellow of the Royal Society of Literature and, since 2020, a Companion of Literature.</t>
        </is>
      </c>
      <c r="I106" s="5" t="inlineStr">
        <is>
          <t>As a novelist from the 1960s; In Custody (1993) is her principal screen credit.</t>
        </is>
      </c>
      <c r="J106" s="5" t="inlineStr">
        <is>
          <t>With Kapoor: In Custody (1993), adapted from her own novel. Elsewhere: Cry, the Peacock, Voices in the City (1963), Fire on the Mountain (1977), Games at Twilight (1978), The Village by the Sea (1983) and Baumgartner's Bombay.</t>
        </is>
      </c>
      <c r="K106" s="19" t="inlineStr">
        <is>
          <t>Withdrawal and inner life; the decay of Urdu literary culture; women confined by household and expectation.</t>
        </is>
      </c>
      <c r="L106" s="19" t="inlineStr">
        <is>
          <t>A novelist of interior states, writing with close attention to atmosphere and to what her characters cannot say.</t>
        </is>
      </c>
      <c r="M106" s="5" t="inlineStr">
        <is>
          <t>The Sahitya Akademi Award in 1978 for Fire on the Mountain and the Guardian Prize for The Village by the Sea (1983); three Booker Prize shortlistings.</t>
        </is>
      </c>
      <c r="N106" s="19" t="inlineStr">
        <is>
          <t>One of the most significant Indian novelists writing in English in the second half of the twentieth century.</t>
        </is>
      </c>
      <c r="O106" s="19" t="inlineStr">
        <is>
          <t>One film, and an important one for Kapoor's late reputation: In Custody (1993), Ismail Merchant's (PERSON-006) directorial debut, adapted from Desai's own novel about a provincial lecturer's pursuit of a declining Urdu poet. Kapoor plays the poet Nur, and the role brought him National Film Award recognition — one of the most admired performances of his final years, and a part written originally on the page by Desai.</t>
        </is>
      </c>
      <c r="P106" s="17" t="n">
        <v>1</v>
      </c>
      <c r="Q106" s="5" t="inlineStr">
        <is>
          <t>FILM-148</t>
        </is>
      </c>
      <c r="R106" s="5" t="inlineStr">
        <is>
          <t>In Custody (1993), her only film with Kapoor</t>
        </is>
      </c>
      <c r="S106" s="5" t="inlineStr">
        <is>
          <t>Anita Desai wrote the novel from which In Custody was adapted and worked on its screen version, giving Shashi Kapoor one of the great roles of his late career. Her book follows a small-town Hindi lecturer who seeks out a famous Urdu poet and finds him dissipated, surrounded by hangers-on, and presiding over the decline of his own literary culture; Kapoor plays that poet, Nur, in Ismail Merchant's 1993 film, and the performance brought him National Film Award recognition. Born in 1937, Desai is among the most important Indian novelists writing in English — three times shortlisted for the Booker, winner of the Sahitya Akademi Award for Fire on the Mountain — and taught for many years at MIT. Her article notes the novel and the film among her works but does not discuss Kapoor.</t>
        </is>
      </c>
      <c r="T106" s="5" t="inlineStr">
        <is>
          <t>SOURCE-202</t>
        </is>
      </c>
      <c r="U106" s="5" t="inlineStr">
        <is>
          <t>High</t>
        </is>
      </c>
    </row>
    <row r="107" ht="94" customHeight="1">
      <c r="A107" s="15" t="inlineStr">
        <is>
          <t>PERSON-106</t>
        </is>
      </c>
      <c r="B107" s="5" t="inlineStr">
        <is>
          <t>Aravind Sen</t>
        </is>
      </c>
      <c r="C107" s="5" t="inlineStr">
        <is>
          <t>Director</t>
        </is>
      </c>
      <c r="D107" s="18" t="n"/>
      <c r="E107" s="18" t="n"/>
      <c r="F107" s="5" t="n"/>
      <c r="G107" s="5" t="inlineStr">
        <is>
          <t>Hindi cinema</t>
        </is>
      </c>
      <c r="H107" s="5" t="inlineStr">
        <is>
          <t>No Wikipedia article exists for him under this spelling or the variants Arvind Sen and Arvind Sen (director). Everything here rests on the credit of the single film.</t>
        </is>
      </c>
      <c r="I107" s="5" t="n"/>
      <c r="J107" s="5" t="inlineStr">
        <is>
          <t>With Kapoor: Atithee (1978).</t>
        </is>
      </c>
      <c r="K107" s="19" t="inlineStr">
        <is>
          <t>Not established from a single credit.</t>
        </is>
      </c>
      <c r="L107" s="19" t="inlineStr">
        <is>
          <t>Not established; no biographical source was located.</t>
        </is>
      </c>
      <c r="M107" s="5" t="n"/>
      <c r="N107" s="19" t="inlineStr">
        <is>
          <t>Not established.</t>
        </is>
      </c>
      <c r="O107" s="19" t="inlineStr">
        <is>
          <t>One film, Atithee (1978), scored by Kalyanji–Anandji (PERSON-002), from the densest year of Kapoor's output.</t>
        </is>
      </c>
      <c r="P107" s="17" t="n">
        <v>1</v>
      </c>
      <c r="Q107" s="5" t="inlineStr">
        <is>
          <t>FILM-079</t>
        </is>
      </c>
      <c r="R107" s="5" t="inlineStr">
        <is>
          <t>Atithee (1978), his only film with Kapoor</t>
        </is>
      </c>
      <c r="S107" s="5" t="inlineStr">
        <is>
          <t>Aravind Sen directed Atithee in 1978, his only credit in this filmography. The film was scored by Kalyanji–Anandji and belongs to a year in which Shashi Kapoor had an unusually large number of releases, a working rate that became one of the standing observations about him in the industry. No Wikipedia article exists for Sen under this spelling or the variants attempted during research, and no other biographical source was located, so nothing can be said of his other work or his dates. The entry is graded Low and rests on the single film credit.</t>
        </is>
      </c>
      <c r="T107" s="5" t="inlineStr">
        <is>
          <t>SOURCE-067</t>
        </is>
      </c>
      <c r="U107" s="5" t="inlineStr">
        <is>
          <t>Low</t>
        </is>
      </c>
    </row>
    <row r="108" ht="124" customHeight="1">
      <c r="A108" s="15" t="inlineStr">
        <is>
          <t>PERSON-107</t>
        </is>
      </c>
      <c r="B108" s="5" t="inlineStr">
        <is>
          <t>Arun Bhatt</t>
        </is>
      </c>
      <c r="C108" s="5" t="inlineStr">
        <is>
          <t>Producer; Writer</t>
        </is>
      </c>
      <c r="D108" s="17" t="n">
        <v>1934</v>
      </c>
      <c r="E108" s="17" t="n">
        <v>2001</v>
      </c>
      <c r="F108" s="5" t="inlineStr">
        <is>
          <t>1971–2001</t>
        </is>
      </c>
      <c r="G108" s="5" t="inlineStr">
        <is>
          <t>Hindi and Gujarati cinema</t>
        </is>
      </c>
      <c r="H108" s="5" t="inlineStr">
        <is>
          <t>Born in 1934; died in 2001. A film director and producer active in Hindi and Gujarati cinema during the 1970s and 1980s. He founded Vijay Films International in 1971.</t>
        </is>
      </c>
      <c r="I108" s="5" t="inlineStr">
        <is>
          <t>Verno Vaaras, a dramatisation of a Gujarati folk tale starring Arvind Joshi and Usha Solanki.</t>
        </is>
      </c>
      <c r="J108" s="5" t="inlineStr">
        <is>
          <t>With Kapoor: Hira Aur Patthar (1977), which he produced and wrote. Elsewhere: Verno Vaaras in Gujarati, Vardaan in Hindi, and Lakhtar Ni Laadi.</t>
        </is>
      </c>
      <c r="K108" s="19" t="inlineStr">
        <is>
          <t>Gujarati folk material and family melodrama, alongside mainstream Hindi production.</t>
        </is>
      </c>
      <c r="L108" s="19" t="inlineStr">
        <is>
          <t>A producer-writer working across two industries, with his most distinctive work in Gujarati.</t>
        </is>
      </c>
      <c r="M108" s="5" t="inlineStr">
        <is>
          <t>His last completed film, Lakhtar Ni Laadi, won eleven Gujarat State Awards including Best Screenplay; Mehmood won a Filmfare Award for his performance in Bhatt's Vardaan.</t>
        </is>
      </c>
      <c r="N108" s="19" t="inlineStr">
        <is>
          <t>A notable figure in Gujarati cinema of the period, working simultaneously in Hindi.</t>
        </is>
      </c>
      <c r="O108" s="19" t="inlineStr">
        <is>
          <t>One film, Hira Aur Patthar (1977), which he both produced and wrote. Its other writer was Satyadev Dubey (PERSON-022), the theatre figure who would go on to write three of Kapoor's Film-Valas productions — so this commercial picture is an early point of contact between Kapoor and a writer central to his later serious work.</t>
        </is>
      </c>
      <c r="P108" s="17" t="n">
        <v>1</v>
      </c>
      <c r="Q108" s="5" t="inlineStr">
        <is>
          <t>FILM-063</t>
        </is>
      </c>
      <c r="R108" s="5" t="inlineStr">
        <is>
          <t>Hira Aur Patthar (1977), his only film with Kapoor</t>
        </is>
      </c>
      <c r="S108" s="5" t="inlineStr">
        <is>
          <t>Arun Bhatt produced and wrote Hira Aur Patthar in 1977, his only film with Shashi Kapoor. It is worth noting for one connection: its other credited writer was Satyadev Dubey, who two years later would write Junoon and go on to script the parallel-cinema films Kapoor financed himself, so this routine commercial picture is where that association appears to begin. Bhatt, born in 1934, founded Vijay Films International in 1971 and worked across Hindi and Gujarati cinema; his Gujarati films are the more distinctive part of his output, and his last completed picture, Lakhtar Ni Laadi, won eleven Gujarat State Awards. He also made Vardaan in Hindi, for which Mehmood won a Filmfare Award. He died in 2001. His article does not mention Kapoor.</t>
        </is>
      </c>
      <c r="T108" s="5" t="inlineStr">
        <is>
          <t>SOURCE-203</t>
        </is>
      </c>
      <c r="U108" s="5" t="inlineStr">
        <is>
          <t>Medium</t>
        </is>
      </c>
    </row>
    <row r="109" ht="94" customHeight="1">
      <c r="A109" s="15" t="inlineStr">
        <is>
          <t>PERSON-108</t>
        </is>
      </c>
      <c r="B109" s="5" t="inlineStr">
        <is>
          <t>Ashok "Charlie" Mehra</t>
        </is>
      </c>
      <c r="C109" s="5" t="inlineStr">
        <is>
          <t>Producer</t>
        </is>
      </c>
      <c r="D109" s="18" t="n"/>
      <c r="E109" s="18" t="n"/>
      <c r="F109" s="5" t="n"/>
      <c r="G109" s="5" t="inlineStr">
        <is>
          <t>Hindi cinema</t>
        </is>
      </c>
      <c r="H109" s="5" t="inlineStr">
        <is>
          <t>No Wikipedia article exists for him, and none was found under any variant spelling. Everything here rests on the credit of the single film. The quoted nickname appears in the credit as recorded in the source data.</t>
        </is>
      </c>
      <c r="I109" s="5" t="n"/>
      <c r="J109" s="5" t="inlineStr">
        <is>
          <t>With Kapoor: Gehri Chot - Urf: Durdesh (1983).</t>
        </is>
      </c>
      <c r="K109" s="19" t="inlineStr">
        <is>
          <t>Not established from a single credit.</t>
        </is>
      </c>
      <c r="L109" s="19" t="inlineStr">
        <is>
          <t>Not applicable; no biographical source was located.</t>
        </is>
      </c>
      <c r="M109" s="5" t="n"/>
      <c r="N109" s="19" t="inlineStr">
        <is>
          <t>Not established.</t>
        </is>
      </c>
      <c r="O109" s="19" t="inlineStr">
        <is>
          <t>One producing credit, on Gehri Chot - Urf: Durdesh (1983), directed by Ambrish Sangal (PERSON-096) and scored by Usha Khanna (PERSON-047).</t>
        </is>
      </c>
      <c r="P109" s="17" t="n">
        <v>1</v>
      </c>
      <c r="Q109" s="5" t="inlineStr">
        <is>
          <t>FILM-110</t>
        </is>
      </c>
      <c r="R109" s="5" t="inlineStr">
        <is>
          <t>Gehri Chot - Urf: Durdesh (1983), his only film with Kapoor</t>
        </is>
      </c>
      <c r="S109" s="5" t="inlineStr">
        <is>
          <t>Ashok 'Charlie' Mehra produced Gehri Chot - Urf: Durdesh in 1983, his only credit in this filmography, working with the director Ambrish Sangal and the composer Usha Khanna. The nickname is carried in the credit as the source data records it. No Wikipedia article exists for him under this name or any variant attempted during research, and no other biographical source was located, so nothing can be established about his other productions or his dates. The film itself comes from the period in which Shashi Kapoor's leading-man career was giving way to character work. The entry is graded Low.</t>
        </is>
      </c>
      <c r="T109" s="5" t="inlineStr">
        <is>
          <t>SOURCE-091</t>
        </is>
      </c>
      <c r="U109" s="5" t="inlineStr">
        <is>
          <t>Low</t>
        </is>
      </c>
    </row>
    <row r="110" ht="79" customHeight="1">
      <c r="A110" s="15" t="inlineStr">
        <is>
          <t>PERSON-109</t>
        </is>
      </c>
      <c r="B110" s="5" t="inlineStr">
        <is>
          <t>Ashok V. Bhushan</t>
        </is>
      </c>
      <c r="C110" s="5" t="inlineStr">
        <is>
          <t>Director</t>
        </is>
      </c>
      <c r="D110" s="18" t="n"/>
      <c r="E110" s="18" t="n"/>
      <c r="F110" s="5" t="n"/>
      <c r="G110" s="5" t="inlineStr">
        <is>
          <t>Hindi cinema</t>
        </is>
      </c>
      <c r="H110" s="5" t="inlineStr">
        <is>
          <t>No Wikipedia article exists for him, and none was found under any variant spelling. Everything here rests on the credit of the single film.</t>
        </is>
      </c>
      <c r="I110" s="5" t="n"/>
      <c r="J110" s="5" t="inlineStr">
        <is>
          <t>With Kapoor: Aahuti (1978).</t>
        </is>
      </c>
      <c r="K110" s="19" t="inlineStr">
        <is>
          <t>Not established from a single credit.</t>
        </is>
      </c>
      <c r="L110" s="19" t="inlineStr">
        <is>
          <t>Not established; no biographical source was located.</t>
        </is>
      </c>
      <c r="M110" s="5" t="n"/>
      <c r="N110" s="19" t="inlineStr">
        <is>
          <t>Not established.</t>
        </is>
      </c>
      <c r="O110" s="19" t="inlineStr">
        <is>
          <t>One film, Aahuti (1978), scored by Laxmikant–Pyarelal (PERSON-001), from the busiest stretch of Kapoor's career.</t>
        </is>
      </c>
      <c r="P110" s="17" t="n">
        <v>1</v>
      </c>
      <c r="Q110" s="5" t="inlineStr">
        <is>
          <t>FILM-077</t>
        </is>
      </c>
      <c r="R110" s="5" t="inlineStr">
        <is>
          <t>Aahuti (1978), his only film with Kapoor</t>
        </is>
      </c>
      <c r="S110" s="5" t="inlineStr">
        <is>
          <t>Ashok V. Bhushan directed Aahuti in 1978, his only credit in this filmography. The film was scored by Laxmikant–Pyarelal, who worked on twenty-seven Kapoor pictures, and comes from the year in which the actor's output was at its heaviest. No Wikipedia article exists for Bhushan under this name or any variant attempted during research, and no other biographical source was found, so nothing can be said about his wider career or his dates. The entry is recorded because the workbook lists every credited director, and it is graded Low.</t>
        </is>
      </c>
      <c r="T110" s="5" t="inlineStr">
        <is>
          <t>SOURCE-069</t>
        </is>
      </c>
      <c r="U110" s="5" t="inlineStr">
        <is>
          <t>Low</t>
        </is>
      </c>
    </row>
    <row r="111" ht="124" customHeight="1">
      <c r="A111" s="15" t="inlineStr">
        <is>
          <t>PERSON-110</t>
        </is>
      </c>
      <c r="B111" s="5" t="inlineStr">
        <is>
          <t>B. D. Kapoor</t>
        </is>
      </c>
      <c r="C111" s="5" t="inlineStr">
        <is>
          <t>Producer</t>
        </is>
      </c>
      <c r="D111" s="18" t="n"/>
      <c r="E111" s="18" t="n"/>
      <c r="F111" s="5" t="n"/>
      <c r="G111" s="5" t="inlineStr">
        <is>
          <t>Hindi cinema</t>
        </is>
      </c>
      <c r="H111" s="5" t="inlineStr">
        <is>
          <t>No Wikipedia article exists for him, and none was found under any variant spelling. He is not known to be related to the Kapoor film family. Everything here rests on the credit of the single film.</t>
        </is>
      </c>
      <c r="I111" s="5" t="n"/>
      <c r="J111" s="5" t="inlineStr">
        <is>
          <t>With Kapoor: Yeh Dil Kisko Doon (1963).</t>
        </is>
      </c>
      <c r="K111" s="19" t="inlineStr">
        <is>
          <t>Not established from a single credit.</t>
        </is>
      </c>
      <c r="L111" s="19" t="inlineStr">
        <is>
          <t>Not applicable; no biographical source was located.</t>
        </is>
      </c>
      <c r="M111" s="5" t="n"/>
      <c r="N111" s="19" t="inlineStr">
        <is>
          <t>Not established.</t>
        </is>
      </c>
      <c r="O111" s="19" t="inlineStr">
        <is>
          <t>One producing credit, on Yeh Dil Kisko Doon (1963), written and directed by Kanak Mishra (PERSON-069) under the Bindu Kala Mandir banner (PERSON-126). The film belongs to the difficult early stretch after Dharmputra and Char Diwari had failed, and was among the modest successes that kept Kapoor's career alive before 1965.</t>
        </is>
      </c>
      <c r="P111" s="17" t="n">
        <v>1</v>
      </c>
      <c r="Q111" s="5" t="inlineStr">
        <is>
          <t>FILM-011</t>
        </is>
      </c>
      <c r="R111" s="5" t="inlineStr">
        <is>
          <t>Yeh Dil Kisko Doon (1963), his only film with Kapoor</t>
        </is>
      </c>
      <c r="S111" s="5" t="inlineStr">
        <is>
          <t>B. D. Kapoor produced Yeh Dil Kisko Doon in 1963, his only credit in this filmography — and a film that mattered more than its obscurity suggests. It came in the period after Dharmputra and Char Diwari had both failed commercially, when Shashi Kapoor's future as a leading man was genuinely uncertain, and it was one of the modest successes that carried him through to Waqt and Jab Jab Phool Khile in 1965. Kanak Mishra wrote and directed it, under the Bindu Kala Mandir banner; neither has a Wikipedia article either. No source was located for B. D. Kapoor, who is not known to be connected to the Kapoor film family despite the name. The entry is graded Low.</t>
        </is>
      </c>
      <c r="T111" s="5" t="inlineStr">
        <is>
          <t>SOURCE-009</t>
        </is>
      </c>
      <c r="U111" s="5" t="inlineStr">
        <is>
          <t>Low</t>
        </is>
      </c>
    </row>
    <row r="112" ht="79" customHeight="1">
      <c r="A112" s="15" t="inlineStr">
        <is>
          <t>PERSON-111</t>
        </is>
      </c>
      <c r="B112" s="5" t="inlineStr">
        <is>
          <t>B. D. Pandey</t>
        </is>
      </c>
      <c r="C112" s="5" t="inlineStr">
        <is>
          <t>Producer</t>
        </is>
      </c>
      <c r="D112" s="18" t="n"/>
      <c r="E112" s="18" t="n"/>
      <c r="F112" s="5" t="n"/>
      <c r="G112" s="5" t="inlineStr">
        <is>
          <t>Hindi cinema</t>
        </is>
      </c>
      <c r="H112" s="5" t="inlineStr">
        <is>
          <t>No Wikipedia article exists for him, and none was found under any variant spelling. Everything here rests on the credit of the single film.</t>
        </is>
      </c>
      <c r="I112" s="5" t="n"/>
      <c r="J112" s="5" t="inlineStr">
        <is>
          <t>With Kapoor: Rahu Ketu (1978).</t>
        </is>
      </c>
      <c r="K112" s="19" t="inlineStr">
        <is>
          <t>Not established from a single credit.</t>
        </is>
      </c>
      <c r="L112" s="19" t="inlineStr">
        <is>
          <t>Not applicable; no biographical source was located.</t>
        </is>
      </c>
      <c r="M112" s="5" t="n"/>
      <c r="N112" s="19" t="inlineStr">
        <is>
          <t>Not established.</t>
        </is>
      </c>
      <c r="O112" s="19" t="inlineStr">
        <is>
          <t>One producing credit, on Rahu Ketu (1978), directed by B. R. Ishara (PERSON-114) and scored by Kalyanji–Anandji (PERSON-002).</t>
        </is>
      </c>
      <c r="P112" s="17" t="n">
        <v>1</v>
      </c>
      <c r="Q112" s="5" t="inlineStr">
        <is>
          <t>FILM-070</t>
        </is>
      </c>
      <c r="R112" s="5" t="inlineStr">
        <is>
          <t>Rahu Ketu (1978), his only film with Kapoor</t>
        </is>
      </c>
      <c r="S112" s="5" t="inlineStr">
        <is>
          <t>B. D. Pandey produced Rahu Ketu in 1978, his only credit in this filmography. The film was directed by B. R. Ishara, a prolific maker of low-budget pictures with a reputation for provocative subjects, and scored by Kalyanji–Anandji; it comes from the year of Shashi Kapoor's heaviest output. No Wikipedia article exists for Pandey under this name or any variant attempted during research, and no other biographical source was located. The entry is graded Low and rests on the single film credit.</t>
        </is>
      </c>
      <c r="T112" s="5" t="inlineStr">
        <is>
          <t>SOURCE-059</t>
        </is>
      </c>
      <c r="U112" s="5" t="inlineStr">
        <is>
          <t>Low</t>
        </is>
      </c>
    </row>
    <row r="113" ht="94" customHeight="1">
      <c r="A113" s="15" t="inlineStr">
        <is>
          <t>PERSON-112</t>
        </is>
      </c>
      <c r="B113" s="5" t="inlineStr">
        <is>
          <t>B. P. Verma</t>
        </is>
      </c>
      <c r="C113" s="5" t="inlineStr">
        <is>
          <t>Producer</t>
        </is>
      </c>
      <c r="D113" s="18" t="n"/>
      <c r="E113" s="18" t="n"/>
      <c r="F113" s="5" t="n"/>
      <c r="G113" s="5" t="inlineStr">
        <is>
          <t>Hindi cinema</t>
        </is>
      </c>
      <c r="H113" s="5" t="inlineStr">
        <is>
          <t>No Wikipedia article exists for him. The page reached from this name, Beni Prasad Verma, is about a politician and founding member of the Samajwadi Party, and was rejected during research as the wrong person. Everything here rests on the credit of the single film.</t>
        </is>
      </c>
      <c r="I113" s="5" t="n"/>
      <c r="J113" s="5" t="inlineStr">
        <is>
          <t>With Kapoor: Naam O Nishan (1987).</t>
        </is>
      </c>
      <c r="K113" s="19" t="inlineStr">
        <is>
          <t>Not established from a single credit.</t>
        </is>
      </c>
      <c r="L113" s="19" t="inlineStr">
        <is>
          <t>Not applicable; no biographical source was located.</t>
        </is>
      </c>
      <c r="M113" s="5" t="n"/>
      <c r="N113" s="19" t="inlineStr">
        <is>
          <t>Not established.</t>
        </is>
      </c>
      <c r="O113" s="19" t="inlineStr">
        <is>
          <t>One producing credit, on Naam O Nishan (1987), directed by Ajay Kashyap (PERSON-090) and scored by Anu Malik (PERSON-053), from Kapoor's supporting phase.</t>
        </is>
      </c>
      <c r="P113" s="17" t="n">
        <v>1</v>
      </c>
      <c r="Q113" s="5" t="inlineStr">
        <is>
          <t>FILM-128</t>
        </is>
      </c>
      <c r="R113" s="5" t="inlineStr">
        <is>
          <t>Naam O Nishan (1987), his only film with Kapoor</t>
        </is>
      </c>
      <c r="S113" s="5" t="inlineStr">
        <is>
          <t>B. P. Verma produced Naam O Nishan in 1987, his only credit in this filmography — a late action picture directed by Ajay Kashyap with music by Anu Malik, made when Shashi Kapoor had become a senior supporting presence rather than a lead. No Wikipedia biography of him exists. The article that a search of his name reaches is about Beni Prasad Verma, a politician and founding member of the Samajwadi Party, who was rejected during research as plainly the wrong person; no alternative was found under any variant spelling. The entry is graded Low and rests on the single film credit.</t>
        </is>
      </c>
      <c r="T113" s="5" t="inlineStr">
        <is>
          <t>SOURCE-110</t>
        </is>
      </c>
      <c r="U113" s="5" t="inlineStr">
        <is>
          <t>Low</t>
        </is>
      </c>
    </row>
    <row r="114" ht="139" customHeight="1">
      <c r="A114" s="15" t="inlineStr">
        <is>
          <t>PERSON-113</t>
        </is>
      </c>
      <c r="B114" s="5" t="inlineStr">
        <is>
          <t>B. R. Films Story Department</t>
        </is>
      </c>
      <c r="C114" s="5" t="inlineStr">
        <is>
          <t>Writer (collective credit)</t>
        </is>
      </c>
      <c r="D114" s="18" t="n"/>
      <c r="E114" s="18" t="n"/>
      <c r="F114" s="5" t="n"/>
      <c r="G114" s="5" t="inlineStr">
        <is>
          <t>Hindi cinema</t>
        </is>
      </c>
      <c r="H114" s="5" t="inlineStr">
        <is>
          <t>Not a person but a collective credit: the in-house story department of B. R. Films (PERSON-056), the production company founded by B. R. Chopra (PERSON-055). No article exists for the department, and everything here rests on the credit as it appears on the film.</t>
        </is>
      </c>
      <c r="I114" s="5" t="n"/>
      <c r="J114" s="5" t="inlineStr">
        <is>
          <t>With Kapoor: Dharmputra (1961).</t>
        </is>
      </c>
      <c r="K114" s="19" t="inlineStr">
        <is>
          <t>The social-issue melodrama that was the house specialism of B. R. Films.</t>
        </is>
      </c>
      <c r="L114" s="19" t="inlineStr">
        <is>
          <t>Not applicable; a studio department rather than an individual.</t>
        </is>
      </c>
      <c r="M114" s="5" t="n"/>
      <c r="N114" s="19" t="inlineStr">
        <is>
          <t>The credit is of interest chiefly as evidence of how B. R. Films organised its writing — as a salaried department rather than solely through named freelancers.</t>
        </is>
      </c>
      <c r="O114" s="19" t="inlineStr">
        <is>
          <t>One credit, on Dharmputra (1961), Kapoor's first adult leading role. The film's dialogue was written by Akhtar-ul-Iman (PERSON-051), who won the Filmfare Award for Best Dialogue for it, while the story credit went to the department collectively. The entry is retained rather than discarded because dropping a credited writer would misrepresent the film's records.</t>
        </is>
      </c>
      <c r="P114" s="17" t="n">
        <v>1</v>
      </c>
      <c r="Q114" s="5" t="inlineStr">
        <is>
          <t>FILM-007</t>
        </is>
      </c>
      <c r="R114" s="5" t="inlineStr">
        <is>
          <t>Dharmputra (1961), its only film with Kapoor</t>
        </is>
      </c>
      <c r="S114" s="5" t="inlineStr">
        <is>
          <t>The B. R. Films Story Department is a collective credit rather than a person, and it appears once in this filmography: on Dharmputra in 1961, Shashi Kapoor's first film as an adult lead. The picture was produced by B. R. Chopra, directed by his brother Yash, and its dialogue written by Akhtar-ul-Iman, who won the Filmfare Award for Best Dialogue for it; the story credit belongs to the company's in-house writing department. The entry is kept because removing a credited writer would falsify the film's record, and because the credit itself documents something real about how the studio worked — a salaried story department alongside named freelance writers. No article exists for it, and the entry is graded Low.</t>
        </is>
      </c>
      <c r="T114" s="5" t="inlineStr">
        <is>
          <t>SOURCE-006</t>
        </is>
      </c>
      <c r="U114" s="5" t="inlineStr">
        <is>
          <t>Low</t>
        </is>
      </c>
    </row>
    <row r="115" ht="139" customHeight="1">
      <c r="A115" s="15" t="inlineStr">
        <is>
          <t>PERSON-114</t>
        </is>
      </c>
      <c r="B115" s="5" t="inlineStr">
        <is>
          <t>B. R. Ishara</t>
        </is>
      </c>
      <c r="C115" s="5" t="inlineStr">
        <is>
          <t>Director</t>
        </is>
      </c>
      <c r="D115" s="17" t="n">
        <v>1934</v>
      </c>
      <c r="E115" s="17" t="n">
        <v>2012</v>
      </c>
      <c r="F115" s="5" t="inlineStr">
        <is>
          <t>1964–1996</t>
        </is>
      </c>
      <c r="G115" s="5" t="inlineStr">
        <is>
          <t>Hindi cinema</t>
        </is>
      </c>
      <c r="H115" s="5" t="inlineStr">
        <is>
          <t>Born Roshan Lal Sharma on 7 September 1934; died 25 July 2012. Known professionally as Babu Ram Ishara, he directed thirty-five Hindi films between 1964 and 1996 and is best remembered for his work of the 1970s.</t>
        </is>
      </c>
      <c r="I115" s="5" t="inlineStr">
        <is>
          <t>Directing from 1964.</t>
        </is>
      </c>
      <c r="J115" s="5" t="inlineStr">
        <is>
          <t>With Kapoor: Rahu Ketu (1978). Elsewhere: Chetana, Log Kya Kahenge, Milap, Man Jaiye, Ghar Ki Laaj, Woh Phir Aayegi and Sautela Bhai.</t>
        </is>
      </c>
      <c r="K115" s="19" t="inlineStr">
        <is>
          <t>Low-budget films on sexually and socially provocative subjects, made quickly and cheaply.</t>
        </is>
      </c>
      <c r="L115" s="19" t="inlineStr">
        <is>
          <t>A fast, economical director working outside the major banners, whose 1970s films were known for treating subject matter the mainstream avoided.</t>
        </is>
      </c>
      <c r="M115" s="5" t="n"/>
      <c r="N115" s="19" t="inlineStr">
        <is>
          <t>A significant figure in the low-budget parallel commercial cinema of the 1970s, best known for Chetana.</t>
        </is>
      </c>
      <c r="O115" s="19" t="inlineStr">
        <is>
          <t>One film, Rahu Ketu (1978), produced by B. D. Pandey (PERSON-111) and scored by Kalyanji–Anandji (PERSON-002). It sits in the crowded 1978 stretch of Kapoor's filmography, among a run of films taken at a pace that left little room for selection. His article does not mention Kapoor.</t>
        </is>
      </c>
      <c r="P115" s="17" t="n">
        <v>1</v>
      </c>
      <c r="Q115" s="5" t="inlineStr">
        <is>
          <t>FILM-070</t>
        </is>
      </c>
      <c r="R115" s="5" t="inlineStr">
        <is>
          <t>Rahu Ketu (1978), his only film with Kapoor</t>
        </is>
      </c>
      <c r="S115" s="5" t="inlineStr">
        <is>
          <t>B. R. Ishara directed Rahu Ketu in 1978, his only film with Shashi Kapoor, produced by B. D. Pandey and scored by Kalyanji–Anandji. It belongs to the most crowded year in this filmography, when Kapoor was accepting work at a rate that became a standing observation in the industry and left little room for choosing directors on form. Ishara is nonetheless a figure of some interest. Born Roshan Lal Sharma on 7 September 1934 and working professionally as Babu Ram Ishara, he directed thirty-five Hindi films between 1964 and 1996 and built a reputation in the 1970s for cheap, fast pictures on sexually and socially provocative subjects that the major banners would not touch — Chetana is the best known of them, alongside Log Kya Kahenge, Milap, Man Jaiye, Ghar Ki Laaj, Woh Phir Aayegi and Sautela Bhai. He was married to the actress Rehana Sultan. He died on 25 July 2012. His article does not mention Kapoor.</t>
        </is>
      </c>
      <c r="T115" s="5" t="inlineStr">
        <is>
          <t>SOURCE-204</t>
        </is>
      </c>
      <c r="U115" s="5" t="inlineStr">
        <is>
          <t>High</t>
        </is>
      </c>
    </row>
    <row r="116" ht="154" customHeight="1">
      <c r="A116" s="15" t="inlineStr">
        <is>
          <t>PERSON-115</t>
        </is>
      </c>
      <c r="B116" s="5" t="inlineStr">
        <is>
          <t>B. V. Karanth</t>
        </is>
      </c>
      <c r="C116" s="5" t="inlineStr">
        <is>
          <t>Background-score composer</t>
        </is>
      </c>
      <c r="D116" s="17" t="n">
        <v>1929</v>
      </c>
      <c r="E116" s="17" t="n">
        <v>2002</v>
      </c>
      <c r="F116" s="5" t="n"/>
      <c r="G116" s="5" t="inlineStr">
        <is>
          <t>Kannada theatre and cinema, and Hindi parallel cinema</t>
        </is>
      </c>
      <c r="H116" s="5" t="inlineStr">
        <is>
          <t>Born Babukodi Venkataramana Karanth on 19 September 1929; died 1 September 2002. A film director, playwright, actor, screenwriter, composer and dramatist working in Kannada theatre, Kannada cinema and Hindi cinema. An alumnus of the National School of Drama in 1962, he later became its director.</t>
        </is>
      </c>
      <c r="I116" s="5" t="inlineStr">
        <is>
          <t>Long established in theatre; his film work belongs to the parallel-cinema movement.</t>
        </is>
      </c>
      <c r="J116" s="5" t="inlineStr">
        <is>
          <t>With Kapoor: Swami Vivekananda (1998), for which he wrote the background score of the English version. Elsewhere, a large body of Kannada theatre and film work.</t>
        </is>
      </c>
      <c r="K116" s="19" t="inlineStr">
        <is>
          <t>The integration of Indian theatrical music and folk forms into film scoring.</t>
        </is>
      </c>
      <c r="L116" s="19" t="inlineStr">
        <is>
          <t>A composer whose film work grew out of a lifetime in the theatre, using voice and traditional instrumentation rather than conventional film orchestration.</t>
        </is>
      </c>
      <c r="M116" s="5" t="inlineStr">
        <is>
          <t>The Sangeet Natak Akademi Award in 1976, six National Film Awards, and the Padma Shri.</t>
        </is>
      </c>
      <c r="N116" s="19" t="inlineStr">
        <is>
          <t>One of the pioneers of parallel cinema and one of the central figures of modern Kannada theatre.</t>
        </is>
      </c>
      <c r="O116" s="19" t="inlineStr">
        <is>
          <t>One film, Swami Vivekananda (1998), and the credit is version-specific: Karanth scored the English version while Vijaya Bhaskar scored the Hindi, a split recorded in the film's research notes. It is one of the last three films of Kapoor's career.</t>
        </is>
      </c>
      <c r="P116" s="17" t="n">
        <v>1</v>
      </c>
      <c r="Q116" s="5" t="inlineStr">
        <is>
          <t>FILM-152</t>
        </is>
      </c>
      <c r="R116" s="5" t="inlineStr">
        <is>
          <t>Swami Vivekananda (1998), his only film with Kapoor</t>
        </is>
      </c>
      <c r="S116" s="5" t="inlineStr">
        <is>
          <t>B. V. Karanth wrote the background score for the English version of Swami Vivekananda, released in 1998 and among the last three films of Shashi Kapoor's acting career; the Hindi version was scored separately by Vijaya Bhaskar, a division recorded in this workbook's notes on the film. Karanth was a major figure well beyond that single credit. Born Babukodi Venkataramana Karanth in 1929, he was a film director, playwright, actor, screenwriter, composer and dramatist who worked across Kannada theatre, Kannada cinema and Hindi cinema, and was one of the pioneers of parallel cinema. An alumnus of the National School of Drama in 1962, he later became its director, and he remains among the most influential figures in modern Indian theatre, where his work on integrating traditional music and folk forms into stage production was widely imitated. He received the Sangeet Natak Akademi Award in 1976, six National Film Awards and the Padma Shri, and died in 2002. His article does not mention Kapoor.</t>
        </is>
      </c>
      <c r="T116" s="5" t="inlineStr">
        <is>
          <t>SOURCE-205</t>
        </is>
      </c>
      <c r="U116" s="5" t="inlineStr">
        <is>
          <t>High</t>
        </is>
      </c>
    </row>
    <row r="117" ht="94" customHeight="1">
      <c r="A117" s="15" t="inlineStr">
        <is>
          <t>PERSON-116</t>
        </is>
      </c>
      <c r="B117" s="5" t="inlineStr">
        <is>
          <t>Babubhai Shah</t>
        </is>
      </c>
      <c r="C117" s="5" t="inlineStr">
        <is>
          <t>Producer</t>
        </is>
      </c>
      <c r="D117" s="18" t="n"/>
      <c r="E117" s="18" t="n"/>
      <c r="F117" s="5" t="n"/>
      <c r="G117" s="5" t="inlineStr">
        <is>
          <t>Hindi cinema</t>
        </is>
      </c>
      <c r="H117" s="5" t="inlineStr">
        <is>
          <t>No Wikipedia article exists for him, and none was found under any variant spelling. Everything here rests on the credit of the single film.</t>
        </is>
      </c>
      <c r="I117" s="5" t="n"/>
      <c r="J117" s="5" t="inlineStr">
        <is>
          <t>With Kapoor: Naina (1973).</t>
        </is>
      </c>
      <c r="K117" s="19" t="inlineStr">
        <is>
          <t>Not established from a single credit.</t>
        </is>
      </c>
      <c r="L117" s="19" t="inlineStr">
        <is>
          <t>Not applicable; no biographical source was located.</t>
        </is>
      </c>
      <c r="M117" s="5" t="n"/>
      <c r="N117" s="19" t="inlineStr">
        <is>
          <t>Not established.</t>
        </is>
      </c>
      <c r="O117" s="19" t="inlineStr">
        <is>
          <t>One producing credit, on Naina (1973), directed by Kanak Mishra (PERSON-069) and scored by Shankar–Jaikishan (PERSON-008) — the latter a credit appearing after Jaikishan's death in 1971, when Shankar continued under the joint name.</t>
        </is>
      </c>
      <c r="P117" s="17" t="n">
        <v>1</v>
      </c>
      <c r="Q117" s="5" t="inlineStr">
        <is>
          <t>FILM-042</t>
        </is>
      </c>
      <c r="R117" s="5" t="inlineStr">
        <is>
          <t>Naina (1973), his only film with Kapoor</t>
        </is>
      </c>
      <c r="S117" s="5" t="inlineStr">
        <is>
          <t>Babubhai Shah produced Naina in 1973, his only credit in this filmography. The film was directed by Kanak Mishra, who had also made Yeh Dil Kisko Doon with Kapoor a decade earlier, and carries a Shankar–Jaikishan score — one of the credits issued under the joint name after Jaikishan's death in 1971, when Shankar went on working alone. No Wikipedia article exists for Shah under this name or any variant attempted during research, and no other biographical source was found. The entry is graded Low and rests on the single film credit.</t>
        </is>
      </c>
      <c r="T117" s="5" t="inlineStr">
        <is>
          <t>SOURCE-034</t>
        </is>
      </c>
      <c r="U117" s="5" t="inlineStr">
        <is>
          <t>Low</t>
        </is>
      </c>
    </row>
    <row r="118" ht="109" customHeight="1">
      <c r="A118" s="15" t="inlineStr">
        <is>
          <t>PERSON-117</t>
        </is>
      </c>
      <c r="B118" s="5" t="inlineStr">
        <is>
          <t>Bakshi Productions</t>
        </is>
      </c>
      <c r="C118" s="5" t="inlineStr">
        <is>
          <t>Production banner</t>
        </is>
      </c>
      <c r="D118" s="18" t="n"/>
      <c r="E118" s="18" t="n"/>
      <c r="F118" s="5" t="n"/>
      <c r="G118" s="5" t="inlineStr">
        <is>
          <t>Hindi cinema</t>
        </is>
      </c>
      <c r="H118" s="5" t="inlineStr">
        <is>
          <t>No Wikipedia article exists for this banner. A search of the name reaches the article on Ralph Bakshi, an American animator, which was rejected during research as an entirely different subject. Everything here rests on the credit of the single film.</t>
        </is>
      </c>
      <c r="I118" s="5" t="n"/>
      <c r="J118" s="5" t="inlineStr">
        <is>
          <t>With Kapoor: Haseena Maan Jayegi (1968).</t>
        </is>
      </c>
      <c r="K118" s="19" t="inlineStr">
        <is>
          <t>Not established from a single credit.</t>
        </is>
      </c>
      <c r="L118" s="19" t="inlineStr">
        <is>
          <t>Not applicable.</t>
        </is>
      </c>
      <c r="M118" s="5" t="n"/>
      <c r="N118" s="19" t="inlineStr">
        <is>
          <t>Not established.</t>
        </is>
      </c>
      <c r="O118" s="19" t="inlineStr">
        <is>
          <t>One banner credit, on Haseena Maan Jayegi (1968), directed by Prakash Mehra (PERSON-077), written by S. M. Abbas (PERSON-011) and scored by Kalyanji–Anandji (PERSON-002) — a double-role comedy opposite Babita and one of the successes that consolidated Kapoor's standing as a lead.</t>
        </is>
      </c>
      <c r="P118" s="17" t="n">
        <v>1</v>
      </c>
      <c r="Q118" s="5" t="inlineStr">
        <is>
          <t>FILM-025</t>
        </is>
      </c>
      <c r="R118" s="5" t="inlineStr">
        <is>
          <t>Haseena Maan Jayegi (1968), its only film with Kapoor</t>
        </is>
      </c>
      <c r="S118" s="5" t="inlineStr">
        <is>
          <t>Bakshi Productions is the banner on Haseena Maan Jayegi, released in 1968 — a double-role comedy with Babita, directed by Prakash Mehra early in his career, written by S. M. Abbas and scored by Kalyanji–Anandji, and among the films that consolidated Shashi Kapoor's position as a leading man after Jab Jab Phool Khile. No Wikipedia article exists for the company; searching its name reaches the page for Ralph Bakshi, the American animator, which was rejected during research as an unrelated subject, and no alternative was found. Nothing can therefore be said about the banner's ownership or other productions. The entry is graded Low.</t>
        </is>
      </c>
      <c r="T118" s="5" t="inlineStr">
        <is>
          <t>SOURCE-018</t>
        </is>
      </c>
      <c r="U118" s="5" t="inlineStr">
        <is>
          <t>Low</t>
        </is>
      </c>
    </row>
    <row r="119" ht="139" customHeight="1">
      <c r="A119" s="15" t="inlineStr">
        <is>
          <t>PERSON-118</t>
        </is>
      </c>
      <c r="B119" s="5" t="inlineStr">
        <is>
          <t>Bapu</t>
        </is>
      </c>
      <c r="C119" s="5" t="inlineStr">
        <is>
          <t>Director</t>
        </is>
      </c>
      <c r="D119" s="17" t="n">
        <v>1933</v>
      </c>
      <c r="E119" s="17" t="n">
        <v>2014</v>
      </c>
      <c r="F119" s="5" t="n"/>
      <c r="G119" s="5" t="inlineStr">
        <is>
          <t>Telugu and Hindi cinema</t>
        </is>
      </c>
      <c r="H119" s="5" t="inlineStr">
        <is>
          <t>Born Sattiraju Lakshminarayana on 15 December 1933; died 31 August 2014. Known professionally as Bapu, he was a film director, painter, illustrator, cartoonist, screenwriter and designer, celebrated in Telugu cinema and also active in Hindi.</t>
        </is>
      </c>
      <c r="I119" s="5" t="inlineStr">
        <is>
          <t>Sakshi (1967), which was shown at the Tashkent International Film Festival in 1968.</t>
        </is>
      </c>
      <c r="J119" s="5" t="inlineStr">
        <is>
          <t>With Kapoor: Bezubaan (1982). Elsewhere: Sakshi (1967), Seeta Kalyanam (1976), Tyagayya (1981) and Pelli Pustakam (1991).</t>
        </is>
      </c>
      <c r="K119" s="19" t="inlineStr">
        <is>
          <t>Mythological and devotional subjects treated with a painter's eye; Telugu literary and folk material.</t>
        </is>
      </c>
      <c r="L119" s="19" t="inlineStr">
        <is>
          <t>A visual artist before he was a filmmaker, and his films are known for composition and design; Seeta Kalyanam is taught at the British Film Institute.</t>
        </is>
      </c>
      <c r="M119" s="5" t="inlineStr">
        <is>
          <t>The Padma Shri in 2013; two National Film Awards, seven Nandi Awards, two Filmfare Awards South and a Filmfare Lifetime Achievement Award – South.</t>
        </is>
      </c>
      <c r="N119" s="19" t="inlineStr">
        <is>
          <t>One of the most distinctive visual stylists in Indian cinema, and a major figure in Telugu film and illustration.</t>
        </is>
      </c>
      <c r="O119" s="19" t="inlineStr">
        <is>
          <t>One film, Bezubaan (1982), a Hindi remake of the Tamil Mayangukiral Oru Maadhu, written by Ved Rahi (PERSON-086) with a screenplay by Bhushan Banmali (PERSON-123) and scored by Raamlaxman. It is an unremarkable entry in Bapu's filmography but places Kapoor briefly in the hands of a director of real visual distinction. His article does not mention Kapoor.</t>
        </is>
      </c>
      <c r="P119" s="17" t="n">
        <v>1</v>
      </c>
      <c r="Q119" s="5" t="inlineStr">
        <is>
          <t>FILM-102</t>
        </is>
      </c>
      <c r="R119" s="5" t="inlineStr">
        <is>
          <t>Bezubaan (1982), his only film with Kapoor</t>
        </is>
      </c>
      <c r="S119" s="5" t="inlineStr">
        <is>
          <t>Bapu directed Bezubaan in 1982, his only film with Shashi Kapoor — a Hindi remake of the Tamil Mayangukiral Oru Maadhu, written by the Dogri author Ved Rahi from a screenplay by Bhushan Banmali, produced by Pranlal Mehta and scored by Raamlaxman. It is a minor entry in the work of a major figure, and the mix of languages and traditions behind a single commercial picture is characteristic of how the industry worked. Born Sattiraju Lakshminarayana in 1933, Bapu was a painter, illustrator, cartoonist and designer before he was a filmmaker, and brought that eye to Telugu cinema: his debut Sakshi went to the Tashkent festival in 1968, and Seeta Kalyanam in 1976 was screened at the BFI London, Chicago, San Remo and Denver festivals and became part of the British Film Institute's teaching. Tyagayya and Pelli Pustakam followed. He won two National Film Awards, seven state Nandi Awards, two Filmfare Awards South and the Padma Shri in 2013, and died in 2014.</t>
        </is>
      </c>
      <c r="T119" s="5" t="inlineStr">
        <is>
          <t>SOURCE-206</t>
        </is>
      </c>
      <c r="U119" s="5" t="inlineStr">
        <is>
          <t>High</t>
        </is>
      </c>
    </row>
    <row r="120" ht="94" customHeight="1">
      <c r="A120" s="15" t="inlineStr">
        <is>
          <t>PERSON-119</t>
        </is>
      </c>
      <c r="B120" s="5" t="inlineStr">
        <is>
          <t>Bhagat J. Kumar</t>
        </is>
      </c>
      <c r="C120" s="5" t="inlineStr">
        <is>
          <t>Producer</t>
        </is>
      </c>
      <c r="D120" s="18" t="n"/>
      <c r="E120" s="18" t="n"/>
      <c r="F120" s="5" t="n"/>
      <c r="G120" s="5" t="inlineStr">
        <is>
          <t>Hindi cinema</t>
        </is>
      </c>
      <c r="H120" s="5" t="inlineStr">
        <is>
          <t>No Wikipedia article exists for him, and none was found under any variant spelling. Everything here rests on the credit of the single film.</t>
        </is>
      </c>
      <c r="I120" s="5" t="n"/>
      <c r="J120" s="5" t="inlineStr">
        <is>
          <t>With Kapoor: Bepanaah (1985).</t>
        </is>
      </c>
      <c r="K120" s="19" t="inlineStr">
        <is>
          <t>Not established from a single credit.</t>
        </is>
      </c>
      <c r="L120" s="19" t="inlineStr">
        <is>
          <t>Not applicable; no biographical source was located.</t>
        </is>
      </c>
      <c r="M120" s="5" t="n"/>
      <c r="N120" s="19" t="inlineStr">
        <is>
          <t>Not established.</t>
        </is>
      </c>
      <c r="O120" s="19" t="inlineStr">
        <is>
          <t>One producing credit, on Bepanaah (1985), scored by Khayyam (PERSON-016) — one of only four Khayyam films in this filmography and the last of them.</t>
        </is>
      </c>
      <c r="P120" s="17" t="n">
        <v>1</v>
      </c>
      <c r="Q120" s="5" t="inlineStr">
        <is>
          <t>FILM-117</t>
        </is>
      </c>
      <c r="R120" s="5" t="inlineStr">
        <is>
          <t>Bepanaah (1985), his only film with Kapoor</t>
        </is>
      </c>
      <c r="S120" s="5" t="inlineStr">
        <is>
          <t>Bhagat J. Kumar produced Bepanaah in 1985, his only credit in this filmography. The film is of modest note for one reason: it carries a score by Khayyam, the last of the four films he made with Shashi Kapoor and the final entry in a collaboration that had begun nine years earlier with the Filmfare-winning music of Kabhi Kabhie. No Wikipedia article exists for Kumar under this name or any variant attempted during research, and no other biographical source was located, so nothing can be said about his wider output. The entry is graded Low and rests on the single film credit.</t>
        </is>
      </c>
      <c r="T120" s="5" t="inlineStr">
        <is>
          <t>SOURCE-098</t>
        </is>
      </c>
      <c r="U120" s="5" t="inlineStr">
        <is>
          <t>Low</t>
        </is>
      </c>
    </row>
    <row r="121" ht="139" customHeight="1">
      <c r="A121" s="15" t="inlineStr">
        <is>
          <t>PERSON-120</t>
        </is>
      </c>
      <c r="B121" s="5" t="inlineStr">
        <is>
          <t>Bhappi Sonie</t>
        </is>
      </c>
      <c r="C121" s="5" t="inlineStr">
        <is>
          <t>Director</t>
        </is>
      </c>
      <c r="D121" s="17" t="n">
        <v>1928</v>
      </c>
      <c r="E121" s="17" t="n">
        <v>2001</v>
      </c>
      <c r="F121" s="5" t="n"/>
      <c r="G121" s="5" t="inlineStr">
        <is>
          <t>Hindi cinema</t>
        </is>
      </c>
      <c r="H121" s="5" t="inlineStr">
        <is>
          <t>Born 31 July 1928; died 5 September 2001 during heart bypass surgery at Nanavati Hospital, Mumbai, aged 73. A film director and producer in Hindi cinema who began as an assistant to Raj Khosla on Milap (1955), C.I.D. (1956) and Solva Saal (1958).</t>
        </is>
      </c>
      <c r="I121" s="5" t="inlineStr">
        <is>
          <t>Ek Phool Char Kaante, starring Sunil Dutt and Waheeda Rehman.</t>
        </is>
      </c>
      <c r="J121" s="5" t="inlineStr">
        <is>
          <t>With Kapoor: Ek Shrimaan Ek Shrimati (1969). Elsewhere: Janwar (1965) and Brahmachari (1968), both with Shammi Kapoor, the latter a Filmfare Award for Best Film.</t>
        </is>
      </c>
      <c r="K121" s="19" t="inlineStr">
        <is>
          <t>Light romantic comedy built around a star's charm.</t>
        </is>
      </c>
      <c r="L121" s="19" t="inlineStr">
        <is>
          <t>A director of breezy commercial entertainments, at his best with performers of high energy.</t>
        </is>
      </c>
      <c r="M121" s="5" t="inlineStr">
        <is>
          <t>The Filmfare Award for Best Film for Brahmachari (1968).</t>
        </is>
      </c>
      <c r="N121" s="19" t="inlineStr">
        <is>
          <t>The director of Brahmachari, among the defining Shammi Kapoor vehicles of the 1960s.</t>
        </is>
      </c>
      <c r="O121" s="19" t="inlineStr">
        <is>
          <t>One film, Ek Shrimaan Ek Shrimati (1969), a romantic comedy written by Sachin Bhowmick (PERSON-012) and scored by Kalyanji–Anandji (PERSON-002), made the year after Sonie's greatest success. The connection to the Kapoor family runs through Shashi's elder brother Shammi, the star of Sonie's two best-known films. His article does not mention Shashi Kapoor.</t>
        </is>
      </c>
      <c r="P121" s="17" t="n">
        <v>1</v>
      </c>
      <c r="Q121" s="5" t="inlineStr">
        <is>
          <t>FILM-029</t>
        </is>
      </c>
      <c r="R121" s="5" t="inlineStr">
        <is>
          <t>Ek Shrimaan Ek Shrimati (1969), his only film with Kapoor</t>
        </is>
      </c>
      <c r="S121" s="5" t="inlineStr">
        <is>
          <t>Bhappi Sonie directed Ek Shrimaan Ek Shrimati in 1969, a romantic comedy written by Sachin Bhowmick, produced by Surinder Kapoor and scored by Kalyanji–Anandji, and his only film with Shashi Kapoor. He made it at the peak of his standing, a year after Brahmachari had won the Filmfare Award for Best Film — one of two hits, with Janwar in 1965, that he made with Shashi's elder brother Shammi Kapoor, whose comic energy suited his light touch better than any other performer's. The family connection is the more interesting thread here: Sonie's reputation rested on Shammi, and this is his one film with the youngest brother. Born on 31 July 1928, he had learned the trade as an assistant to Raj Khosla on Milap, C.I.D. and Solva Saal before making his directorial debut with Ek Phool Char Kaante, starring Sunil Dutt and Waheeda Rehman. He died on 5 September 2001 during heart bypass surgery in Mumbai, aged seventy-three.</t>
        </is>
      </c>
      <c r="T121" s="5" t="inlineStr">
        <is>
          <t>SOURCE-207</t>
        </is>
      </c>
      <c r="U121" s="5" t="inlineStr">
        <is>
          <t>High</t>
        </is>
      </c>
    </row>
    <row r="122" ht="124" customHeight="1">
      <c r="A122" s="15" t="inlineStr">
        <is>
          <t>PERSON-121</t>
        </is>
      </c>
      <c r="B122" s="5" t="inlineStr">
        <is>
          <t>Bharat Kapoor</t>
        </is>
      </c>
      <c r="C122" s="5" t="inlineStr">
        <is>
          <t>Director</t>
        </is>
      </c>
      <c r="D122" s="18" t="n"/>
      <c r="E122" s="18" t="n"/>
      <c r="F122" s="5" t="n"/>
      <c r="G122" s="5" t="inlineStr">
        <is>
          <t>Hindi cinema</t>
        </is>
      </c>
      <c r="H122" s="5" t="inlineStr">
        <is>
          <t>No Wikipedia article exists for this director. The article reached from the name is about Bharat Kapoor the film and television actor (1945–2026), whose article lists his occupation only as actor; it was rejected during research as describing a different man, since the credit here is for direction. Everything else rests on the credit of the single film.</t>
        </is>
      </c>
      <c r="I122" s="5" t="n"/>
      <c r="J122" s="5" t="inlineStr">
        <is>
          <t>With Kapoor: Raiszaada (1991).</t>
        </is>
      </c>
      <c r="K122" s="19" t="inlineStr">
        <is>
          <t>Not established from a single credit.</t>
        </is>
      </c>
      <c r="L122" s="19" t="inlineStr">
        <is>
          <t>Not established; no biographical source was located.</t>
        </is>
      </c>
      <c r="M122" s="5" t="n"/>
      <c r="N122" s="19" t="inlineStr">
        <is>
          <t>Not established.</t>
        </is>
      </c>
      <c r="O122" s="19" t="inlineStr">
        <is>
          <t>One directing credit, on Raiszaada (1991), scored by Bappi Lahiri (PERSON-004) and made in the last years of Kapoor's screen work, when he appeared mainly in supporting roles.</t>
        </is>
      </c>
      <c r="P122" s="17" t="n">
        <v>1</v>
      </c>
      <c r="Q122" s="5" t="inlineStr">
        <is>
          <t>FILM-145</t>
        </is>
      </c>
      <c r="R122" s="5" t="inlineStr">
        <is>
          <t>Raiszaada (1991), his only film with Kapoor</t>
        </is>
      </c>
      <c r="S122" s="5" t="inlineStr">
        <is>
          <t>Bharat Kapoor is credited as director of Raiszaada, released in 1991, the only such credit in this filmography and one of Shashi Kapoor's last commercial appearances; Bappi Lahiri scored it. Research found no biography for the director. The article that a search of the name returns is about Bharat Kapoor the film and television actor, whose infobox gives his occupation simply as actor, and it was rejected as describing a different person, since accepting it would have attributed a directing career to a performer on no evidence. No alternative source was located under any variant. The entry is graded Low and rests on the single film credit.</t>
        </is>
      </c>
      <c r="T122" s="5" t="inlineStr">
        <is>
          <t>SOURCE-121</t>
        </is>
      </c>
      <c r="U122" s="5" t="inlineStr">
        <is>
          <t>Low</t>
        </is>
      </c>
    </row>
    <row r="123" ht="139" customHeight="1">
      <c r="A123" s="15" t="inlineStr">
        <is>
          <t>PERSON-122</t>
        </is>
      </c>
      <c r="B123" s="5" t="inlineStr">
        <is>
          <t>Bharat Rangachary</t>
        </is>
      </c>
      <c r="C123" s="5" t="inlineStr">
        <is>
          <t>Director</t>
        </is>
      </c>
      <c r="D123" s="17" t="n">
        <v>1953</v>
      </c>
      <c r="E123" s="17" t="n">
        <v>1995</v>
      </c>
      <c r="F123" s="5" t="inlineStr">
        <is>
          <t>1977–1995</t>
        </is>
      </c>
      <c r="G123" s="5" t="inlineStr">
        <is>
          <t>Hindi cinema</t>
        </is>
      </c>
      <c r="H123" s="5" t="inlineStr">
        <is>
          <t>Born 1 May 1953; died of cancer in Bombay on 4 July 1995. A film director and producer who began as an assistant director to Hrishikesh Mukherjee and also directed the Doordarshan television series Subah, for which he was praised.</t>
        </is>
      </c>
      <c r="I123" s="5" t="inlineStr">
        <is>
          <t>Directing from 1977.</t>
        </is>
      </c>
      <c r="J123" s="5" t="inlineStr">
        <is>
          <t>With Kapoor: Zameen Aasmaan (1984). Elsewhere: Baat Ban Jaye, Waqt Hamara Hai and Takkar, which was released shortly after his death.</t>
        </is>
      </c>
      <c r="K123" s="19" t="inlineStr">
        <is>
          <t>Commercial action and youth drama of the 1980s and early 1990s.</t>
        </is>
      </c>
      <c r="L123" s="19" t="inlineStr">
        <is>
          <t>Not assessed in the article beyond a record of commercial success.</t>
        </is>
      </c>
      <c r="M123" s="5" t="n"/>
      <c r="N123" s="19" t="inlineStr">
        <is>
          <t>A working commercial director of the 1980s whose career was cut short at forty-two.</t>
        </is>
      </c>
      <c r="O123" s="19" t="inlineStr">
        <is>
          <t>One film, Zameen Aasmaan (1984), written by Sachin Bhowmick (PERSON-012) and Rahi Masoom Reza (PERSON-035) and scored by R. D. Burman (PERSON-003) — an unusually strong creative line-up for a film from Kapoor's declining commercial period. His article names Zameen Aasmaan among his successes but does not mention Kapoor.</t>
        </is>
      </c>
      <c r="P123" s="17" t="n">
        <v>1</v>
      </c>
      <c r="Q123" s="5" t="inlineStr">
        <is>
          <t>FILM-113</t>
        </is>
      </c>
      <c r="R123" s="5" t="inlineStr">
        <is>
          <t>Zameen Aasmaan (1984), his only film with Kapoor</t>
        </is>
      </c>
      <c r="S123" s="5" t="inlineStr">
        <is>
          <t>Bharat Rangachary directed Zameen Aasmaan in 1984, his only film with Shashi Kapoor and one his own article counts among his successes. The credits around it are stronger than the film's reputation suggests: Sachin Bhowmick and the Urdu novelist Rahi Masoom Reza wrote it, R. D. Burman scored it, and it was produced by Subhash Gupta and Uday Narayan Singh under the Film Group banner — which places it in better company than most of Kapoor's mid-1980s work, when his leading roles were giving way to character parts. Rangachary, born on 1 May 1953, had trained as an assistant director under Hrishikesh Mukherjee and went on to make Baat Ban Jaye, Waqt Hamara Hai and Takkar, as well as the Doordarshan series Subah, for which his article says he was particularly praised. He died of cancer in Bombay on 4 July 1995, at forty-two, with Takkar released shortly afterwards. His article does not mention Kapoor.</t>
        </is>
      </c>
      <c r="T123" s="5" t="inlineStr">
        <is>
          <t>SOURCE-208</t>
        </is>
      </c>
      <c r="U123" s="5" t="inlineStr">
        <is>
          <t>High</t>
        </is>
      </c>
    </row>
    <row r="124" ht="94" customHeight="1">
      <c r="A124" s="15" t="inlineStr">
        <is>
          <t>PERSON-123</t>
        </is>
      </c>
      <c r="B124" s="5" t="inlineStr">
        <is>
          <t>Bhushan Banmali</t>
        </is>
      </c>
      <c r="C124" s="5" t="inlineStr">
        <is>
          <t>Writer</t>
        </is>
      </c>
      <c r="D124" s="18" t="n"/>
      <c r="E124" s="18" t="n"/>
      <c r="F124" s="5" t="n"/>
      <c r="G124" s="5" t="inlineStr">
        <is>
          <t>Hindi cinema</t>
        </is>
      </c>
      <c r="H124" s="5" t="inlineStr">
        <is>
          <t>No Wikipedia article exists for him, and none was found under any variant spelling. Everything here rests on the credit of the single film.</t>
        </is>
      </c>
      <c r="I124" s="5" t="n"/>
      <c r="J124" s="5" t="inlineStr">
        <is>
          <t>With Kapoor: Bezubaan (1982), where he is credited with the screenplay.</t>
        </is>
      </c>
      <c r="K124" s="19" t="inlineStr">
        <is>
          <t>Not established from a single credit.</t>
        </is>
      </c>
      <c r="L124" s="19" t="inlineStr">
        <is>
          <t>Not established; no biographical source was located.</t>
        </is>
      </c>
      <c r="M124" s="5" t="n"/>
      <c r="N124" s="19" t="inlineStr">
        <is>
          <t>Not established.</t>
        </is>
      </c>
      <c r="O124" s="19" t="inlineStr">
        <is>
          <t>One writing credit, on Bezubaan (1982), directed by Bapu (PERSON-118) from a story by Ved Rahi (PERSON-086). The film is a Hindi remake of the Tamil Mayangukiral Oru Maadhu, so the screenplay credit covers an adaptation rather than an original.</t>
        </is>
      </c>
      <c r="P124" s="17" t="n">
        <v>1</v>
      </c>
      <c r="Q124" s="5" t="inlineStr">
        <is>
          <t>FILM-102</t>
        </is>
      </c>
      <c r="R124" s="5" t="inlineStr">
        <is>
          <t>Bezubaan (1982), his only film with Kapoor</t>
        </is>
      </c>
      <c r="S124" s="5" t="inlineStr">
        <is>
          <t>Bhushan Banmali wrote the screenplay of Bezubaan, released in 1982 — a Hindi remake of the Tamil film Mayangukiral Oru Maadhu, directed by the Telugu filmmaker Bapu with a story credit for the Dogri writer Ved Rahi. The division of writing labour on the film is unusually explicit for the period, with story and screenplay separately attributed. No Wikipedia article exists for Banmali under this name or any variant attempted during research, and no other biographical source was located, so nothing further can be said about his career. The entry is graded Low and rests on the single film credit.</t>
        </is>
      </c>
      <c r="T124" s="5" t="inlineStr">
        <is>
          <t>SOURCE-089</t>
        </is>
      </c>
      <c r="U124" s="5" t="inlineStr">
        <is>
          <t>Low</t>
        </is>
      </c>
    </row>
    <row r="125" ht="169" customHeight="1">
      <c r="A125" s="15" t="inlineStr">
        <is>
          <t>PERSON-124</t>
        </is>
      </c>
      <c r="B125" s="5" t="inlineStr">
        <is>
          <t>Bimal Roy</t>
        </is>
      </c>
      <c r="C125" s="5" t="inlineStr">
        <is>
          <t>Director; Producer</t>
        </is>
      </c>
      <c r="D125" s="17" t="n">
        <v>1909</v>
      </c>
      <c r="E125" s="17" t="n">
        <v>1966</v>
      </c>
      <c r="F125" s="5" t="inlineStr">
        <is>
          <t>1934–1966</t>
        </is>
      </c>
      <c r="G125" s="5" t="inlineStr">
        <is>
          <t>Hindi and Bengali cinema</t>
        </is>
      </c>
      <c r="H125" s="5" t="inlineStr">
        <is>
          <t>Born 12 July 1909; died 7 January 1966. One of the most important directors of Hindi cinema, noted for realistic and socialistic films. He was inspired by Italian neo-realism and made Do Bigha Zamin after seeing De Sica's Bicycle Thieves.</t>
        </is>
      </c>
      <c r="I125" s="5" t="inlineStr">
        <is>
          <t>Working in film from 1934.</t>
        </is>
      </c>
      <c r="J125" s="5" t="inlineStr">
        <is>
          <t>With Kapoor: Prem Patra (1962), which he directed and produced. Elsewhere: Do Bigha Zamin, Parineeta (1953), Biraj Bahu (1954), Devdas (1955), Madhumati (1958), Yahudi (1958), Sujata (1959), Parakh (1960) and Bandini (1963).</t>
        </is>
      </c>
      <c r="K125" s="19" t="inlineStr">
        <is>
          <t>Poverty, caste and social constraint treated without sentimentality; the dignity of ordinary lives.</t>
        </is>
      </c>
      <c r="L125" s="19" t="inlineStr">
        <is>
          <t>A realist celebrated for his mise en scène, using visual composition rather than dialogue to carry meaning.</t>
        </is>
      </c>
      <c r="M125" s="5" t="inlineStr">
        <is>
          <t>Eleven Filmfare Awards — four for Best Film and seven for Best Director — two National Film Awards, and the International Prize at the Cannes Film Festival. Madhumati won nine Filmfare Awards in 1958, a record that stood for thirty-seven years.</t>
        </is>
      </c>
      <c r="N125" s="19" t="inlineStr">
        <is>
          <t>Among the greatest filmmakers in Indian cinema and the central figure in bringing neo-realist method to the Hindi mainstream.</t>
        </is>
      </c>
      <c r="O125" s="19" t="inlineStr">
        <is>
          <t>One film, Prem Patra (1962), which Roy directed and produced, with songs by Salil Chowdhury (PERSON-042), who also took a writing credit. It came early in Kapoor's adult career, in the uncertain years between the failure of Dharmputra and the stardom of 1965, and gave him the most distinguished director he would work with before the Merchant Ivory films. Roy died four years later. His article does not mention Kapoor.</t>
        </is>
      </c>
      <c r="P125" s="17" t="n">
        <v>1</v>
      </c>
      <c r="Q125" s="5" t="inlineStr">
        <is>
          <t>FILM-008</t>
        </is>
      </c>
      <c r="R125" s="5" t="inlineStr">
        <is>
          <t>Prem Patra (1962), his only film with Kapoor</t>
        </is>
      </c>
      <c r="S125" s="5" t="inlineStr">
        <is>
          <t>Bimal Roy directed and produced Prem Patra in 1962, the only film he made with Shashi Kapoor, and it arrived at a valuable moment: Dharmputra had failed the year before, Kapoor's standing as a leading man was unsettled, and Roy was by some distance the most distinguished filmmaker he would work with until the Merchant Ivory films. Salil Chowdhury wrote the songs and took a writing credit, alongside three other credited writers. Roy's company would produce one more Kapoor film, Benazir, two years later, though he did not direct it. Born in 1909, Roy came to Hindi cinema from Bengal and brought neo-realist method with him, making Do Bigha Zamin after seeing De Sica's Bicycle Thieves; Parineeta, Devdas, Madhumati, Sujata and Bandini followed, and his work is particularly admired for a mise en scène that carries meaning without dialogue. He won eleven Filmfare Awards, including four for Best Film and seven for Best Director, two National Film Awards and the International Prize at Cannes; Madhumati took nine Filmfare Awards in 1958, a record that stood for thirty-seven years. He died in January 1966.</t>
        </is>
      </c>
      <c r="T125" s="5" t="inlineStr">
        <is>
          <t>SOURCE-209</t>
        </is>
      </c>
      <c r="U125" s="5" t="inlineStr">
        <is>
          <t>High</t>
        </is>
      </c>
    </row>
    <row r="126" ht="109" customHeight="1">
      <c r="A126" s="15" t="inlineStr">
        <is>
          <t>PERSON-125</t>
        </is>
      </c>
      <c r="B126" s="5" t="inlineStr">
        <is>
          <t>Bimal Roy Productions</t>
        </is>
      </c>
      <c r="C126" s="5" t="inlineStr">
        <is>
          <t>Producer</t>
        </is>
      </c>
      <c r="D126" s="18" t="n"/>
      <c r="E126" s="18" t="n"/>
      <c r="F126" s="5" t="n"/>
      <c r="G126" s="5" t="inlineStr">
        <is>
          <t>Hindi cinema</t>
        </is>
      </c>
      <c r="H126" s="5" t="inlineStr">
        <is>
          <t>The production company of the director Bimal Roy (PERSON-124). No Wikipedia article exists for the company itself, and the entry rests on the credit of the single film together with what Roy's own article records.</t>
        </is>
      </c>
      <c r="I126" s="5" t="n"/>
      <c r="J126" s="5" t="inlineStr">
        <is>
          <t>With Kapoor: Benazir (1964).</t>
        </is>
      </c>
      <c r="K126" s="19" t="inlineStr">
        <is>
          <t>The socially engaged realist drama associated with Roy's own direction.</t>
        </is>
      </c>
      <c r="L126" s="19" t="inlineStr">
        <is>
          <t>Not applicable; a company.</t>
        </is>
      </c>
      <c r="M126" s="5" t="n"/>
      <c r="N126" s="19" t="inlineStr">
        <is>
          <t>The banner through which one of Hindi cinema's most important directors produced his own and others' films.</t>
        </is>
      </c>
      <c r="O126" s="19" t="inlineStr">
        <is>
          <t>One producing credit, on Benazir (1964), scored by S. D. Burman (PERSON-040) — a film made by Roy's company but not directed by him, two years after he had directed Kapoor himself in Prem Patra and two years before his death.</t>
        </is>
      </c>
      <c r="P126" s="17" t="n">
        <v>1</v>
      </c>
      <c r="Q126" s="5" t="inlineStr">
        <is>
          <t>FILM-014</t>
        </is>
      </c>
      <c r="R126" s="5" t="inlineStr">
        <is>
          <t>Benazir (1964), its only film with Kapoor</t>
        </is>
      </c>
      <c r="S126" s="5" t="inlineStr">
        <is>
          <t>Bimal Roy Productions is the producing credit on Benazir, released in 1964 with a score by S. D. Burman. The company belonged to Bimal Roy, who had directed Shashi Kapoor himself in Prem Patra two years earlier and who died in January 1966; Benazir is a film made under his banner rather than by his hand. No Wikipedia article exists for the company as such, so this entry draws on Roy's own article for context and otherwise rests on the film credit. It is graded Low on that basis, though the association it records — Kapoor working twice within the orbit of one of Hindi cinema's most serious filmmakers, early in his adult career — is of real interest to this filmography.</t>
        </is>
      </c>
      <c r="T126" s="5" t="inlineStr">
        <is>
          <t>SOURCE-010</t>
        </is>
      </c>
      <c r="U126" s="5" t="inlineStr">
        <is>
          <t>Low</t>
        </is>
      </c>
    </row>
    <row r="127" ht="109" customHeight="1">
      <c r="A127" s="15" t="inlineStr">
        <is>
          <t>PERSON-126</t>
        </is>
      </c>
      <c r="B127" s="5" t="inlineStr">
        <is>
          <t>Bindu Kala Mandir</t>
        </is>
      </c>
      <c r="C127" s="5" t="inlineStr">
        <is>
          <t>Production banner</t>
        </is>
      </c>
      <c r="D127" s="18" t="n"/>
      <c r="E127" s="18" t="n"/>
      <c r="F127" s="5" t="n"/>
      <c r="G127" s="5" t="inlineStr">
        <is>
          <t>Hindi cinema</t>
        </is>
      </c>
      <c r="H127" s="5" t="inlineStr">
        <is>
          <t>No Wikipedia article exists for this banner. Everything here rests on the credit of the single film.</t>
        </is>
      </c>
      <c r="I127" s="5" t="n"/>
      <c r="J127" s="5" t="inlineStr">
        <is>
          <t>With Kapoor: Yeh Dil Kisko Doon (1963).</t>
        </is>
      </c>
      <c r="K127" s="19" t="inlineStr">
        <is>
          <t>Not established from a single credit.</t>
        </is>
      </c>
      <c r="L127" s="19" t="inlineStr">
        <is>
          <t>Not applicable.</t>
        </is>
      </c>
      <c r="M127" s="5" t="n"/>
      <c r="N127" s="19" t="inlineStr">
        <is>
          <t>Not established.</t>
        </is>
      </c>
      <c r="O127" s="19" t="inlineStr">
        <is>
          <t>One banner credit, on Yeh Dil Kisko Doon (1963), written and directed by Kanak Mishra (PERSON-069) and produced by B. D. Kapoor (PERSON-110) — one of the modest successes that sustained Kapoor's career between the failure of his 1961 films and his stardom in 1965.</t>
        </is>
      </c>
      <c r="P127" s="17" t="n">
        <v>1</v>
      </c>
      <c r="Q127" s="5" t="inlineStr">
        <is>
          <t>FILM-011</t>
        </is>
      </c>
      <c r="R127" s="5" t="inlineStr">
        <is>
          <t>Yeh Dil Kisko Doon (1963), its only film with Kapoor</t>
        </is>
      </c>
      <c r="S127" s="5" t="inlineStr">
        <is>
          <t>Bindu Kala Mandir is the banner on Yeh Dil Kisko Doon, released in 1963 — a film that matters to this filmography out of proportion to its obscurity, since it falls in the anxious stretch after Dharmputra and Char Diwari had failed and helped keep Shashi Kapoor working until Waqt and Jab Jab Phool Khile made him a star two years later. Kanak Mishra wrote and directed it and B. D. Kapoor produced, and neither of them, nor this banner, has any surviving biographical record: no Wikipedia article exists for the company, and no other source was located. The entry is graded Low.</t>
        </is>
      </c>
      <c r="T127" s="5" t="inlineStr">
        <is>
          <t>SOURCE-009</t>
        </is>
      </c>
      <c r="U127" s="5" t="inlineStr">
        <is>
          <t>Low</t>
        </is>
      </c>
    </row>
    <row r="128" ht="109" customHeight="1">
      <c r="A128" s="15" t="inlineStr">
        <is>
          <t>PERSON-127</t>
        </is>
      </c>
      <c r="B128" s="5" t="inlineStr">
        <is>
          <t>Bishwanath Prasad Shahabadi</t>
        </is>
      </c>
      <c r="C128" s="5" t="inlineStr">
        <is>
          <t>Producer</t>
        </is>
      </c>
      <c r="D128" s="18" t="n"/>
      <c r="E128" s="17" t="n">
        <v>2000</v>
      </c>
      <c r="F128" s="5" t="inlineStr">
        <is>
          <t>1962–1992</t>
        </is>
      </c>
      <c r="G128" s="5" t="inlineStr">
        <is>
          <t>Bhojpuri and Hindi cinema</t>
        </is>
      </c>
      <c r="H128" s="5" t="inlineStr">
        <is>
          <t>Also spelled Vishwanath Prasad Shahabadi and known as B. P. Shahabadi. A film producer and businessman who died on 13 July 2000. He is known as the father of Bhojpuri cinema, having produced the first Bhojpuri film, the black-and-white Ganga Maiyya Tohe Piyari Chadhaibo, in 1962.</t>
        </is>
      </c>
      <c r="I128" s="5" t="inlineStr">
        <is>
          <t>Ganga Maiyya Tohe Piyari Chadhaibo (1962), the first Bhojpuri film.</t>
        </is>
      </c>
      <c r="J128" s="5" t="inlineStr">
        <is>
          <t>With Kapoor: Rootha Na Karo (1970). Elsewhere: Ganga Maiyya Tohe Piyari Chadhaibo and Solaho Singar Kare Dulhaniya in Bhojpuri; Ganga Dham, Geet Ganga, Sasural, Tulsi and Ghar Jamai in Hindi.</t>
        </is>
      </c>
      <c r="K128" s="19" t="inlineStr">
        <is>
          <t>Regional-language production and devotional and family subjects.</t>
        </is>
      </c>
      <c r="L128" s="19" t="inlineStr">
        <is>
          <t>Not applicable; a producer and businessman.</t>
        </is>
      </c>
      <c r="M128" s="5" t="n"/>
      <c r="N128" s="19" t="inlineStr">
        <is>
          <t>The founder of Bhojpuri cinema as an industry — a claim his article makes directly and the single most consequential fact about him.</t>
        </is>
      </c>
      <c r="O128" s="19" t="inlineStr">
        <is>
          <t>One producing credit, on Rootha Na Karo (1970), scored by C. Ramchandra (PERSON-028). The film's dating is itself disputed in this workbook: its infobox gives 31 December 1969 against a 1970 year in the article text and the filmography table, and the row is noted accordingly.</t>
        </is>
      </c>
      <c r="P128" s="17" t="n">
        <v>1</v>
      </c>
      <c r="Q128" s="5" t="inlineStr">
        <is>
          <t>FILM-031</t>
        </is>
      </c>
      <c r="R128" s="5" t="inlineStr">
        <is>
          <t>Rootha Na Karo (1970), his only film with Kapoor</t>
        </is>
      </c>
      <c r="S128" s="5" t="inlineStr">
        <is>
          <t>Bishwanath Prasad Shahabadi produced Rootha Na Karo, a Shashi Kapoor film whose release date is disputed between the last day of 1969 and 1970 and which this workbook notes on that ground. Shahabadi's significance lies elsewhere entirely: he is called the father of Bhojpuri cinema, having produced Ganga Maiyya Tohe Piyari Chadhaibo in 1962, the first film made in the language and the foundation of what became a substantial regional industry. He continued in both Bhojpuri and Hindi through to the early 1990s with Ganga Dham, Geet Ganga, Sasural and Tulsi, and died in July 2000. The Kapoor film, scored by C. Ramchandra, is a minor entry in that record, and his article does not mention the actor.</t>
        </is>
      </c>
      <c r="T128" s="5" t="inlineStr">
        <is>
          <t>SOURCE-210</t>
        </is>
      </c>
      <c r="U128" s="5" t="inlineStr">
        <is>
          <t>High</t>
        </is>
      </c>
    </row>
    <row r="129" ht="124" customHeight="1">
      <c r="A129" s="15" t="inlineStr">
        <is>
          <t>PERSON-128</t>
        </is>
      </c>
      <c r="B129" s="5" t="inlineStr">
        <is>
          <t>Bittu Anand</t>
        </is>
      </c>
      <c r="C129" s="5" t="inlineStr">
        <is>
          <t>Producer</t>
        </is>
      </c>
      <c r="D129" s="18" t="n"/>
      <c r="E129" s="18" t="n"/>
      <c r="F129" s="5" t="n"/>
      <c r="G129" s="5" t="inlineStr">
        <is>
          <t>Hindi cinema</t>
        </is>
      </c>
      <c r="H129" s="5" t="inlineStr">
        <is>
          <t>No Wikipedia article exists for him. He is identified in his father's article as a producer and the son of the writer Inder Raj Anand (PERSON-014) and brother of the director Tinnu Anand; the family detail comes from that article rather than from one of his own.</t>
        </is>
      </c>
      <c r="I129" s="5" t="n"/>
      <c r="J129" s="5" t="inlineStr">
        <is>
          <t>With Kapoor: Duniya Meri Jeb Mein (1979). Elsewhere: Shahenshah (1988), which he produced, his father wrote and his brother directed.</t>
        </is>
      </c>
      <c r="K129" s="19" t="inlineStr">
        <is>
          <t>Not established from a single credit in this filmography.</t>
        </is>
      </c>
      <c r="L129" s="19" t="inlineStr">
        <is>
          <t>Not applicable; no biography of his own was located.</t>
        </is>
      </c>
      <c r="M129" s="5" t="n"/>
      <c r="N129" s="19" t="inlineStr">
        <is>
          <t>Not established independently of his family.</t>
        </is>
      </c>
      <c r="O129" s="19" t="inlineStr">
        <is>
          <t>One producing credit, on Duniya Meri Jeb Mein (1979), written by his father Inder Raj Anand and scored by Rajesh Roshan (PERSON-017). The father-and-son pairing on the same film is the point of interest: Inder Raj Anand had written the first film Kapoor ever appeared in, Aag in 1948, and this is one of their last together.</t>
        </is>
      </c>
      <c r="P129" s="17" t="n">
        <v>1</v>
      </c>
      <c r="Q129" s="5" t="inlineStr">
        <is>
          <t>FILM-086</t>
        </is>
      </c>
      <c r="R129" s="5" t="inlineStr">
        <is>
          <t>Duniya Meri Jeb Mein (1979), his only film with Kapoor</t>
        </is>
      </c>
      <c r="S129" s="5" t="inlineStr">
        <is>
          <t>Bittu Anand produced Duniya Meri Jeb Mein in 1979, a film written by his father, Inder Raj Anand, and scored by Rajesh Roshan. The family connection is what makes the credit worth recording: Inder Raj Anand had written Aag in 1948, the film in which the nine-year-old Shashi Kapoor first appeared, and thirty-one years later father and son worked on a Kapoor picture together. The Anands went on to make Shahenshah in 1988, produced by Bittu, written by their father and directed by his brother Tinnu, released after Inder Raj Anand's death. No Wikipedia article exists for Bittu Anand himself; what is known comes from his father's article, and the entry is graded Low.</t>
        </is>
      </c>
      <c r="T129" s="5" t="inlineStr">
        <is>
          <t>SOURCE-072</t>
        </is>
      </c>
      <c r="U129" s="5" t="inlineStr">
        <is>
          <t>Low</t>
        </is>
      </c>
    </row>
    <row r="130" ht="109" customHeight="1">
      <c r="A130" s="15" t="inlineStr">
        <is>
          <t>PERSON-129</t>
        </is>
      </c>
      <c r="B130" s="5" t="inlineStr">
        <is>
          <t>Bolu Khosla</t>
        </is>
      </c>
      <c r="C130" s="5" t="inlineStr">
        <is>
          <t>Producer</t>
        </is>
      </c>
      <c r="D130" s="18" t="n"/>
      <c r="E130" s="18" t="n"/>
      <c r="F130" s="5" t="n"/>
      <c r="G130" s="5" t="inlineStr">
        <is>
          <t>Hindi cinema</t>
        </is>
      </c>
      <c r="H130" s="5" t="inlineStr">
        <is>
          <t>No Wikipedia article exists for him, and none was found under any variant spelling. The source data records his credit as associate producer; role qualifiers have been normalised out of the name fields across this workbook.</t>
        </is>
      </c>
      <c r="I130" s="5" t="n"/>
      <c r="J130" s="5" t="inlineStr">
        <is>
          <t>With Kapoor: Prem Kahani (1975).</t>
        </is>
      </c>
      <c r="K130" s="19" t="inlineStr">
        <is>
          <t>Not established from a single credit.</t>
        </is>
      </c>
      <c r="L130" s="19" t="inlineStr">
        <is>
          <t>Not applicable; no biographical source was located.</t>
        </is>
      </c>
      <c r="M130" s="5" t="n"/>
      <c r="N130" s="19" t="inlineStr">
        <is>
          <t>Not established.</t>
        </is>
      </c>
      <c r="O130" s="19" t="inlineStr">
        <is>
          <t>One producing credit, on Prem Kahani (1975), alongside Lekhraj Khosla and scored by Laxmikant–Pyarelal (PERSON-001). The shared surname suggests a family production unit, though no source confirms the relationship.</t>
        </is>
      </c>
      <c r="P130" s="17" t="n">
        <v>1</v>
      </c>
      <c r="Q130" s="5" t="inlineStr">
        <is>
          <t>FILM-053</t>
        </is>
      </c>
      <c r="R130" s="5" t="inlineStr">
        <is>
          <t>Prem Kahani (1975), his only film with Kapoor</t>
        </is>
      </c>
      <c r="S130" s="5" t="inlineStr">
        <is>
          <t>Bolu Khosla is credited as associate producer of Prem Kahani, released in 1975 and scored by Laxmikant–Pyarelal, the only appearance of his name in this filmography. He shares the credit with Lekhraj Khosla, and the common surname points to a family production unit, though nothing found in research confirms the connection and it is recorded here as an inference. No Wikipedia article exists for him under this name or any variant attempted, and no other biographical source was located. The workbook normalises role qualifiers such as associate producer out of its name fields to keep the collaborator roster consistent; the qualifier is noted here instead. The entry is graded Low.</t>
        </is>
      </c>
      <c r="T130" s="5" t="inlineStr">
        <is>
          <t>SOURCE-042</t>
        </is>
      </c>
      <c r="U130" s="5" t="inlineStr">
        <is>
          <t>Low</t>
        </is>
      </c>
    </row>
    <row r="131" ht="139" customHeight="1">
      <c r="A131" s="15" t="inlineStr">
        <is>
          <t>PERSON-130</t>
        </is>
      </c>
      <c r="B131" s="5" t="inlineStr">
        <is>
          <t>Bombay Talkies</t>
        </is>
      </c>
      <c r="C131" s="5" t="inlineStr">
        <is>
          <t>Production banner</t>
        </is>
      </c>
      <c r="D131" s="18" t="n"/>
      <c r="E131" s="18" t="n"/>
      <c r="F131" s="5" t="inlineStr">
        <is>
          <t>1934–1954</t>
        </is>
      </c>
      <c r="G131" s="5" t="inlineStr">
        <is>
          <t>Hindi cinema</t>
        </is>
      </c>
      <c r="H131" s="5" t="inlineStr">
        <is>
          <t>A film studio founded in 1934 by Himanshu Rai, Niranjan Pal — son of Bipin Chandra Pal — and Devika Rani, which produced forty films at Malad, a suburb of Bombay. After Rai's death in 1940 Rani took over; following her retirement the studio passed to Ashok Kumar and Shashadhar Mukherjee. It went out of business in 1953, with a last film released in June 1954.</t>
        </is>
      </c>
      <c r="I131" s="5" t="inlineStr">
        <is>
          <t>Producing from 1934.</t>
        </is>
      </c>
      <c r="J131" s="5" t="inlineStr">
        <is>
          <t>With Kapoor: Sangram (1950). Its wider output runs to forty films made in the 1930s and 1940s.</t>
        </is>
      </c>
      <c r="K131" s="19" t="inlineStr">
        <is>
          <t>The socially conscious studio picture of the 1930s and 1940s, made under a European-influenced production system.</t>
        </is>
      </c>
      <c r="L131" s="19" t="inlineStr">
        <is>
          <t>Not applicable; a studio, and one of the most organised production operations of its era.</t>
        </is>
      </c>
      <c r="M131" s="5" t="n"/>
      <c r="N131" s="19" t="inlineStr">
        <is>
          <t>One of the two or three most important studios of early Indian sound cinema, and the training ground for Ashok Kumar and for Shashadhar Mukherjee, who left in 1943 to found Filmistan (PERSON-013).</t>
        </is>
      </c>
      <c r="O131" s="19" t="inlineStr">
        <is>
          <t>One banner credit, on Sangram (1950), one of Kapoor's child-actor films, made when he was twelve and billed as Shashiraj. The credit also explains a data problem corrected during this research: the film's wikitext gives the studio as 'The Bombay Talkies Limited Studios, Malad', which an automated extraction had split into a second banner named after the Bombay suburb.</t>
        </is>
      </c>
      <c r="P131" s="17" t="n">
        <v>1</v>
      </c>
      <c r="Q131" s="5" t="inlineStr">
        <is>
          <t>FILM-002</t>
        </is>
      </c>
      <c r="R131" s="5" t="inlineStr">
        <is>
          <t>Sangram (1950), its only film with Kapoor</t>
        </is>
      </c>
      <c r="S131" s="5" t="inlineStr">
        <is>
          <t>Bombay Talkies produced Sangram in 1950, one of Shashi Kapoor's child-actor films, made when he was twelve and billed as Shashiraj. The studio was by then near its end — it closed in 1953 — but it had been among the most important in Indian cinema: founded in 1934 by Himanshu Rai, Niranjan Pal and Devika Rani, it made forty films at Malad under a production system consciously modelled on European practice, and gave Ashok Kumar his career. Kumar and Shashadhar Mukherjee took it over after Rani retired, having earlier left in 1943 to found Filmistan, which appears separately in this sheet and also produced a Kapoor child film. The credit also fixed an extraction error: the wikitext reads 'The Bombay Talkies Limited Studios, Malad', which had been split into a phantom banner named after the suburb.</t>
        </is>
      </c>
      <c r="T131" s="5" t="inlineStr">
        <is>
          <t>SOURCE-211</t>
        </is>
      </c>
      <c r="U131" s="5" t="inlineStr">
        <is>
          <t>High</t>
        </is>
      </c>
    </row>
    <row r="132" ht="139" customHeight="1">
      <c r="A132" s="15" t="inlineStr">
        <is>
          <t>PERSON-131</t>
        </is>
      </c>
      <c r="B132" s="5" t="inlineStr">
        <is>
          <t>Brij Katyal</t>
        </is>
      </c>
      <c r="C132" s="5" t="inlineStr">
        <is>
          <t>Writer</t>
        </is>
      </c>
      <c r="D132" s="18" t="n"/>
      <c r="E132" s="18" t="n"/>
      <c r="F132" s="5" t="n"/>
      <c r="G132" s="5" t="inlineStr">
        <is>
          <t>Hindi cinema</t>
        </is>
      </c>
      <c r="H132" s="5" t="inlineStr">
        <is>
          <t>No Wikipedia article exists for him, and none was found under any variant spelling. Everything here rests on the credit of the single film — which is a notable absence, given what that film did for Kapoor's career.</t>
        </is>
      </c>
      <c r="I132" s="5" t="n"/>
      <c r="J132" s="5" t="inlineStr">
        <is>
          <t>With Kapoor: Jab Jab Phool Khile (1965).</t>
        </is>
      </c>
      <c r="K132" s="19" t="inlineStr">
        <is>
          <t>Not established from a single credit, though the film is a romance built entirely on class difference.</t>
        </is>
      </c>
      <c r="L132" s="19" t="inlineStr">
        <is>
          <t>Not established; no biographical source was located.</t>
        </is>
      </c>
      <c r="M132" s="5" t="n"/>
      <c r="N132" s="19" t="inlineStr">
        <is>
          <t>Not established, despite having written one of the defining romantic vehicles of 1960s Hindi cinema.</t>
        </is>
      </c>
      <c r="O132" s="19" t="inlineStr">
        <is>
          <t>One writing credit, and it is the film that made Kapoor a star: Jab Jab Phool Khile (1965), directed by Suraj Prakash (PERSON-046) and scored by Kalyanji–Anandji (PERSON-002), in which he plays a Kashmiri boatman opposite Nanda's wealthy visitor. The role won him the BFJA Best Actor award and established the courteous romantic persona this workbook's scoring is built to measure.</t>
        </is>
      </c>
      <c r="P132" s="17" t="n">
        <v>1</v>
      </c>
      <c r="Q132" s="5" t="inlineStr">
        <is>
          <t>FILM-018</t>
        </is>
      </c>
      <c r="R132" s="5" t="inlineStr">
        <is>
          <t>Jab Jab Phool Khile (1965), his only film with Kapoor</t>
        </is>
      </c>
      <c r="S132" s="5" t="inlineStr">
        <is>
          <t>Brij Katyal wrote Jab Jab Phool Khile, and nothing else in this filmography — but that one film changed Shashi Kapoor's career. Released in 1965, it cast him as a Kashmiri boatman who falls in love with a wealthy visitor played by Nanda, won him the BFJA Best Actor award, and fixed the gentle, deferential romantic persona that the Romances sheet of this workbook exists to measure across the following three decades. The class-crossing premise is the template for a great deal that follows. Of its writer nothing could be found: no Wikipedia article exists under this name or any variant attempted in research, and no other biographical source was located. Together with the director Suraj Prakash and the banner Lime Light, both equally undocumented, the film's creative team has left almost no record.</t>
        </is>
      </c>
      <c r="T132" s="5" t="inlineStr">
        <is>
          <t>SOURCE-013</t>
        </is>
      </c>
      <c r="U132" s="5" t="inlineStr">
        <is>
          <t>Low</t>
        </is>
      </c>
    </row>
    <row r="133" ht="154" customHeight="1">
      <c r="A133" s="15" t="inlineStr">
        <is>
          <t>PERSON-132</t>
        </is>
      </c>
      <c r="B133" s="5" t="inlineStr">
        <is>
          <t>Brij Sadanah</t>
        </is>
      </c>
      <c r="C133" s="5" t="inlineStr">
        <is>
          <t>Director</t>
        </is>
      </c>
      <c r="D133" s="17" t="n">
        <v>1933</v>
      </c>
      <c r="E133" s="17" t="n">
        <v>1990</v>
      </c>
      <c r="F133" s="5" t="inlineStr">
        <is>
          <t>1960s–1980s</t>
        </is>
      </c>
      <c r="G133" s="5" t="inlineStr">
        <is>
          <t>Hindi cinema</t>
        </is>
      </c>
      <c r="H133" s="5" t="inlineStr">
        <is>
          <t>Born Brijmohan Sadanah on 6 October 1933; died 21 October 1990. Often credited simply as Brij, he was a producer and director of Hindi films. He was married to the actress Sayeeda Khan, also known as Sudha Sadanah; their son is the actor Kamal Sadanah.</t>
        </is>
      </c>
      <c r="I133" s="5" t="inlineStr">
        <is>
          <t>Directing from the early 1960s.</t>
        </is>
      </c>
      <c r="J133" s="5" t="inlineStr">
        <is>
          <t>With Kapoor: Chori Mera Kaam (1975). Elsewhere: Do Bhai, Yeh Raat Phir Na Aaygi, Ustadon Ke Ustad, Night In London, Victoria No. 203, Ek Se Badhkar Ek, Yakeen and Professor Pyarelal.</t>
        </is>
      </c>
      <c r="K133" s="19" t="inlineStr">
        <is>
          <t>The caper and the crime thriller, built on disguise, theft and reversal.</t>
        </is>
      </c>
      <c r="L133" s="19" t="inlineStr">
        <is>
          <t>A director of slick commercial thrillers who, his article notes, consistently chose Kalyanji–Anandji (PERSON-002) as his composers.</t>
        </is>
      </c>
      <c r="M133" s="5" t="n"/>
      <c r="N133" s="19" t="inlineStr">
        <is>
          <t>One of the most reliable makers of the Hindi caper film, and the director of Victoria No. 203.</t>
        </is>
      </c>
      <c r="O133" s="19" t="inlineStr">
        <is>
          <t>One film, Chori Mera Kaam (1975), written by K. A. Narayan (PERSON-032), produced by Chander Sadanah (PERSON-138) and scored — as always with this director — by Kalyanji–Anandji. It is a characteristic Brij caper and one of the more enjoyable entries in Kapoor's crowded mid-1970s output. His article does not mention Kapoor.</t>
        </is>
      </c>
      <c r="P133" s="17" t="n">
        <v>1</v>
      </c>
      <c r="Q133" s="5" t="inlineStr">
        <is>
          <t>FILM-054</t>
        </is>
      </c>
      <c r="R133" s="5" t="inlineStr">
        <is>
          <t>Chori Mera Kaam (1975), his only film with Kapoor</t>
        </is>
      </c>
      <c r="S133" s="5" t="inlineStr">
        <is>
          <t>Brij Sadanah directed Chori Mera Kaam in 1975, his only film with Shashi Kapoor and a characteristic piece of his work: a caper written by K. A. Narayan, produced by Chander Sadanah — almost certainly a relative — and scored by Kalyanji–Anandji, the composers his article notes he chose consistently across his films. It belongs to the strongest year of Kapoor's career, alongside Deewaar and Prem Kahani, and is among the more purely enjoyable entries in a crowded period. Born Brijmohan Sadanah in 1933 and usually credited simply as Brij, he made a long run of commercially successful thrillers and capers from the 1960s to the 1980s — Do Bhai, Yeh Raat Phir Na Aaygi, Ustadon Ke Ustad, Night In London, Victoria No. 203, Ek Se Badhkar Ek, Yakeen and Professor Pyarelal — before a string of failures in the early 1980s damaged his standing, ended by the success of Mardon Wali Baat. He was married to the actress Sayeeda Khan, and their son Kamal Sadanah became an actor. He died in October 1990.</t>
        </is>
      </c>
      <c r="T133" s="5" t="inlineStr">
        <is>
          <t>SOURCE-212</t>
        </is>
      </c>
      <c r="U133" s="5" t="inlineStr">
        <is>
          <t>High</t>
        </is>
      </c>
    </row>
    <row r="134" ht="109" customHeight="1">
      <c r="A134" s="15" t="inlineStr">
        <is>
          <t>PERSON-133</t>
        </is>
      </c>
      <c r="B134" s="5" t="inlineStr">
        <is>
          <t>Bruce Weiss</t>
        </is>
      </c>
      <c r="C134" s="5" t="inlineStr">
        <is>
          <t>Producer</t>
        </is>
      </c>
      <c r="D134" s="18" t="n"/>
      <c r="E134" s="18" t="n"/>
      <c r="F134" s="5" t="n"/>
      <c r="G134" s="5" t="inlineStr">
        <is>
          <t>American independent cinema</t>
        </is>
      </c>
      <c r="H134" s="5" t="inlineStr">
        <is>
          <t>No Wikipedia article exists for him, and none was found under any variant spelling. Everything here rests on the credit of the single film.</t>
        </is>
      </c>
      <c r="I134" s="5" t="n"/>
      <c r="J134" s="5" t="inlineStr">
        <is>
          <t>With Kapoor: Side Streets (1998).</t>
        </is>
      </c>
      <c r="K134" s="19" t="inlineStr">
        <is>
          <t>Not established from a single credit.</t>
        </is>
      </c>
      <c r="L134" s="19" t="inlineStr">
        <is>
          <t>Not applicable; no biographical source was located.</t>
        </is>
      </c>
      <c r="M134" s="5" t="n"/>
      <c r="N134" s="19" t="inlineStr">
        <is>
          <t>Not established.</t>
        </is>
      </c>
      <c r="O134" s="19" t="inlineStr">
        <is>
          <t>One producing credit, on Side Streets (1998), directed by Tony Gerber and one of the last three films of Kapoor's career. Ismail Merchant (PERSON-006) is credited on the same film as an executive producer, which places it at the end of the long Merchant Ivory association.</t>
        </is>
      </c>
      <c r="P134" s="17" t="n">
        <v>1</v>
      </c>
      <c r="Q134" s="5" t="inlineStr">
        <is>
          <t>FILM-154</t>
        </is>
      </c>
      <c r="R134" s="5" t="inlineStr">
        <is>
          <t>Side Streets (1998), his only film with Kapoor</t>
        </is>
      </c>
      <c r="S134" s="5" t="inlineStr">
        <is>
          <t>Bruce Weiss produced Side Streets, released in 1998 — an American independent film directed by Tony Gerber and one of the final three credits of Shashi Kapoor's acting life, alongside Jinnah and Swami Vivekananda. Ismail Merchant appears on the same film as executive producer, so it marks the close of a working relationship that had begun with The Householder thirty-five years earlier. No Wikipedia article exists for Weiss under this name or any variant attempted during research, and no other biographical source was located, so nothing further can be said of his work. The entry is graded Low and rests on the single film credit.</t>
        </is>
      </c>
      <c r="T134" s="5" t="inlineStr">
        <is>
          <t>SOURCE-125</t>
        </is>
      </c>
      <c r="U134" s="5" t="inlineStr">
        <is>
          <t>Low</t>
        </is>
      </c>
    </row>
    <row r="135" ht="124" customHeight="1">
      <c r="A135" s="15" t="inlineStr">
        <is>
          <t>PERSON-134</t>
        </is>
      </c>
      <c r="B135" s="5" t="inlineStr">
        <is>
          <t>C. Dhandyadupani</t>
        </is>
      </c>
      <c r="C135" s="5" t="inlineStr">
        <is>
          <t>Producer</t>
        </is>
      </c>
      <c r="D135" s="18" t="n"/>
      <c r="E135" s="18" t="n"/>
      <c r="F135" s="5" t="n"/>
      <c r="G135" s="5" t="inlineStr">
        <is>
          <t>Tamil and Hindi cinema</t>
        </is>
      </c>
      <c r="H135" s="5" t="inlineStr">
        <is>
          <t>No Wikipedia article exists for him, and none was found under any variant spelling; the name as credited may itself be a transliteration variant. Everything here rests on the credit of the single film.</t>
        </is>
      </c>
      <c r="I135" s="5" t="n"/>
      <c r="J135" s="5" t="inlineStr">
        <is>
          <t>With Kapoor: Do Aur Do Paanch (1980).</t>
        </is>
      </c>
      <c r="K135" s="19" t="inlineStr">
        <is>
          <t>Not established from a single credit.</t>
        </is>
      </c>
      <c r="L135" s="19" t="inlineStr">
        <is>
          <t>Not applicable; no biographical source was located.</t>
        </is>
      </c>
      <c r="M135" s="5" t="n"/>
      <c r="N135" s="19" t="inlineStr">
        <is>
          <t>Not established.</t>
        </is>
      </c>
      <c r="O135" s="19" t="inlineStr">
        <is>
          <t>One producing credit, on Do Aur Do Paanch (1980), alongside Sandow M. M. A. Chinnappa Thevar (PERSON-081), whose Tamil production house was behind the film — the association suggests he belonged to that organisation. The film is a caper pairing Kapoor with Amitabh Bachchan, written by Kader Khan (PERSON-007) and Sachin Bhowmick (PERSON-012).</t>
        </is>
      </c>
      <c r="P135" s="17" t="n">
        <v>1</v>
      </c>
      <c r="Q135" s="5" t="inlineStr">
        <is>
          <t>FILM-092</t>
        </is>
      </c>
      <c r="R135" s="5" t="inlineStr">
        <is>
          <t>Do Aur Do Paanch (1980), his only film with Kapoor</t>
        </is>
      </c>
      <c r="S135" s="5" t="inlineStr">
        <is>
          <t>C. Dhandyadupani produced Do Aur Do Paanch in 1980, sharing the credit with Sandow M. M. A. Chinnappa Thevar, the Tamil producer whose banner was behind the film and who had died two years before its release. The association suggests Dhandyadupani worked within that organisation, though no source confirms it. The film itself is a substantial one in this filmography: a caper pairing Shashi Kapoor with Amitabh Bachchan, written by Kader Khan and Sachin Bhowmick and directed by Rakesh Kumar. No Wikipedia article exists for him under this name or any variant attempted in research, and the credited spelling may itself be a transliteration of a Tamil name rendered differently elsewhere. The entry is graded Low.</t>
        </is>
      </c>
      <c r="T135" s="5" t="inlineStr">
        <is>
          <t>SOURCE-076</t>
        </is>
      </c>
      <c r="U135" s="5" t="inlineStr">
        <is>
          <t>Low</t>
        </is>
      </c>
    </row>
    <row r="136" ht="94" customHeight="1">
      <c r="A136" s="15" t="inlineStr">
        <is>
          <t>PERSON-135</t>
        </is>
      </c>
      <c r="B136" s="5" t="inlineStr">
        <is>
          <t>C. P. Dixit</t>
        </is>
      </c>
      <c r="C136" s="5" t="inlineStr">
        <is>
          <t>Director</t>
        </is>
      </c>
      <c r="D136" s="18" t="n"/>
      <c r="E136" s="18" t="n"/>
      <c r="F136" s="5" t="n"/>
      <c r="G136" s="5" t="inlineStr">
        <is>
          <t>Hindi cinema</t>
        </is>
      </c>
      <c r="H136" s="5" t="inlineStr">
        <is>
          <t>No Wikipedia article exists for him, and none was found under any variant spelling. Everything here rests on the credit of the single film.</t>
        </is>
      </c>
      <c r="I136" s="5" t="n"/>
      <c r="J136" s="5" t="inlineStr">
        <is>
          <t>With Kapoor: Fakira (1976).</t>
        </is>
      </c>
      <c r="K136" s="19" t="inlineStr">
        <is>
          <t>Not established from a single credit.</t>
        </is>
      </c>
      <c r="L136" s="19" t="inlineStr">
        <is>
          <t>Not established; no biographical source was located.</t>
        </is>
      </c>
      <c r="M136" s="5" t="n"/>
      <c r="N136" s="19" t="inlineStr">
        <is>
          <t>Not established.</t>
        </is>
      </c>
      <c r="O136" s="19" t="inlineStr">
        <is>
          <t>One directing credit, on Fakira (1976), produced by N. N. Sippy (PERSON-075), written by S. M. Abbas (PERSON-011) and Dhruva Chatterjee (PERSON-029), and scored by Ravindra Jain (PERSON-018) — the same team that had made Chor Machaye Shor two years earlier.</t>
        </is>
      </c>
      <c r="P136" s="17" t="n">
        <v>1</v>
      </c>
      <c r="Q136" s="5" t="inlineStr">
        <is>
          <t>FILM-062</t>
        </is>
      </c>
      <c r="R136" s="5" t="inlineStr">
        <is>
          <t>Fakira (1976), his only film with Kapoor</t>
        </is>
      </c>
      <c r="S136" s="5" t="inlineStr">
        <is>
          <t>C. P. Dixit directed Fakira in 1976, his only credit in this filmography. The film reassembled most of the team behind Chor Machaye Shor, the 1974 hit that had transformed Shashi Kapoor's commercial standing: N. N. Sippy produced, S. M. Abbas and Dhruva Chatterjee wrote, and Ravindra Jain scored both. Only the director changed. No Wikipedia article exists for Dixit under this name or any variant attempted during research, and no other biographical source was located, so nothing can be said about his other films or his dates. The entry is graded Low and rests on the single film credit.</t>
        </is>
      </c>
      <c r="T136" s="5" t="inlineStr">
        <is>
          <t>SOURCE-047</t>
        </is>
      </c>
      <c r="U136" s="5" t="inlineStr">
        <is>
          <t>Low</t>
        </is>
      </c>
    </row>
    <row r="137" ht="154" customHeight="1">
      <c r="A137" s="15" t="inlineStr">
        <is>
          <t>PERSON-136</t>
        </is>
      </c>
      <c r="B137" s="5" t="inlineStr">
        <is>
          <t>C. V. Sridhar</t>
        </is>
      </c>
      <c r="C137" s="5" t="inlineStr">
        <is>
          <t>Director; Producer; Writer</t>
        </is>
      </c>
      <c r="D137" s="17" t="n">
        <v>1933</v>
      </c>
      <c r="E137" s="17" t="n">
        <v>2008</v>
      </c>
      <c r="F137" s="5" t="inlineStr">
        <is>
          <t>1959–1991</t>
        </is>
      </c>
      <c r="G137" s="5" t="inlineStr">
        <is>
          <t>Tamil, Hindi and Telugu cinema</t>
        </is>
      </c>
      <c r="H137" s="5" t="inlineStr">
        <is>
          <t>Born Chithamur Vijayaraghavalu Sridhar on 22 July 1933; died 20 October 2008. A screenwriter and director who made nearly sixty films in Tamil, Hindi and Telugu.</t>
        </is>
      </c>
      <c r="I137" s="5" t="inlineStr">
        <is>
          <t>Directing from 1959.</t>
        </is>
      </c>
      <c r="J137" s="5" t="inlineStr">
        <is>
          <t>With Kapoor: Pyar Kiye Jaa (1966), which he directed, produced and wrote. Elsewhere: Kaadhalikka Neramillai, Kalai Kovil, Nenjil Or Aalayam and its Hindi remake Dil Ek Mandir.</t>
        </is>
      </c>
      <c r="K137" s="19" t="inlineStr">
        <is>
          <t>Romantic comedy and serious melodrama in equal measure — his article calls him the Nava-rasa director for the range of moods he worked in.</t>
        </is>
      </c>
      <c r="L137" s="19" t="inlineStr">
        <is>
          <t>A writer-director with a particular gift for ensemble comedy, and for drawing strong work from comic performers.</t>
        </is>
      </c>
      <c r="M137" s="5" t="inlineStr">
        <is>
          <t>Two Filmfare nominations, for Best Director and Best Story, for Dil Ek Mandir.</t>
        </is>
      </c>
      <c r="N137" s="19" t="inlineStr">
        <is>
          <t>One of the most versatile and prolific filmmakers of Tamil cinema, and a regular supplier of Hindi remakes of his own work.</t>
        </is>
      </c>
      <c r="O137" s="19" t="inlineStr">
        <is>
          <t>One film, Pyar Kiye Jaa (1966), which Sridhar directed, produced and wrote — a Hindi version of his own Tamil comedy Kaadhalikka Neramillai, scored by Laxmikant–Pyarelal (PERSON-001) in the first of their twenty-seven films with Kapoor. It is an ensemble comedy rather than a romantic vehicle, and it comes immediately after the two 1965 hits that made him a star. His article does not mention Kapoor.</t>
        </is>
      </c>
      <c r="P137" s="17" t="n">
        <v>1</v>
      </c>
      <c r="Q137" s="5" t="inlineStr">
        <is>
          <t>FILM-019</t>
        </is>
      </c>
      <c r="R137" s="5" t="inlineStr">
        <is>
          <t>Pyar Kiye Jaa (1966), his only film with Kapoor</t>
        </is>
      </c>
      <c r="S137" s="5" t="inlineStr">
        <is>
          <t>C. V. Sridhar directed, produced and wrote Pyar Kiye Jaa in 1966, a Hindi ensemble comedy remade from his own Tamil hit Kaadhalikka Neramillai and his only film with Shashi Kapoor. It arrived immediately after the two 1965 successes that had made him a star, and it carries the first of Laxmikant–Pyarelal's twenty-seven scores for him — the largest single collaboration in this filmography. The film was made under the Chithralaya banner, the company Sridhar had founded in the early 1960s with the writer Gopu, the cinematographer A. Vincent and the still photographer Tiruchi Arunachalam, and Gopu shares the writing credit. Born Chithamur Vijayaraghavalu Sridhar on 22 July 1933, he directed nearly sixty films in Tamil, Hindi and Telugu and was known as the Nava-rasa director for his range, moving between comedy and serious melodrama; Dil Ek Mandir, his Hindi remake of Nenjil Or Aalayam, brought him two Filmfare nominations. He died on 20 October 2008.</t>
        </is>
      </c>
      <c r="T137" s="5" t="inlineStr">
        <is>
          <t>SOURCE-213</t>
        </is>
      </c>
      <c r="U137" s="5" t="inlineStr">
        <is>
          <t>High</t>
        </is>
      </c>
    </row>
    <row r="138" ht="139" customHeight="1">
      <c r="A138" s="15" t="inlineStr">
        <is>
          <t>PERSON-137</t>
        </is>
      </c>
      <c r="B138" s="5" t="inlineStr">
        <is>
          <t>Chanakya</t>
        </is>
      </c>
      <c r="C138" s="5" t="inlineStr">
        <is>
          <t>Director</t>
        </is>
      </c>
      <c r="D138" s="17" t="n">
        <v>1925</v>
      </c>
      <c r="E138" s="17" t="n">
        <v>1973</v>
      </c>
      <c r="F138" s="5" t="n"/>
      <c r="G138" s="5" t="inlineStr">
        <is>
          <t>Telugu and Hindi cinema</t>
        </is>
      </c>
      <c r="H138" s="5" t="inlineStr">
        <is>
          <t>Credited simply as Chanakya; his full name was Tapi Chanakya (1925–1973). An Indian film director and writer, the son of the writer Tapi Dharma Rao Naidu, who had worked as a radio telegraphist for the Indian Army before entering films.</t>
        </is>
      </c>
      <c r="I138" s="5" t="inlineStr">
        <is>
          <t>Not recorded in the article.</t>
        </is>
      </c>
      <c r="J138" s="5" t="inlineStr">
        <is>
          <t>With Kapoor: Jaanwar Aur Insaan (1972).</t>
        </is>
      </c>
      <c r="K138" s="19" t="inlineStr">
        <is>
          <t>Not established from the short article available.</t>
        </is>
      </c>
      <c r="L138" s="19" t="inlineStr">
        <is>
          <t>Not assessed in the article.</t>
        </is>
      </c>
      <c r="M138" s="5" t="n"/>
      <c r="N138" s="19" t="inlineStr">
        <is>
          <t>Not established beyond his place in a Telugu literary family.</t>
        </is>
      </c>
      <c r="O138" s="19" t="inlineStr">
        <is>
          <t>One film, Jaanwar Aur Insaan (1972), produced and co-written by the Tamil producer Sandow M. M. A. Chinnappa Thevar (PERSON-081), written also by Inder Raj Anand (PERSON-014) and scored by Kalyanji–Anandji (PERSON-002). It was among the last films Chanakya made: he died the following year. The animal-centred subject matches Thevar's known specialism.</t>
        </is>
      </c>
      <c r="P138" s="17" t="n">
        <v>1</v>
      </c>
      <c r="Q138" s="5" t="inlineStr">
        <is>
          <t>FILM-040</t>
        </is>
      </c>
      <c r="R138" s="5" t="inlineStr">
        <is>
          <t>Jaanwar Aur Insaan (1972), his only film with Kapoor</t>
        </is>
      </c>
      <c r="S138" s="5" t="inlineStr">
        <is>
          <t>Tapi Chanakya, credited simply as Chanakya, directed Jaanwar Aur Insaan in 1972, his only film with Shashi Kapoor and one of the last of his career — he died the following year at forty-eight. The film was produced and co-written by Sandow M. M. A. Chinnappa Thevar, the Tamil producer known above all for pictures built around animals, under the Dhandayuthapani Films banner, with additional writing by Inder Raj Anand and a Kalyanji–Anandji score; its title and subject fit Thevar's specialism exactly, and the previous year he had carried the same formula into Hindi with Haathi Mere Saathi. Chanakya, born in 1925, was the son of the writer Tapi Dharma Rao Naidu and had worked as a radio telegraphist for the Indian Army before entering films. His Wikipedia article is three sentences long, names none of his other films and does not mention Kapoor, so this entry rests largely on the film credit and is graded Medium.</t>
        </is>
      </c>
      <c r="T138" s="5" t="inlineStr">
        <is>
          <t>SOURCE-214</t>
        </is>
      </c>
      <c r="U138" s="5" t="inlineStr">
        <is>
          <t>Medium</t>
        </is>
      </c>
    </row>
    <row r="139" ht="109" customHeight="1">
      <c r="A139" s="15" t="inlineStr">
        <is>
          <t>PERSON-138</t>
        </is>
      </c>
      <c r="B139" s="5" t="inlineStr">
        <is>
          <t>Chander Sadanah</t>
        </is>
      </c>
      <c r="C139" s="5" t="inlineStr">
        <is>
          <t>Producer</t>
        </is>
      </c>
      <c r="D139" s="18" t="n"/>
      <c r="E139" s="18" t="n"/>
      <c r="F139" s="5" t="n"/>
      <c r="G139" s="5" t="inlineStr">
        <is>
          <t>Hindi cinema</t>
        </is>
      </c>
      <c r="H139" s="5" t="inlineStr">
        <is>
          <t>No Wikipedia article exists for him, and none was found under any variant spelling. He shares a surname with the director Brij Sadanah (PERSON-132), with whom he made the one film recorded here, but no source confirms a family relationship.</t>
        </is>
      </c>
      <c r="I139" s="5" t="n"/>
      <c r="J139" s="5" t="inlineStr">
        <is>
          <t>With Kapoor: Chori Mera Kaam (1975).</t>
        </is>
      </c>
      <c r="K139" s="19" t="inlineStr">
        <is>
          <t>Not established from a single credit.</t>
        </is>
      </c>
      <c r="L139" s="19" t="inlineStr">
        <is>
          <t>Not applicable; no biographical source was located.</t>
        </is>
      </c>
      <c r="M139" s="5" t="n"/>
      <c r="N139" s="19" t="inlineStr">
        <is>
          <t>Not established.</t>
        </is>
      </c>
      <c r="O139" s="19" t="inlineStr">
        <is>
          <t>One producing credit, on Chori Mera Kaam (1975), directed by Brij Sadanah (PERSON-132), written by K. A. Narayan (PERSON-032) and scored by Kalyanji–Anandji (PERSON-002). The shared surname with the director points to a family production unit, recorded here as an inference rather than a fact.</t>
        </is>
      </c>
      <c r="P139" s="17" t="n">
        <v>1</v>
      </c>
      <c r="Q139" s="5" t="inlineStr">
        <is>
          <t>FILM-054</t>
        </is>
      </c>
      <c r="R139" s="5" t="inlineStr">
        <is>
          <t>Chori Mera Kaam (1975), his only film with Kapoor</t>
        </is>
      </c>
      <c r="S139" s="5" t="inlineStr">
        <is>
          <t>Chander Sadanah produced Chori Mera Kaam in 1975, the caper directed by Brij Sadanah with a script by K. A. Narayan and music by Kalyanji–Anandji. The shared surname with the director makes a family production unit very likely — Brij Sadanah's own article records a wife and son in the industry but does not name Chander — and the connection is recorded here as an inference rather than an established fact. No Wikipedia article exists for him under this name or any variant attempted during research, and no other biographical source was located, so nothing further can be said. The entry is graded Low and rests on the single film credit.</t>
        </is>
      </c>
      <c r="T139" s="5" t="inlineStr">
        <is>
          <t>SOURCE-043</t>
        </is>
      </c>
      <c r="U139" s="5" t="inlineStr">
        <is>
          <t>Low</t>
        </is>
      </c>
    </row>
    <row r="140" ht="94" customHeight="1">
      <c r="A140" s="15" t="inlineStr">
        <is>
          <t>PERSON-139</t>
        </is>
      </c>
      <c r="B140" s="5" t="inlineStr">
        <is>
          <t>Charandas Shokh</t>
        </is>
      </c>
      <c r="C140" s="5" t="inlineStr">
        <is>
          <t>Writer</t>
        </is>
      </c>
      <c r="D140" s="18" t="n"/>
      <c r="E140" s="18" t="n"/>
      <c r="F140" s="5" t="n"/>
      <c r="G140" s="5" t="inlineStr">
        <is>
          <t>Hindi cinema</t>
        </is>
      </c>
      <c r="H140" s="5" t="inlineStr">
        <is>
          <t>No Wikipedia article exists for him, and none was found under any variant spelling. Everything here rests on the credit of the single film.</t>
        </is>
      </c>
      <c r="I140" s="5" t="n"/>
      <c r="J140" s="5" t="inlineStr">
        <is>
          <t>With Kapoor: Chakkar Pe Chakkar (1977).</t>
        </is>
      </c>
      <c r="K140" s="19" t="inlineStr">
        <is>
          <t>Not established from a single credit.</t>
        </is>
      </c>
      <c r="L140" s="19" t="inlineStr">
        <is>
          <t>Not established; no biographical source was located.</t>
        </is>
      </c>
      <c r="M140" s="5" t="n"/>
      <c r="N140" s="19" t="inlineStr">
        <is>
          <t>Not established.</t>
        </is>
      </c>
      <c r="O140" s="19" t="inlineStr">
        <is>
          <t>One writing credit, on Chakkar Pe Chakkar (1977), directed and produced by Ashok Roy (PERSON-026) and co-written by Amit Khanna (PERSON-097).</t>
        </is>
      </c>
      <c r="P140" s="17" t="n">
        <v>1</v>
      </c>
      <c r="Q140" s="5" t="inlineStr">
        <is>
          <t>FILM-066</t>
        </is>
      </c>
      <c r="R140" s="5" t="inlineStr">
        <is>
          <t>Chakkar Pe Chakkar (1977), his only film with Kapoor</t>
        </is>
      </c>
      <c r="S140" s="5" t="inlineStr">
        <is>
          <t>Charandas Shokh wrote Chakkar Pe Chakkar in 1977, his only credit in this filmography. The film was directed and produced by Ashok Roy and written with Amit Khanna, who would later become a leading industry executive; it belongs to the crowded middle of Shashi Kapoor's commercial peak. No Wikipedia article exists for Shokh under this name or any variant attempted during research, and no other biographical source was located, so nothing can be said about his other work or his dates. The entry is graded Low and rests on the single film credit.</t>
        </is>
      </c>
      <c r="T140" s="5" t="inlineStr">
        <is>
          <t>SOURCE-058</t>
        </is>
      </c>
      <c r="U140" s="5" t="inlineStr">
        <is>
          <t>Low</t>
        </is>
      </c>
    </row>
    <row r="141" ht="139" customHeight="1">
      <c r="A141" s="15" t="inlineStr">
        <is>
          <t>PERSON-140</t>
        </is>
      </c>
      <c r="B141" s="5" t="inlineStr">
        <is>
          <t>Chetan K.</t>
        </is>
      </c>
      <c r="C141" s="5" t="inlineStr">
        <is>
          <t>Producer</t>
        </is>
      </c>
      <c r="D141" s="18" t="n"/>
      <c r="E141" s="18" t="n"/>
      <c r="F141" s="5" t="n"/>
      <c r="G141" s="5" t="inlineStr">
        <is>
          <t>Hindi cinema</t>
        </is>
      </c>
      <c r="H141" s="5" t="inlineStr">
        <is>
          <t>No Wikipedia article exists for him, and none was found under any variant spelling. The name appears in the film's infobox in this abbreviated form and may be incomplete as recorded. Everything here rests on the credit of the single film — a significant gap, given which film it is.</t>
        </is>
      </c>
      <c r="I141" s="5" t="n"/>
      <c r="J141" s="5" t="inlineStr">
        <is>
          <t>With Kapoor: Jab Jab Phool Khile (1965).</t>
        </is>
      </c>
      <c r="K141" s="19" t="inlineStr">
        <is>
          <t>Not established from a single credit.</t>
        </is>
      </c>
      <c r="L141" s="19" t="inlineStr">
        <is>
          <t>Not applicable; no biographical source was located.</t>
        </is>
      </c>
      <c r="M141" s="5" t="n"/>
      <c r="N141" s="19" t="inlineStr">
        <is>
          <t>Not established, despite having produced one of the most commercially and culturally consequential films of Kapoor's career.</t>
        </is>
      </c>
      <c r="O141" s="19" t="inlineStr">
        <is>
          <t>One producing credit, and it is the film that made Kapoor a star: Jab Jab Phool Khile (1965), directed by Suraj Prakash (PERSON-046), written by Brij Katyal (PERSON-131), scored by Kalyanji–Anandji (PERSON-002) and released under the Lime Light banner (PERSON-070). Of that creative team, only the composers have any surviving biographical record.</t>
        </is>
      </c>
      <c r="P141" s="17" t="n">
        <v>1</v>
      </c>
      <c r="Q141" s="5" t="inlineStr">
        <is>
          <t>FILM-018</t>
        </is>
      </c>
      <c r="R141" s="5" t="inlineStr">
        <is>
          <t>Jab Jab Phool Khile (1965), his only film with Kapoor</t>
        </is>
      </c>
      <c r="S141" s="5" t="inlineStr">
        <is>
          <t>Chetan K. produced Jab Jab Phool Khile, the 1965 film that turned Shashi Kapoor into a star, won him the BFJA Best Actor award and established the courteous romantic persona that this workbook exists to measure. It is his only credit here, and almost nothing is known about him: no Wikipedia article exists under the name as credited or any variant tried in research, and the abbreviated form in the film's infobox may itself be incomplete. The point is worth stating plainly, because it recurs — of the five principal credits on this pivotal film, the producer, the director, the writer and the banner are all undocumented, and only Kalyanji–Anandji have a surviving biography. The entry is graded Low.</t>
        </is>
      </c>
      <c r="T141" s="5" t="inlineStr">
        <is>
          <t>SOURCE-013</t>
        </is>
      </c>
      <c r="U141" s="5" t="inlineStr">
        <is>
          <t>Low</t>
        </is>
      </c>
    </row>
    <row r="142" ht="94" customHeight="1">
      <c r="A142" s="15" t="inlineStr">
        <is>
          <t>PERSON-141</t>
        </is>
      </c>
      <c r="B142" s="5" t="inlineStr">
        <is>
          <t>Chetna M. Modi</t>
        </is>
      </c>
      <c r="C142" s="5" t="inlineStr">
        <is>
          <t>Producer</t>
        </is>
      </c>
      <c r="D142" s="18" t="n"/>
      <c r="E142" s="18" t="n"/>
      <c r="F142" s="5" t="n"/>
      <c r="G142" s="5" t="inlineStr">
        <is>
          <t>Hindi cinema</t>
        </is>
      </c>
      <c r="H142" s="5" t="inlineStr">
        <is>
          <t>No Wikipedia article exists for her, and none was found under any variant spelling. Everything here rests on the credit of the single film.</t>
        </is>
      </c>
      <c r="I142" s="5" t="n"/>
      <c r="J142" s="5" t="inlineStr">
        <is>
          <t>With Kapoor: Gair Kaanooni (1989).</t>
        </is>
      </c>
      <c r="K142" s="19" t="inlineStr">
        <is>
          <t>Not established from a single credit.</t>
        </is>
      </c>
      <c r="L142" s="19" t="inlineStr">
        <is>
          <t>Not applicable; no biographical source was located.</t>
        </is>
      </c>
      <c r="M142" s="5" t="n"/>
      <c r="N142" s="19" t="inlineStr">
        <is>
          <t>Not established, though a woman holding a sole producer credit on a mainstream Hindi action film of the late 1980s was uncommon.</t>
        </is>
      </c>
      <c r="O142" s="19" t="inlineStr">
        <is>
          <t>One producing credit, on Gair Kaanooni (1989), written and directed by Prayag Raj (PERSON-009), written also by Kader Khan (PERSON-007) and scored by Bappi Lahiri (PERSON-004). It is among the last films in which Kapoor took a substantial commercial role.</t>
        </is>
      </c>
      <c r="P142" s="17" t="n">
        <v>1</v>
      </c>
      <c r="Q142" s="5" t="inlineStr">
        <is>
          <t>FILM-142</t>
        </is>
      </c>
      <c r="R142" s="5" t="inlineStr">
        <is>
          <t>Gair Kaanooni (1989), her only film with Kapoor</t>
        </is>
      </c>
      <c r="S142" s="5" t="inlineStr">
        <is>
          <t>Chetna M. Modi produced Gair Kaanooni in 1989, her only credit in this filmography — a late commercial picture written and directed by Prayag Raj with dialogue by Kader Khan and songs by Bappi Lahiri, and one of the last films in which Shashi Kapoor took a substantial part. A woman holding a sole producer credit on a mainstream Hindi action film of that period was unusual enough to note, but nothing further can be established: no Wikipedia article exists under this name or any variant attempted during research, and no other biographical source was located. The entry is graded Low and rests on the single film credit.</t>
        </is>
      </c>
      <c r="T142" s="5" t="inlineStr">
        <is>
          <t>SOURCE-116</t>
        </is>
      </c>
      <c r="U142" s="5" t="inlineStr">
        <is>
          <t>Low</t>
        </is>
      </c>
    </row>
    <row r="143" ht="139" customHeight="1">
      <c r="A143" s="15" t="inlineStr">
        <is>
          <t>PERSON-142</t>
        </is>
      </c>
      <c r="B143" s="5" t="inlineStr">
        <is>
          <t>Chithralaya</t>
        </is>
      </c>
      <c r="C143" s="5" t="inlineStr">
        <is>
          <t>Production banner</t>
        </is>
      </c>
      <c r="D143" s="18" t="n"/>
      <c r="E143" s="18" t="n"/>
      <c r="F143" s="5" t="inlineStr">
        <is>
          <t>1960s–1970s</t>
        </is>
      </c>
      <c r="G143" s="5" t="inlineStr">
        <is>
          <t>Tamil and Hindi cinema</t>
        </is>
      </c>
      <c r="H143" s="5" t="inlineStr">
        <is>
          <t>An Indian film production company founded in the early 1960s by the director C. V. Sridhar (PERSON-136), the screenwriter Gopu — later known as Chithralaya Gopu (PERSON-143) — the cinematographer A. Vincent and the still photographer Tiruchi Arunachalam. It produced films in Tamil and Hindi, most of them directed by Sridhar. The name is also spelt Chitralaya.</t>
        </is>
      </c>
      <c r="I143" s="5" t="inlineStr">
        <is>
          <t>Producing from the early 1960s.</t>
        </is>
      </c>
      <c r="J143" s="5" t="inlineStr">
        <is>
          <t>With Kapoor: Pyar Kiye Jaa (1966). Elsewhere: Kadhalikka Neramillai, the first Tamil film shot in Eastmancolor with a contemporary setting.</t>
        </is>
      </c>
      <c r="K143" s="19" t="inlineStr">
        <is>
          <t>Ensemble comedy and romantic drama, in Tamil and in Hindi remakes of the company's own Tamil films.</t>
        </is>
      </c>
      <c r="L143" s="19" t="inlineStr">
        <is>
          <t>Not applicable; a company, and in practice the production arm of C. V. Sridhar's own filmmaking.</t>
        </is>
      </c>
      <c r="M143" s="5" t="n"/>
      <c r="N143" s="19" t="inlineStr">
        <is>
          <t>The producer of Kadhalikka Neramillai — a film initially so hard to place that the company distributed it itself before it became a major success — and a significant independent house in 1960s Tamil cinema.</t>
        </is>
      </c>
      <c r="O143" s="19" t="inlineStr">
        <is>
          <t>One banner credit, on Pyar Kiye Jaa (1966), the Hindi version of the company's own Kadhalikka Neramillai, directed, produced and written by Sridhar with a screenplay contribution from Chithralaya Gopu. Both founders appear separately in this sheet. The film is an ensemble comedy and comes immediately after the two 1965 hits that made Kapoor a star.</t>
        </is>
      </c>
      <c r="P143" s="17" t="n">
        <v>1</v>
      </c>
      <c r="Q143" s="5" t="inlineStr">
        <is>
          <t>FILM-019</t>
        </is>
      </c>
      <c r="R143" s="5" t="inlineStr">
        <is>
          <t>Pyar Kiye Jaa (1966), its only film with Kapoor</t>
        </is>
      </c>
      <c r="S143" s="5" t="inlineStr">
        <is>
          <t>Chithralaya produced Pyar Kiye Jaa in 1966, the Hindi version of its own Tamil hit Kadhalikka Neramillai and its only appearance in this filmography. The company had been founded in the early 1960s by four collaborators — the director C. V. Sridhar, the writer Gopu, the cinematographer A. Vincent and the still photographer Tiruchi Arunachalam — and functioned mainly as the production arm of Sridhar's own films. Kadhalikka Neramillai was the company's landmark: the first Tamil film shot in Eastmancolor with a contemporary setting, initially refused by distributors so that Chithralaya released it itself, and then a major success. Two of its founders appear separately in this sheet. The banner's article does not mention Kapoor.</t>
        </is>
      </c>
      <c r="T143" s="5" t="inlineStr">
        <is>
          <t>SOURCE-215</t>
        </is>
      </c>
      <c r="U143" s="5" t="inlineStr">
        <is>
          <t>High</t>
        </is>
      </c>
    </row>
    <row r="144" ht="124" customHeight="1">
      <c r="A144" s="15" t="inlineStr">
        <is>
          <t>PERSON-143</t>
        </is>
      </c>
      <c r="B144" s="5" t="inlineStr">
        <is>
          <t>Chitralaya Gopu</t>
        </is>
      </c>
      <c r="C144" s="5" t="inlineStr">
        <is>
          <t>Writer</t>
        </is>
      </c>
      <c r="D144" s="17" t="n">
        <v>1931</v>
      </c>
      <c r="E144" s="18" t="n"/>
      <c r="F144" s="5" t="inlineStr">
        <is>
          <t>1959–1990</t>
        </is>
      </c>
      <c r="G144" s="5" t="inlineStr">
        <is>
          <t>Tamil cinema</t>
        </is>
      </c>
      <c r="H144" s="5" t="inlineStr">
        <is>
          <t>Born Sadagopan in 1931 and known professionally as Chithralaya Gopu. A screenwriter and director in Tamil cinema who has written nearly sixty films and directed twenty-seven of them. He was a co-founder of the production company Chithralaya (PERSON-142), which he left after receiving directorial offers of his own.</t>
        </is>
      </c>
      <c r="I144" s="5" t="inlineStr">
        <is>
          <t>Working from 1959.</t>
        </is>
      </c>
      <c r="J144" s="5" t="inlineStr">
        <is>
          <t>With Kapoor: Pyar Kiye Jaa (1966). Elsewhere: the comedies Kadhalikka Neramillai, Galatta Kalyanam, Patti Sollai Thattathe and Uttharavindri Ulle Vaa, and the dramas Moondru Dheivangal and Shanti Nilayam.</t>
        </is>
      </c>
      <c r="K144" s="19" t="inlineStr">
        <is>
          <t>Ensemble comedy of misunderstanding, alongside serious family drama.</t>
        </is>
      </c>
      <c r="L144" s="19" t="inlineStr">
        <is>
          <t>A comedy writer of exceptional productivity in Tamil cinema, who moved into direction on the strength of his scripts.</t>
        </is>
      </c>
      <c r="M144" s="5" t="inlineStr">
        <is>
          <t>The Kalaimamani Award, presented by the Chief Minister Jayalalithaa in 1992.</t>
        </is>
      </c>
      <c r="N144" s="19" t="inlineStr">
        <is>
          <t>One of the principal comedy writers of Tamil cinema and a co-founder of Chithralaya.</t>
        </is>
      </c>
      <c r="O144" s="19" t="inlineStr">
        <is>
          <t>One writing credit, on Pyar Kiye Jaa (1966), the Hindi version of Kadhalikka Neramillai, which he had written in Tamil for the company he helped found. It placed Kapoor, fresh from the stardom of 1965, in a large ensemble comedy rather than a romantic vehicle. His article does not mention Kapoor or the Hindi version.</t>
        </is>
      </c>
      <c r="P144" s="17" t="n">
        <v>1</v>
      </c>
      <c r="Q144" s="5" t="inlineStr">
        <is>
          <t>FILM-019</t>
        </is>
      </c>
      <c r="R144" s="5" t="inlineStr">
        <is>
          <t>Pyar Kiye Jaa (1966), his only film with Kapoor</t>
        </is>
      </c>
      <c r="S144" s="5" t="inlineStr">
        <is>
          <t>Chitralaya Gopu wrote Pyar Kiye Jaa, the 1966 Hindi remake of Kadhalikka Neramillai — a Tamil comedy he had written for Chithralaya, the company he co-founded with C. V. Sridhar, A. Vincent and Tiruchi Arunachalam. Born Sadagopan in 1931, he wrote close to sixty films and directed twenty-seven, working mainly in comedy: Galatta Kalyanam, Patti Sollai Thattathe and Uttharavindri Ulle Vaa are among his best-known scripts, alongside serious work such as Shanti Nilayam. He left Chithralaya once directorial offers began to arrive, and received the Kalaimamani Award in 1992. For Shashi Kapoor the film was an ensemble comedy taken immediately after the stardom of 1965, and Gopu's article does not mention him.</t>
        </is>
      </c>
      <c r="T144" s="5" t="inlineStr">
        <is>
          <t>SOURCE-216</t>
        </is>
      </c>
      <c r="U144" s="5" t="inlineStr">
        <is>
          <t>High</t>
        </is>
      </c>
    </row>
    <row r="145" ht="169" customHeight="1">
      <c r="A145" s="15" t="inlineStr">
        <is>
          <t>PERSON-144</t>
        </is>
      </c>
      <c r="B145" s="5" t="inlineStr">
        <is>
          <t>Conrad Rooks</t>
        </is>
      </c>
      <c r="C145" s="5" t="inlineStr">
        <is>
          <t>Director; Producer; Writer</t>
        </is>
      </c>
      <c r="D145" s="17" t="n">
        <v>1934</v>
      </c>
      <c r="E145" s="17" t="n">
        <v>2011</v>
      </c>
      <c r="F145" s="5" t="inlineStr">
        <is>
          <t>1966–2011</t>
        </is>
      </c>
      <c r="G145" s="5" t="inlineStr">
        <is>
          <t>American independent cinema</t>
        </is>
      </c>
      <c r="H145" s="5" t="inlineStr">
        <is>
          <t>Born 15 December 1934 in Kansas City, Missouri; died 27 December 2011 in Massachusetts. An American writer, director and producer, best known for his 1972 adaptation of Hermann Hesse's novel Siddhartha.</t>
        </is>
      </c>
      <c r="I145" s="5" t="inlineStr">
        <is>
          <t>Working in film from 1966.</t>
        </is>
      </c>
      <c r="J145" s="5" t="inlineStr">
        <is>
          <t>With Kapoor: Siddhartha (1972), which he directed, produced and wrote.</t>
        </is>
      </c>
      <c r="K145" s="19" t="inlineStr">
        <is>
          <t>Spiritual search and Eastern philosophy filtered through a Western counter-cultural sensibility.</t>
        </is>
      </c>
      <c r="L145" s="19" t="inlineStr">
        <is>
          <t>A director of very small output working outside the studio system on personal projects.</t>
        </is>
      </c>
      <c r="M145" s="5" t="n"/>
      <c r="N145" s="19" t="inlineStr">
        <is>
          <t>Chiefly as the filmmaker who brought Hesse's Siddhartha to the screen, at the height of the novel's Western counter-cultural popularity.</t>
        </is>
      </c>
      <c r="O145" s="19" t="inlineStr">
        <is>
          <t>One film, but a notable one in the English-language strand of Kapoor's career: Siddhartha (1972), which Rooks directed, produced and wrote, casting Kapoor in the title role of Hesse's seeker. It sits alongside the Merchant Ivory films as evidence that Kapoor was, through the 1960s and 1970s, the Indian actor international productions turned to — and it gave him a leading role in a Western art film at the same time as he was making masala pictures at home.</t>
        </is>
      </c>
      <c r="P145" s="17" t="n">
        <v>1</v>
      </c>
      <c r="Q145" s="5" t="inlineStr">
        <is>
          <t>FILM-041</t>
        </is>
      </c>
      <c r="R145" s="5" t="inlineStr">
        <is>
          <t>Siddhartha (1972), his only film with Kapoor</t>
        </is>
      </c>
      <c r="S145" s="5" t="inlineStr">
        <is>
          <t>Conrad Rooks directed, produced and wrote Siddhartha in 1972, casting Shashi Kapoor in the title role of Hermann Hesse's novel about a young Brahmin's search for enlightenment, with music by Hemant Kumar and a writing credit shared with Paul Mayersberg and Natasha Ullman. The film belongs to the parallel English-language career that ran beside Kapoor's Hindi one, and it is the clearest instance outside Merchant Ivory of an international production building itself around him: at a moment when he was appearing in several commercial Hindi films a year, he was also carrying a Western art film adapted from one of the most widely read novels of the counter-culture. Rooks, born in Kansas City in 1934, made very few films and is remembered almost entirely for this one, which arrived at the height of Hesse's Western popularity and drew on the same fascination with Indian spiritual practice that ran through the period. He died in Massachusetts in 2011. His article does not discuss Kapoor's performance.</t>
        </is>
      </c>
      <c r="T145" s="5" t="inlineStr">
        <is>
          <t>SOURCE-217</t>
        </is>
      </c>
      <c r="U145" s="5" t="inlineStr">
        <is>
          <t>High</t>
        </is>
      </c>
    </row>
    <row r="146" ht="109" customHeight="1">
      <c r="A146" s="15" t="inlineStr">
        <is>
          <t>PERSON-145</t>
        </is>
      </c>
      <c r="B146" s="5" t="inlineStr">
        <is>
          <t>D. N. Mukherjee</t>
        </is>
      </c>
      <c r="C146" s="5" t="inlineStr">
        <is>
          <t>Writer</t>
        </is>
      </c>
      <c r="D146" s="18" t="n"/>
      <c r="E146" s="18" t="n"/>
      <c r="F146" s="5" t="n"/>
      <c r="G146" s="5" t="inlineStr">
        <is>
          <t>Hindi cinema</t>
        </is>
      </c>
      <c r="H146" s="5" t="inlineStr">
        <is>
          <t>No Wikipedia article exists for him, and none was found under any variant spelling. Everything here rests on the credit of the single film.</t>
        </is>
      </c>
      <c r="I146" s="5" t="n"/>
      <c r="J146" s="5" t="inlineStr">
        <is>
          <t>With Kapoor: Abhinetri (1970).</t>
        </is>
      </c>
      <c r="K146" s="19" t="inlineStr">
        <is>
          <t>Not established from a single credit.</t>
        </is>
      </c>
      <c r="L146" s="19" t="inlineStr">
        <is>
          <t>Not established; no biographical source was located.</t>
        </is>
      </c>
      <c r="M146" s="5" t="n"/>
      <c r="N146" s="19" t="inlineStr">
        <is>
          <t>Not established.</t>
        </is>
      </c>
      <c r="O146" s="19" t="inlineStr">
        <is>
          <t>One writing credit, on Abhinetri (1970), directed, produced and written by Subodh Mukherjee (PERSON-045) with additional writing by Samir Ganguly (PERSON-021) and Ehsan Rizvi (PERSON-030). The shared surname with the director may indicate a family connection, but no source confirms it.</t>
        </is>
      </c>
      <c r="P146" s="17" t="n">
        <v>1</v>
      </c>
      <c r="Q146" s="5" t="inlineStr">
        <is>
          <t>FILM-032</t>
        </is>
      </c>
      <c r="R146" s="5" t="inlineStr">
        <is>
          <t>Abhinetri (1970), his only film with Kapoor</t>
        </is>
      </c>
      <c r="S146" s="5" t="inlineStr">
        <is>
          <t>D. N. Mukherjee shares a writing credit on Abhinetri, released in 1970 — a film directed, produced and also written by Subodh Mukherjee, with further writing credits for Samir Ganguly and Ehsan Rizvi. The shared surname with the director raises the possibility of a family connection to the Mukherjee filmmaking dynasty, but nothing found during research confirms it and it is not asserted here. No Wikipedia article exists for him under this name or the unspaced variant, and no other biographical source was located. The entry is graded Low and rests on the single film credit.</t>
        </is>
      </c>
      <c r="T146" s="5" t="inlineStr">
        <is>
          <t>SOURCE-026</t>
        </is>
      </c>
      <c r="U146" s="5" t="inlineStr">
        <is>
          <t>Low</t>
        </is>
      </c>
    </row>
    <row r="147" ht="94" customHeight="1">
      <c r="A147" s="15" t="inlineStr">
        <is>
          <t>PERSON-146</t>
        </is>
      </c>
      <c r="B147" s="5" t="inlineStr">
        <is>
          <t>D. S. Azad</t>
        </is>
      </c>
      <c r="C147" s="5" t="inlineStr">
        <is>
          <t>Director</t>
        </is>
      </c>
      <c r="D147" s="18" t="n"/>
      <c r="E147" s="18" t="n"/>
      <c r="F147" s="5" t="n"/>
      <c r="G147" s="5" t="inlineStr">
        <is>
          <t>Hindi cinema</t>
        </is>
      </c>
      <c r="H147" s="5" t="inlineStr">
        <is>
          <t>No Wikipedia article exists for him, and none was found under any variant spelling. Everything here rests on the credit of the single film.</t>
        </is>
      </c>
      <c r="I147" s="5" t="n"/>
      <c r="J147" s="5" t="inlineStr">
        <is>
          <t>With Kapoor: Ghar Bazar (1998).</t>
        </is>
      </c>
      <c r="K147" s="19" t="inlineStr">
        <is>
          <t>Not established from a single credit.</t>
        </is>
      </c>
      <c r="L147" s="19" t="inlineStr">
        <is>
          <t>Not established; no biographical source was located.</t>
        </is>
      </c>
      <c r="M147" s="5" t="n"/>
      <c r="N147" s="19" t="inlineStr">
        <is>
          <t>Not established.</t>
        </is>
      </c>
      <c r="O147" s="19" t="inlineStr">
        <is>
          <t>One directing credit, and it closes the filmography: Ghar Bazar, long delayed and released in 1998, is the last film of Kapoor's acting career, scored by Usha Khanna (PERSON-047). After it he stopped acting.</t>
        </is>
      </c>
      <c r="P147" s="17" t="n">
        <v>1</v>
      </c>
      <c r="Q147" s="5" t="inlineStr">
        <is>
          <t>FILM-151</t>
        </is>
      </c>
      <c r="R147" s="5" t="inlineStr">
        <is>
          <t>Ghar Bazar (1998), the last film of Kapoor's career</t>
        </is>
      </c>
      <c r="S147" s="5" t="inlineStr">
        <is>
          <t>D. S. Azad directed Ghar Bazar, the final film of Shashi Kapoor's acting career. Released in 1998 after a long delay and scored by Usha Khanna, it closes a filmography that had begun fifty years earlier with Aag, and Kapoor did not act again. The symmetry is worth noting: the first film was directed by his brother Raj Kapoor and is among the best-documented in Indian cinema, while the last was directed by a man for whom no biographical record survives at all — no Wikipedia article under this name or any variant attempted in research, and no other source located. The entry is graded Low and rests on the single film credit.</t>
        </is>
      </c>
      <c r="T147" s="5" t="inlineStr">
        <is>
          <t>SOURCE-126</t>
        </is>
      </c>
      <c r="U147" s="5" t="inlineStr">
        <is>
          <t>Low</t>
        </is>
      </c>
    </row>
    <row r="148" ht="94" customHeight="1">
      <c r="A148" s="15" t="inlineStr">
        <is>
          <t>PERSON-147</t>
        </is>
      </c>
      <c r="B148" s="5" t="inlineStr">
        <is>
          <t>Daan Singh</t>
        </is>
      </c>
      <c r="C148" s="5" t="inlineStr">
        <is>
          <t>Song composer</t>
        </is>
      </c>
      <c r="D148" s="18" t="n"/>
      <c r="E148" s="18" t="n"/>
      <c r="F148" s="5" t="n"/>
      <c r="G148" s="5" t="inlineStr">
        <is>
          <t>Hindi cinema</t>
        </is>
      </c>
      <c r="H148" s="5" t="inlineStr">
        <is>
          <t>No Wikipedia article exists for him, and none was found under any variant spelling. Everything here rests on the credit of the single film.</t>
        </is>
      </c>
      <c r="I148" s="5" t="n"/>
      <c r="J148" s="5" t="inlineStr">
        <is>
          <t>With Kapoor: My Love (1970).</t>
        </is>
      </c>
      <c r="K148" s="19" t="inlineStr">
        <is>
          <t>Not established from a single credit.</t>
        </is>
      </c>
      <c r="L148" s="19" t="inlineStr">
        <is>
          <t>Not established; no biographical source was located.</t>
        </is>
      </c>
      <c r="M148" s="5" t="n"/>
      <c r="N148" s="19" t="inlineStr">
        <is>
          <t>Not established.</t>
        </is>
      </c>
      <c r="O148" s="19" t="inlineStr">
        <is>
          <t>One song-composing credit, on My Love (1970), an English-titled Hindi film from the period immediately after Kapoor's rise to stardom.</t>
        </is>
      </c>
      <c r="P148" s="17" t="n">
        <v>1</v>
      </c>
      <c r="Q148" s="5" t="inlineStr">
        <is>
          <t>FILM-034</t>
        </is>
      </c>
      <c r="R148" s="5" t="inlineStr">
        <is>
          <t>My Love (1970), his only film with Kapoor</t>
        </is>
      </c>
      <c r="S148" s="5" t="inlineStr">
        <is>
          <t>Daan Singh composed the songs for My Love, released in 1970, his only credit in this filmography. The film comes from the stretch immediately following Shashi Kapoor's rise to stardom, when he was working steadily across a mix of romantic vehicles and ensemble pictures. No Wikipedia article exists for Singh under this name or any variant attempted during research, and no other biographical source was located, so nothing can be established about his wider output, his dates or his training. The entry is graded Low and rests on the single film credit.</t>
        </is>
      </c>
      <c r="T148" s="5" t="inlineStr">
        <is>
          <t>SOURCE-027</t>
        </is>
      </c>
      <c r="U148" s="5" t="inlineStr">
        <is>
          <t>Low</t>
        </is>
      </c>
    </row>
    <row r="149" ht="79" customHeight="1">
      <c r="A149" s="15" t="inlineStr">
        <is>
          <t>PERSON-148</t>
        </is>
      </c>
      <c r="B149" s="5" t="inlineStr">
        <is>
          <t>Dalwinder Sohal</t>
        </is>
      </c>
      <c r="C149" s="5" t="inlineStr">
        <is>
          <t>Producer</t>
        </is>
      </c>
      <c r="D149" s="18" t="n"/>
      <c r="E149" s="18" t="n"/>
      <c r="F149" s="5" t="n"/>
      <c r="G149" s="5" t="inlineStr">
        <is>
          <t>Hindi cinema</t>
        </is>
      </c>
      <c r="H149" s="5" t="inlineStr">
        <is>
          <t>No Wikipedia article exists for him, and none was found under any variant spelling. Everything here rests on the credit of the single film.</t>
        </is>
      </c>
      <c r="I149" s="5" t="n"/>
      <c r="J149" s="5" t="inlineStr">
        <is>
          <t>With Kapoor: Farz Ki Jung (1989).</t>
        </is>
      </c>
      <c r="K149" s="19" t="inlineStr">
        <is>
          <t>Not established from a single credit.</t>
        </is>
      </c>
      <c r="L149" s="19" t="inlineStr">
        <is>
          <t>Not applicable; no biographical source was located.</t>
        </is>
      </c>
      <c r="M149" s="5" t="n"/>
      <c r="N149" s="19" t="inlineStr">
        <is>
          <t>Not established.</t>
        </is>
      </c>
      <c r="O149" s="19" t="inlineStr">
        <is>
          <t>One producing credit, on Farz Ki Jung (1989), written by Amrit Aryan (PERSON-098) and scored by Bappi Lahiri (PERSON-004), a late action picture in which Kapoor appears in support.</t>
        </is>
      </c>
      <c r="P149" s="17" t="n">
        <v>1</v>
      </c>
      <c r="Q149" s="5" t="inlineStr">
        <is>
          <t>FILM-141</t>
        </is>
      </c>
      <c r="R149" s="5" t="inlineStr">
        <is>
          <t>Farz Ki Jung (1989), his only film with Kapoor</t>
        </is>
      </c>
      <c r="S149" s="5" t="inlineStr">
        <is>
          <t>Dalwinder Sohal produced Farz Ki Jung in 1989, his only credit in this filmography — a late commercial action film written by Amrit Aryan and scored by Bappi Lahiri, from the period in which Shashi Kapoor was appearing in support of younger leads. No Wikipedia article exists for Sohal under this name or any variant attempted during research, and no other biographical source was located, so nothing can be said about his other productions. The entry is graded Low and rests on the single film credit.</t>
        </is>
      </c>
      <c r="T149" s="5" t="inlineStr">
        <is>
          <t>SOURCE-115</t>
        </is>
      </c>
      <c r="U149" s="5" t="inlineStr">
        <is>
          <t>Low</t>
        </is>
      </c>
    </row>
    <row r="150" ht="109" customHeight="1">
      <c r="A150" s="15" t="inlineStr">
        <is>
          <t>PERSON-149</t>
        </is>
      </c>
      <c r="B150" s="5" t="inlineStr">
        <is>
          <t>Debabrata Sengupta</t>
        </is>
      </c>
      <c r="C150" s="5" t="inlineStr">
        <is>
          <t>Writer</t>
        </is>
      </c>
      <c r="D150" s="18" t="n"/>
      <c r="E150" s="18" t="n"/>
      <c r="F150" s="5" t="n"/>
      <c r="G150" s="5" t="inlineStr">
        <is>
          <t>Hindi and Bengali cinema</t>
        </is>
      </c>
      <c r="H150" s="5" t="inlineStr">
        <is>
          <t>No Wikipedia article exists for him, and none was found under any variant spelling. Everything here rests on the credit of the single film.</t>
        </is>
      </c>
      <c r="I150" s="5" t="n"/>
      <c r="J150" s="5" t="inlineStr">
        <is>
          <t>With Kapoor: Prem Patra (1962).</t>
        </is>
      </c>
      <c r="K150" s="19" t="inlineStr">
        <is>
          <t>Not established from a single credit.</t>
        </is>
      </c>
      <c r="L150" s="19" t="inlineStr">
        <is>
          <t>Not established; no biographical source was located.</t>
        </is>
      </c>
      <c r="M150" s="5" t="n"/>
      <c r="N150" s="19" t="inlineStr">
        <is>
          <t>Not established.</t>
        </is>
      </c>
      <c r="O150" s="19" t="inlineStr">
        <is>
          <t>One writing credit, on Prem Patra (1962), directed and produced by Bimal Roy (PERSON-124) and written with Salil Chowdhury (PERSON-042), Rajinder Krishan and Nitan Bhattacharya. It is among Kapoor's early adult films and the most distinguished production of that uncertain period.</t>
        </is>
      </c>
      <c r="P150" s="17" t="n">
        <v>1</v>
      </c>
      <c r="Q150" s="5" t="inlineStr">
        <is>
          <t>FILM-008</t>
        </is>
      </c>
      <c r="R150" s="5" t="inlineStr">
        <is>
          <t>Prem Patra (1962), his only film with Kapoor</t>
        </is>
      </c>
      <c r="S150" s="5" t="inlineStr">
        <is>
          <t>Debabrata Sengupta shares a writing credit on Prem Patra, released in 1962 — the Bimal Roy film that gave Shashi Kapoor his most distinguished director of the years before stardom, with Salil Chowdhury, Rajinder Krishan and Nitan Bhattacharya also credited on the script. The Bengali name suggests a writer drawn from Roy's Calcutta circle, which is consistent with how he staffed his productions, but nothing found in research confirms it. No Wikipedia article exists under this name or any variant attempted, and no other biographical source was located. The entry is graded Low and rests on the single film credit.</t>
        </is>
      </c>
      <c r="T150" s="5" t="inlineStr">
        <is>
          <t>SOURCE-007</t>
        </is>
      </c>
      <c r="U150" s="5" t="inlineStr">
        <is>
          <t>Low</t>
        </is>
      </c>
    </row>
    <row r="151" ht="124" customHeight="1">
      <c r="A151" s="15" t="inlineStr">
        <is>
          <t>PERSON-150</t>
        </is>
      </c>
      <c r="B151" s="5" t="inlineStr">
        <is>
          <t>Deepak Shivdasani</t>
        </is>
      </c>
      <c r="C151" s="5" t="inlineStr">
        <is>
          <t>Producer</t>
        </is>
      </c>
      <c r="D151" s="18" t="n"/>
      <c r="E151" s="18" t="n"/>
      <c r="F151" s="5" t="inlineStr">
        <is>
          <t>1982–2017</t>
        </is>
      </c>
      <c r="G151" s="5" t="inlineStr">
        <is>
          <t>Hindi cinema</t>
        </is>
      </c>
      <c r="H151" s="5" t="inlineStr">
        <is>
          <t>An Indian film director and producer. His article gives no birth date and is candid about his commercial record: it states that his films were not successful and that many were termed box-office disasters, and quotes a 2017 social-media post in which he acknowledged owing money to technicians and vendors after the failure of Julie 2.</t>
        </is>
      </c>
      <c r="I151" s="5" t="inlineStr">
        <is>
          <t>Working from 1982.</t>
        </is>
      </c>
      <c r="J151" s="5" t="inlineStr">
        <is>
          <t>With Kapoor: Bhavani Junction (1985). Elsewhere, as director: Ladaai (1989), Baaghi: A Rebel for Love (1990), Bhai, Gopi Kishan, Krishna, Pehchaan (1997) and Julie 2 (2017).</t>
        </is>
      </c>
      <c r="K151" s="19" t="inlineStr">
        <is>
          <t>Commercial action and romantic melodrama.</t>
        </is>
      </c>
      <c r="L151" s="19" t="inlineStr">
        <is>
          <t>Not assessed in the article beyond the record of box-office failure.</t>
        </is>
      </c>
      <c r="M151" s="5" t="n"/>
      <c r="N151" s="19" t="inlineStr">
        <is>
          <t>Not established; his article is unusually frank about a career of commercial disappointment.</t>
        </is>
      </c>
      <c r="O151" s="19" t="inlineStr">
        <is>
          <t>One producing credit, on Bhavani Junction (1985), directed by H. Dinesh (PERSON-175), written by Jainendra Jain (PERSON-066) and scored by Bappi Lahiri (PERSON-004). He shares a surname with Shyam Sunder Shivdasani (PERSON-043), who produced three Kapoor films in the 1970s, but no source confirms a relationship and none is asserted here.</t>
        </is>
      </c>
      <c r="P151" s="17" t="n">
        <v>1</v>
      </c>
      <c r="Q151" s="5" t="inlineStr">
        <is>
          <t>FILM-119</t>
        </is>
      </c>
      <c r="R151" s="5" t="inlineStr">
        <is>
          <t>Bhavani Junction (1985), his only film with Kapoor</t>
        </is>
      </c>
      <c r="S151" s="5" t="inlineStr">
        <is>
          <t>Deepak Shivdasani produced Bhavani Junction in 1985, his only credit in this filmography, working with the director H. Dinesh, the writer Jainendra Jain and the composer Bappi Lahiri. He went on to direct Baaghi: A Rebel for Love with Salman Khan in 1990 and a run of pictures with Sunil Shetty in the 1990s, though his Wikipedia article is unusually blunt about the outcome, stating that his films were not successful and that many were termed box-office disasters; it quotes his own public acknowledgement, after Julie 2 in 2017, of money owed to technicians and vendors. He shares a surname with Shyam Sunder Shivdasani, who produced three Kapoor films in the 1970s, but no connection between them was established.</t>
        </is>
      </c>
      <c r="T151" s="5" t="inlineStr">
        <is>
          <t>SOURCE-218</t>
        </is>
      </c>
      <c r="U151" s="5" t="inlineStr">
        <is>
          <t>Medium</t>
        </is>
      </c>
    </row>
    <row r="152" ht="139" customHeight="1">
      <c r="A152" s="15" t="inlineStr">
        <is>
          <t>PERSON-151</t>
        </is>
      </c>
      <c r="B152" s="5" t="inlineStr">
        <is>
          <t>Desh Mukherjee</t>
        </is>
      </c>
      <c r="C152" s="5" t="inlineStr">
        <is>
          <t>Director</t>
        </is>
      </c>
      <c r="D152" s="18" t="n"/>
      <c r="E152" s="18" t="n"/>
      <c r="F152" s="5" t="n"/>
      <c r="G152" s="5" t="inlineStr">
        <is>
          <t>Hindi cinema</t>
        </is>
      </c>
      <c r="H152" s="5" t="inlineStr">
        <is>
          <t>No Wikipedia article exists for him, and none was found under any variant spelling. Everything here rests on the credit of the single film — a notable gap, given the standing of the film's other credits.</t>
        </is>
      </c>
      <c r="I152" s="5" t="n"/>
      <c r="J152" s="5" t="inlineStr">
        <is>
          <t>With Kapoor: Immaan Dharam (1977).</t>
        </is>
      </c>
      <c r="K152" s="19" t="inlineStr">
        <is>
          <t>Not established from a single credit.</t>
        </is>
      </c>
      <c r="L152" s="19" t="inlineStr">
        <is>
          <t>Not established; no biographical source was located.</t>
        </is>
      </c>
      <c r="M152" s="5" t="n"/>
      <c r="N152" s="19" t="inlineStr">
        <is>
          <t>Not established, despite having directed a major Salim–Javed script.</t>
        </is>
      </c>
      <c r="O152" s="19" t="inlineStr">
        <is>
          <t>One directing credit, on Immaan Dharam (1977), written by Salim–Javed (PERSON-010), produced by Premji under the Suchitra Films banner and scored by Laxmikant–Pyarelal (PERSON-001). It is one of the six Salim–Javed films in this filmography and part of the multi-starrer cycle that defines Kapoor's peak, which makes the absence of any record of its director striking.</t>
        </is>
      </c>
      <c r="P152" s="17" t="n">
        <v>1</v>
      </c>
      <c r="Q152" s="5" t="inlineStr">
        <is>
          <t>FILM-067</t>
        </is>
      </c>
      <c r="R152" s="5" t="inlineStr">
        <is>
          <t>Immaan Dharam (1977), his only film with Kapoor</t>
        </is>
      </c>
      <c r="S152" s="5" t="inlineStr">
        <is>
          <t>Desh Mukherjee directed Immaan Dharam in 1977, one of the six Salim–Javed films in this filmography and a substantial entry in the multi-starrer cycle that carried Shashi Kapoor's peak years; Laxmikant–Pyarelal scored it and Premji produced. For a director handed a script by the most celebrated writing team in Hindi cinema, the biographical record is remarkably thin: no Wikipedia article exists under this name or any variant attempted during research, and no other source was located. The pattern recurs across this sheet, where the writers and composers of major films are usually documented and their directors and producers frequently are not. The entry is graded Low.</t>
        </is>
      </c>
      <c r="T152" s="5" t="inlineStr">
        <is>
          <t>SOURCE-052</t>
        </is>
      </c>
      <c r="U152" s="5" t="inlineStr">
        <is>
          <t>Low</t>
        </is>
      </c>
    </row>
    <row r="153" ht="124" customHeight="1">
      <c r="A153" s="15" t="inlineStr">
        <is>
          <t>PERSON-152</t>
        </is>
      </c>
      <c r="B153" s="5" t="inlineStr">
        <is>
          <t>Devar Films</t>
        </is>
      </c>
      <c r="C153" s="5" t="inlineStr">
        <is>
          <t>Production banner</t>
        </is>
      </c>
      <c r="D153" s="18" t="n"/>
      <c r="E153" s="18" t="n"/>
      <c r="F153" s="5" t="inlineStr">
        <is>
          <t>1940–1978</t>
        </is>
      </c>
      <c r="G153" s="5" t="inlineStr">
        <is>
          <t>Tamil and Hindi cinema</t>
        </is>
      </c>
      <c r="H153" s="5" t="inlineStr">
        <is>
          <t>The banner under which the producer Sandow M. M. A. Chinnappa Thevar (PERSON-081) launched all his films. It has no Wikipedia article of its own; the source here is Thevar's article, which covers the company, and the entry is graded accordingly.</t>
        </is>
      </c>
      <c r="I153" s="5" t="inlineStr">
        <is>
          <t>Producing from 1940.</t>
        </is>
      </c>
      <c r="J153" s="5" t="inlineStr">
        <is>
          <t>With Kapoor: Do Aur Do Paanch (1980). Elsewhere: Haathi Mere Saathi (1971), the Rajesh Khanna hit that brought the banner national attention, and sixteen films with M. G. Ramachandran.</t>
        </is>
      </c>
      <c r="K153" s="19" t="inlineStr">
        <is>
          <t>Films built around animals — the specialism for which Thevar and the banner are best known — and star vehicles in Tamil.</t>
        </is>
      </c>
      <c r="L153" s="19" t="inlineStr">
        <is>
          <t>Not applicable; a production company.</t>
        </is>
      </c>
      <c r="M153" s="5" t="n"/>
      <c r="N153" s="19" t="inlineStr">
        <is>
          <t>One of the major Tamil production houses of its era, and the banner that carried the animal picture into mainstream Hindi cinema.</t>
        </is>
      </c>
      <c r="O153" s="19" t="inlineStr">
        <is>
          <t>One banner credit, on Do Aur Do Paanch (1980), the caper pairing Kapoor with Amitabh Bachchan. The credit is posthumous in effect: Thevar died in September 1978, two years before the film's release. The closely related Dhandayuthapani Films (PERSON-154) appears on the other Thevar production in this filmography.</t>
        </is>
      </c>
      <c r="P153" s="17" t="n">
        <v>1</v>
      </c>
      <c r="Q153" s="5" t="inlineStr">
        <is>
          <t>FILM-092</t>
        </is>
      </c>
      <c r="R153" s="5" t="inlineStr">
        <is>
          <t>Do Aur Do Paanch (1980), its only film with Kapoor</t>
        </is>
      </c>
      <c r="S153" s="5" t="inlineStr">
        <is>
          <t>Devar Films is the banner on Do Aur Do Paanch, the 1980 caper in which Shashi Kapoor and Amitabh Bachchan play rivals, and the credit outlived its founder: Sandow M. M. A. Chinnappa Thevar, who launched all his films under this name, had died in September 1978. The company was among the significant Tamil production houses of its time, making sixteen films with M. G. Ramachandran and specialising in pictures built around animals — a formula it carried into Hindi with Haathi Mere Saathi in 1971, a major success for Rajesh Khanna. Devar Films has no Wikipedia article of its own, so this entry draws on Thevar's, and is graded Medium for that reason. The related banner Dhandayuthapani Films appears separately in this sheet.</t>
        </is>
      </c>
      <c r="T153" s="5" t="inlineStr">
        <is>
          <t>SOURCE-219</t>
        </is>
      </c>
      <c r="U153" s="5" t="inlineStr">
        <is>
          <t>Medium</t>
        </is>
      </c>
    </row>
    <row r="154" ht="124" customHeight="1">
      <c r="A154" s="15" t="inlineStr">
        <is>
          <t>PERSON-153</t>
        </is>
      </c>
      <c r="B154" s="5" t="inlineStr">
        <is>
          <t>Devendra Goel</t>
        </is>
      </c>
      <c r="C154" s="5" t="inlineStr">
        <is>
          <t>Director</t>
        </is>
      </c>
      <c r="D154" s="17" t="n">
        <v>1919</v>
      </c>
      <c r="E154" s="17" t="n">
        <v>1979</v>
      </c>
      <c r="F154" s="5" t="inlineStr">
        <is>
          <t>1950–1978</t>
        </is>
      </c>
      <c r="G154" s="5" t="inlineStr">
        <is>
          <t>Hindi and Marathi cinema</t>
        </is>
      </c>
      <c r="H154" s="5" t="inlineStr">
        <is>
          <t>Born 3 March 1919; died 26 February 1979. A film director and producer best known for his work in the 1950s and early 1960s. His son Ajay Goel was also a filmmaker.</t>
        </is>
      </c>
      <c r="I154" s="5" t="inlineStr">
        <is>
          <t>Aankhen, his first film as director.</t>
        </is>
      </c>
      <c r="J154" s="5" t="inlineStr">
        <is>
          <t>With Kapoor: Do Musafir (1978). Elsewhere: Ek Saal (1957) with Madhubala, Dus Lakh, and the Marathi film Dost Asava Tar Asa.</t>
        </is>
      </c>
      <c r="K154" s="19" t="inlineStr">
        <is>
          <t>Mainstream romantic and family drama of the 1950s and 1960s.</t>
        </is>
      </c>
      <c r="L154" s="19" t="inlineStr">
        <is>
          <t>Not assessed in the article.</t>
        </is>
      </c>
      <c r="M154" s="5" t="inlineStr">
        <is>
          <t>A Silver Jubilee Award for Dus Lakh.</t>
        </is>
      </c>
      <c r="N154" s="19" t="inlineStr">
        <is>
          <t>A commercially reliable director of the 1950s and early 1960s who also worked in Marathi.</t>
        </is>
      </c>
      <c r="O154" s="19" t="inlineStr">
        <is>
          <t>One film, Do Musafir (1978), scored by Kalyanji–Anandji (PERSON-002) — a late credit for Goel, made some two decades after the period of his greatest success and a year before his death. It falls in the most crowded stretch of Kapoor's filmography. His article does not mention Kapoor.</t>
        </is>
      </c>
      <c r="P154" s="17" t="n">
        <v>1</v>
      </c>
      <c r="Q154" s="5" t="inlineStr">
        <is>
          <t>FILM-071</t>
        </is>
      </c>
      <c r="R154" s="5" t="inlineStr">
        <is>
          <t>Do Musafir (1978), his only film with Kapoor</t>
        </is>
      </c>
      <c r="S154" s="5" t="inlineStr">
        <is>
          <t>Devendra Goel directed Do Musafir in 1978, his only film with Shashi Kapoor and one of his last: he died in February 1979, a year after its release, and his article dates his working life from 1950 to 1978. The credit comes well after his best period. Born on 3 March 1919, Goel made his name in the 1950s and early 1960s — he directed Aankhen on his debut, then the hit Ek Saal in 1957 with Madhubala, and Dus Lakh, which brought him a Silver Jubilee Award — and also worked in Marathi, directing Dost Asava Tar Asa with Ramesh Deo and Deven Varma. Do Musafir, produced by Rabindranath Kumar and scored by Kalyanji–Anandji, belongs to the year of Kapoor's heaviest output, when he appeared in a string of releases and the pace left little room for selection on either side. His son Ajay Goel also became a filmmaker. His article does not mention Kapoor.</t>
        </is>
      </c>
      <c r="T154" s="5" t="inlineStr">
        <is>
          <t>SOURCE-220</t>
        </is>
      </c>
      <c r="U154" s="5" t="inlineStr">
        <is>
          <t>High</t>
        </is>
      </c>
    </row>
    <row r="155" ht="109" customHeight="1">
      <c r="A155" s="15" t="inlineStr">
        <is>
          <t>PERSON-154</t>
        </is>
      </c>
      <c r="B155" s="5" t="inlineStr">
        <is>
          <t>Dhandayuthapani Films</t>
        </is>
      </c>
      <c r="C155" s="5" t="inlineStr">
        <is>
          <t>Production banner</t>
        </is>
      </c>
      <c r="D155" s="18" t="n"/>
      <c r="E155" s="18" t="n"/>
      <c r="F155" s="5" t="n"/>
      <c r="G155" s="5" t="inlineStr">
        <is>
          <t>Tamil and Hindi cinema</t>
        </is>
      </c>
      <c r="H155" s="5" t="inlineStr">
        <is>
          <t>A banner associated with the producer Sandow M. M. A. Chinnappa Thevar (PERSON-081). It has no Wikipedia article of its own; the source here is Thevar's article, which covers his production companies, and the entry is graded accordingly.</t>
        </is>
      </c>
      <c r="I155" s="5" t="inlineStr">
        <is>
          <t>Not separately recorded; Thevar produced from 1940.</t>
        </is>
      </c>
      <c r="J155" s="5" t="inlineStr">
        <is>
          <t>With Kapoor: Jaanwar Aur Insaan (1972).</t>
        </is>
      </c>
      <c r="K155" s="19" t="inlineStr">
        <is>
          <t>The animal picture, Thevar's identifying specialism.</t>
        </is>
      </c>
      <c r="L155" s="19" t="inlineStr">
        <is>
          <t>Not applicable; a production company.</t>
        </is>
      </c>
      <c r="M155" s="5" t="n"/>
      <c r="N155" s="19" t="inlineStr">
        <is>
          <t>Not established independently of its founder.</t>
        </is>
      </c>
      <c r="O155" s="19" t="inlineStr">
        <is>
          <t>One banner credit, on Jaanwar Aur Insaan (1972), directed by Tapi Chanakya (PERSON-137), produced and co-written by Thevar himself, written also by Inder Raj Anand (PERSON-014) and scored by Kalyanji–Anandji (PERSON-002). The subject matches the banner's animal specialism exactly.</t>
        </is>
      </c>
      <c r="P155" s="17" t="n">
        <v>1</v>
      </c>
      <c r="Q155" s="5" t="inlineStr">
        <is>
          <t>FILM-040</t>
        </is>
      </c>
      <c r="R155" s="5" t="inlineStr">
        <is>
          <t>Jaanwar Aur Insaan (1972), its only film with Kapoor</t>
        </is>
      </c>
      <c r="S155" s="5" t="inlineStr">
        <is>
          <t>Dhandayuthapani Films is the banner on Jaanwar Aur Insaan, released in 1972 — a Shashi Kapoor film directed by Tapi Chanakya, produced and co-written by Sandow M. M. A. Chinnappa Thevar, and scored by Kalyanji–Anandji. Its title alone signals the specialism that made Thevar's name: films built around animals, a formula he had carried into Hindi the previous year with Haathi Mere Saathi. The banner has no Wikipedia article of its own and is documented here from Thevar's, alongside the related Devar Films, which appears separately in this sheet on his other Kapoor production. The entry is graded Medium on that basis.</t>
        </is>
      </c>
      <c r="T155" s="5" t="inlineStr">
        <is>
          <t>SOURCE-221</t>
        </is>
      </c>
      <c r="U155" s="5" t="inlineStr">
        <is>
          <t>Medium</t>
        </is>
      </c>
    </row>
    <row r="156" ht="139" customHeight="1">
      <c r="A156" s="15" t="inlineStr">
        <is>
          <t>PERSON-155</t>
        </is>
      </c>
      <c r="B156" s="5" t="inlineStr">
        <is>
          <t>Dilip Chitre</t>
        </is>
      </c>
      <c r="C156" s="5" t="inlineStr">
        <is>
          <t>Writer</t>
        </is>
      </c>
      <c r="D156" s="17" t="n">
        <v>1938</v>
      </c>
      <c r="E156" s="17" t="n">
        <v>2009</v>
      </c>
      <c r="F156" s="5" t="n"/>
      <c r="G156" s="5" t="inlineStr">
        <is>
          <t>Marathi and English literature; Indian parallel cinema</t>
        </is>
      </c>
      <c r="H156" s="5" t="inlineStr">
        <is>
          <t>Born Dilip Purushottam Chitre on 17 September 1938; died 10 December 2009. One of the foremost Indian poets and critics to emerge after independence, a bilingual writer in Marathi and English who was also a teacher, painter, filmmaker and magazine columnist.</t>
        </is>
      </c>
      <c r="I156" s="5" t="inlineStr">
        <is>
          <t>Established first as a poet; his film work is occasional.</t>
        </is>
      </c>
      <c r="J156" s="5" t="inlineStr">
        <is>
          <t>With Kapoor: Vijeta (1982). Elsewhere: his own film Godam, and a large body of Marathi and English poetry, translation and criticism.</t>
        </is>
      </c>
      <c r="K156" s="19" t="inlineStr">
        <is>
          <t>The interior life of the modern Indian city; translation between languages and traditions.</t>
        </is>
      </c>
      <c r="L156" s="19" t="inlineStr">
        <is>
          <t>A poet and translator whose screen work carries the same concern with precise language.</t>
        </is>
      </c>
      <c r="M156" s="5" t="inlineStr">
        <is>
          <t>Several Maharashtra State Awards; the Prix Special du Jury for his film Godam at the Festival des Trois Continents in 1984; fellowships including the University of Iowa's International Writing Program, the Indira Gandhi Fellowship and the Villa Waldberta Fellowship from the City of Munich.</t>
        </is>
      </c>
      <c r="N156" s="19" t="inlineStr">
        <is>
          <t>A major figure in post-independence Marathi and Indian English poetry.</t>
        </is>
      </c>
      <c r="O156" s="19" t="inlineStr">
        <is>
          <t>One writing credit, on Vijeta (1982), directed by Govind Nihalani (PERSON-170) and produced by Kapoor through Film-Valas, with Kapoor's son Kunal in the lead. It belongs to the parallel-cinema slate Kapoor financed between 1979 and 1984, and is another instance of that programme drawing serious literary figures — Chitre, Girish Karnad, Satyadev Dubey, Ismat Chughtai — into his films.</t>
        </is>
      </c>
      <c r="P156" s="17" t="n">
        <v>1</v>
      </c>
      <c r="Q156" s="5" t="inlineStr">
        <is>
          <t>FILM-103</t>
        </is>
      </c>
      <c r="R156" s="5" t="inlineStr">
        <is>
          <t>Vijeta (1982), his only film with Kapoor</t>
        </is>
      </c>
      <c r="S156" s="5" t="inlineStr">
        <is>
          <t>Dilip Chitre wrote Vijeta, released in 1982, directed by Govind Nihalani and produced by Shashi Kapoor through Film-Valas, with Kapoor's son Kunal in the leading role and Kapoor himself in support. It is a characteristic product of the programme he financed between 1979 and 1984, which repeatedly drew writers of serious literary standing into his films — Chitre here, alongside Girish Karnad, Satyadev Dubey and Ismat Chughtai elsewhere in this sheet. Chitre, born in 1938, was among the foremost poets and critics to emerge in post-independence India, writing in both Marathi and English, and also worked as painter, translator and filmmaker; his own film Godam won the Prix Special du Jury at the Festival des Trois Continents in 1984. He died in 2009.</t>
        </is>
      </c>
      <c r="T156" s="5" t="inlineStr">
        <is>
          <t>SOURCE-222</t>
        </is>
      </c>
      <c r="U156" s="5" t="inlineStr">
        <is>
          <t>High</t>
        </is>
      </c>
    </row>
    <row r="157" ht="139" customHeight="1">
      <c r="A157" s="15" t="inlineStr">
        <is>
          <t>PERSON-156</t>
        </is>
      </c>
      <c r="B157" s="5" t="inlineStr">
        <is>
          <t>Donald Rosenfeld</t>
        </is>
      </c>
      <c r="C157" s="5" t="inlineStr">
        <is>
          <t>Producer</t>
        </is>
      </c>
      <c r="D157" s="18" t="n"/>
      <c r="E157" s="18" t="n"/>
      <c r="F157" s="5" t="n"/>
      <c r="G157" s="5" t="inlineStr">
        <is>
          <t>English-language international cinema</t>
        </is>
      </c>
      <c r="H157" s="5" t="inlineStr">
        <is>
          <t>An American film producer who was president of Merchant Ivory Productions (PERSON-073) from 1986 to 1998 and lead producer on the company's major films of what is now considered its golden decade, working alongside Ismail Merchant (PERSON-006), James Ivory (PERSON-015) and Ruth Prawer Jhabvala (PERSON-019). He is now publisher of County Highway, a magazine in the form of a nineteenth-century newspaper.</t>
        </is>
      </c>
      <c r="I157" s="5" t="inlineStr">
        <is>
          <t>Producing for Merchant Ivory from 1986.</t>
        </is>
      </c>
      <c r="J157" s="5" t="inlineStr">
        <is>
          <t>With Kapoor: In Custody (1993). Elsewhere: Mr. and Mrs. Bridge, Howards End, which received eight Academy Award nominations, and The Remains of the Day, which received nine.</t>
        </is>
      </c>
      <c r="K157" s="19" t="inlineStr">
        <is>
          <t>Literary adaptation and period drama.</t>
        </is>
      </c>
      <c r="L157" s="19" t="inlineStr">
        <is>
          <t>Not applicable; a producer and studio executive.</t>
        </is>
      </c>
      <c r="M157" s="5" t="inlineStr">
        <is>
          <t>In 1992 he became the youngest producer ever admitted to membership of the Academy of Motion Picture Arts and Sciences.</t>
        </is>
      </c>
      <c r="N157" s="19" t="inlineStr">
        <is>
          <t>The producer who ran Merchant Ivory through its most commercially and critically successful period.</t>
        </is>
      </c>
      <c r="O157" s="19" t="inlineStr">
        <is>
          <t>One producing credit, on In Custody (1993), Ismail Merchant's directorial debut, in which Kapoor plays the failing Urdu poet Nur — among the most admired performances of his late career and the source of National Film Award recognition. Rosenfeld was president of Merchant Ivory at the time, so the credit places Kapoor's last major role inside the company's strongest years.</t>
        </is>
      </c>
      <c r="P157" s="17" t="n">
        <v>1</v>
      </c>
      <c r="Q157" s="5" t="inlineStr">
        <is>
          <t>FILM-148</t>
        </is>
      </c>
      <c r="R157" s="5" t="inlineStr">
        <is>
          <t>In Custody (1993), his only film with Kapoor</t>
        </is>
      </c>
      <c r="S157" s="5" t="inlineStr">
        <is>
          <t>Donald Rosenfeld produced In Custody, the 1993 film in which Shashi Kapoor gave one of the finest performances of his late career as a dissipated Urdu poet, and which brought him National Film Award recognition. Rosenfeld was then president of Merchant Ivory Productions, a post he held from 1986 to 1998, and was lead producer on the films of the company's strongest decade — Mr. and Mrs. Bridge, Howards End with its eight Academy Award nominations, and The Remains of the Day with nine. In 1992 he became the youngest producer ever elected to the Academy of Motion Picture Arts and Sciences. He now publishes County Highway, a magazine designed as a nineteenth-century newspaper. His article does not mention Kapoor.</t>
        </is>
      </c>
      <c r="T157" s="5" t="inlineStr">
        <is>
          <t>SOURCE-223</t>
        </is>
      </c>
      <c r="U157" s="5" t="inlineStr">
        <is>
          <t>High</t>
        </is>
      </c>
    </row>
    <row r="158" ht="139" customHeight="1">
      <c r="A158" s="15" t="inlineStr">
        <is>
          <t>PERSON-157</t>
        </is>
      </c>
      <c r="B158" s="5" t="inlineStr">
        <is>
          <t>Essel Studios</t>
        </is>
      </c>
      <c r="C158" s="5" t="inlineStr">
        <is>
          <t>Production banner (studio facility)</t>
        </is>
      </c>
      <c r="D158" s="18" t="n"/>
      <c r="E158" s="18" t="n"/>
      <c r="F158" s="5" t="n"/>
      <c r="G158" s="5" t="inlineStr">
        <is>
          <t>Hindi cinema</t>
        </is>
      </c>
      <c r="H158" s="5" t="inlineStr">
        <is>
          <t>No Wikipedia article exists for this studio. Everything here rests on the credit of the single film.</t>
        </is>
      </c>
      <c r="I158" s="5" t="n"/>
      <c r="J158" s="5" t="inlineStr">
        <is>
          <t>With Kapoor: Mukti (1977).</t>
        </is>
      </c>
      <c r="K158" s="19" t="inlineStr">
        <is>
          <t>Not applicable; a facility credit.</t>
        </is>
      </c>
      <c r="L158" s="19" t="inlineStr">
        <is>
          <t>Not applicable.</t>
        </is>
      </c>
      <c r="M158" s="5" t="n"/>
      <c r="N158" s="19" t="inlineStr">
        <is>
          <t>Not established.</t>
        </is>
      </c>
      <c r="O158" s="19" t="inlineStr">
        <is>
          <t>One banner credit, on Mukti (1977), which also carries credits for Famous Cine Studios (PERSON-160), Natraj Studios (PERSON-240), R. K. Studios (PERSON-034) and Rajkamal Kalamandir (PERSON-079) — five studio credits on a single film, which confirms that these are facility records rather than production ones. The film was directed and produced by Raj Tilak (PERSON-269).</t>
        </is>
      </c>
      <c r="P158" s="17" t="n">
        <v>1</v>
      </c>
      <c r="Q158" s="5" t="inlineStr">
        <is>
          <t>FILM-068</t>
        </is>
      </c>
      <c r="R158" s="5" t="inlineStr">
        <is>
          <t>Mukti (1977), its only film with Kapoor</t>
        </is>
      </c>
      <c r="S158" s="5" t="inlineStr">
        <is>
          <t>Essel Studios appears on Mukti, released in 1977, and the film makes the nature of such credits unmistakable: it carries five separate studio names — Essel, Famous Cine Studios, Natraj Studios, R. K. Studios and Rajkamal Kalamandir — none of which produced it, since Raj Tilak both directed and produced. These are records of where the picture was shot, spread across several rented facilities as was common practice, and this workbook keeps them distinct from production credits so that the collaboration counts are not inflated. No Wikipedia article exists for Essel Studios, and no other source was located, so nothing further can be said about it. The entry is graded Low.</t>
        </is>
      </c>
      <c r="T158" s="5" t="inlineStr">
        <is>
          <t>SOURCE-054</t>
        </is>
      </c>
      <c r="U158" s="5" t="inlineStr">
        <is>
          <t>Low</t>
        </is>
      </c>
    </row>
    <row r="159" ht="154" customHeight="1">
      <c r="A159" s="15" t="inlineStr">
        <is>
          <t>PERSON-158</t>
        </is>
      </c>
      <c r="B159" s="5" t="inlineStr">
        <is>
          <t>Evan Lurie</t>
        </is>
      </c>
      <c r="C159" s="5" t="inlineStr">
        <is>
          <t>Song composer</t>
        </is>
      </c>
      <c r="D159" s="17" t="n">
        <v>1954</v>
      </c>
      <c r="E159" s="18" t="n"/>
      <c r="F159" s="5" t="inlineStr">
        <is>
          <t>1978–present</t>
        </is>
      </c>
      <c r="G159" s="5" t="inlineStr">
        <is>
          <t>American independent cinema and music</t>
        </is>
      </c>
      <c r="H159" s="5" t="inlineStr">
        <is>
          <t>Born in 1954 in Minneapolis, Minnesota. An American composer and musician who plays piano and occasionally organ, and was a founding member of the band the Lounge Lizards with his saxophonist brother John Lurie. He began studying composition with Julius Eastman in the early 1980s and in 1985 formed a quintet to perform his compositions for bandoneon.</t>
        </is>
      </c>
      <c r="I159" s="5" t="inlineStr">
        <is>
          <t>Active from 1978 with the Lounge Lizards.</t>
        </is>
      </c>
      <c r="J159" s="5" t="inlineStr">
        <is>
          <t>With Kapoor: Side Streets (1998). Elsewhere: the recordings Pieces for Bandoneon (1987) and Selling Water by the Side of the River (1990), and music for the Nickelodeon series Oswald from 2001.</t>
        </is>
      </c>
      <c r="K159" s="19" t="inlineStr">
        <is>
          <t>Tango and bandoneon writing, downtown New York jazz, and later children's television scoring.</t>
        </is>
      </c>
      <c r="L159" s="19" t="inlineStr">
        <is>
          <t>A composer moving between avant-garde jazz, tango and film and television scoring.</t>
        </is>
      </c>
      <c r="M159" s="5" t="n"/>
      <c r="N159" s="19" t="inlineStr">
        <is>
          <t>A founding member of the Lounge Lizards, a significant band in the downtown New York scene of the late 1970s and 1980s.</t>
        </is>
      </c>
      <c r="O159" s="19" t="inlineStr">
        <is>
          <t>One song-composing credit, on Side Streets (1998), the American independent film directed by Tony Gerber that is among the last three of Kapoor's career, produced by Bruce Weiss (PERSON-133) with Ismail Merchant (PERSON-006) as executive producer.</t>
        </is>
      </c>
      <c r="P159" s="17" t="n">
        <v>1</v>
      </c>
      <c r="Q159" s="5" t="inlineStr">
        <is>
          <t>FILM-154</t>
        </is>
      </c>
      <c r="R159" s="5" t="inlineStr">
        <is>
          <t>Side Streets (1998), his only film with Kapoor</t>
        </is>
      </c>
      <c r="S159" s="5" t="inlineStr">
        <is>
          <t>Evan Lurie wrote the songs for Side Streets, released in 1998 — an American independent film directed by Tony Gerber and written with Lynn Nottage, and one of the last three credits of Shashi Kapoor's acting life, with Ismail Merchant among its executive producers. Lurie's own work lies almost entirely outside cinema. Born in Minneapolis in 1954, he was a founding member of the Lounge Lizards alongside his saxophonist brother John, one of the defining bands of the downtown New York scene of the late 1970s and 1980s, playing piano and occasionally organ. He began studying composition with Julius Eastman in the early 1980s — Eastman having approached him, his article records, with the words 'Don't you play with the Lounge Lizards? I want to meet their keyboard player' — and in 1985 formed a quintet to perform his own bandoneon compositions, recording Pieces for Bandoneon in 1987 and Selling Water by the Side of the River in 1990. From 2001 he composed for Nickelodeon, including the series Oswald.</t>
        </is>
      </c>
      <c r="T159" s="5" t="inlineStr">
        <is>
          <t>SOURCE-224</t>
        </is>
      </c>
      <c r="U159" s="5" t="inlineStr">
        <is>
          <t>High</t>
        </is>
      </c>
    </row>
    <row r="160" ht="109" customHeight="1">
      <c r="A160" s="15" t="inlineStr">
        <is>
          <t>PERSON-159</t>
        </is>
      </c>
      <c r="B160" s="5" t="inlineStr">
        <is>
          <t>Faiz Saleem</t>
        </is>
      </c>
      <c r="C160" s="5" t="inlineStr">
        <is>
          <t>Writer</t>
        </is>
      </c>
      <c r="D160" s="18" t="n"/>
      <c r="E160" s="18" t="n"/>
      <c r="F160" s="5" t="n"/>
      <c r="G160" s="5" t="inlineStr">
        <is>
          <t>Hindi cinema</t>
        </is>
      </c>
      <c r="H160" s="5" t="inlineStr">
        <is>
          <t>No Wikipedia article exists for him, and none was found under any variant spelling. Everything here rests on the credit of the single film.</t>
        </is>
      </c>
      <c r="I160" s="5" t="n"/>
      <c r="J160" s="5" t="inlineStr">
        <is>
          <t>With Kapoor: Ilzaam (1986).</t>
        </is>
      </c>
      <c r="K160" s="19" t="inlineStr">
        <is>
          <t>Not established from a single credit.</t>
        </is>
      </c>
      <c r="L160" s="19" t="inlineStr">
        <is>
          <t>Not established; no biographical source was located.</t>
        </is>
      </c>
      <c r="M160" s="5" t="n"/>
      <c r="N160" s="19" t="inlineStr">
        <is>
          <t>Not established.</t>
        </is>
      </c>
      <c r="O160" s="19" t="inlineStr">
        <is>
          <t>One writing credit, on Ilzaam (1986), directed by Shibu Mitra (PERSON-024), written also by Ram Kelkar (PERSON-037) and Rahi Masoom Reza (PERSON-035), and scored by Bappi Lahiri (PERSON-004). The film launched Govinda; Kapoor's role is the senior supporting one.</t>
        </is>
      </c>
      <c r="P160" s="17" t="n">
        <v>1</v>
      </c>
      <c r="Q160" s="5" t="inlineStr">
        <is>
          <t>FILM-123</t>
        </is>
      </c>
      <c r="R160" s="5" t="inlineStr">
        <is>
          <t>Ilzaam (1986), his only film with Kapoor</t>
        </is>
      </c>
      <c r="S160" s="5" t="inlineStr">
        <is>
          <t>Faiz Saleem shares a writing credit on Ilzaam, released in 1986 — the Shibu Mitra picture that launched Govinda's career, scored by Bappi Lahiri, with Ram Kelkar and the distinguished Urdu novelist Rahi Masoom Reza also credited on the script. Shashi Kapoor appears as the established senior figure in a film built around a newcomer, a pattern typical of his mid-1980s work. No Wikipedia article exists for Saleem under this name or any variant attempted during research, and no other biographical source was located. The entry is graded Low and rests on the single film credit.</t>
        </is>
      </c>
      <c r="T160" s="5" t="inlineStr">
        <is>
          <t>SOURCE-101</t>
        </is>
      </c>
      <c r="U160" s="5" t="inlineStr">
        <is>
          <t>Low</t>
        </is>
      </c>
    </row>
    <row r="161" ht="109" customHeight="1">
      <c r="A161" s="15" t="inlineStr">
        <is>
          <t>PERSON-160</t>
        </is>
      </c>
      <c r="B161" s="5" t="inlineStr">
        <is>
          <t>Famous Cine Studios</t>
        </is>
      </c>
      <c r="C161" s="5" t="inlineStr">
        <is>
          <t>Production banner (studio facility)</t>
        </is>
      </c>
      <c r="D161" s="18" t="n"/>
      <c r="E161" s="18" t="n"/>
      <c r="F161" s="5" t="n"/>
      <c r="G161" s="5" t="inlineStr">
        <is>
          <t>Hindi cinema</t>
        </is>
      </c>
      <c r="H161" s="5" t="inlineStr">
        <is>
          <t>No Wikipedia article exists for this studio. Everything here rests on the credit of the single film.</t>
        </is>
      </c>
      <c r="I161" s="5" t="n"/>
      <c r="J161" s="5" t="inlineStr">
        <is>
          <t>With Kapoor: Mukti (1977).</t>
        </is>
      </c>
      <c r="K161" s="19" t="inlineStr">
        <is>
          <t>Not applicable; a facility credit.</t>
        </is>
      </c>
      <c r="L161" s="19" t="inlineStr">
        <is>
          <t>Not applicable.</t>
        </is>
      </c>
      <c r="M161" s="5" t="n"/>
      <c r="N161" s="19" t="inlineStr">
        <is>
          <t>Not established.</t>
        </is>
      </c>
      <c r="O161" s="19" t="inlineStr">
        <is>
          <t>One banner credit, on Mukti (1977), one of five studio credits carried by that film alongside Essel Studios (PERSON-157), Natraj Studios (PERSON-240), R. K. Studios (PERSON-034) and Rajkamal Kalamandir (PERSON-079).</t>
        </is>
      </c>
      <c r="P161" s="17" t="n">
        <v>1</v>
      </c>
      <c r="Q161" s="5" t="inlineStr">
        <is>
          <t>FILM-068</t>
        </is>
      </c>
      <c r="R161" s="5" t="inlineStr">
        <is>
          <t>Mukti (1977), its only film with Kapoor</t>
        </is>
      </c>
      <c r="S161" s="5" t="inlineStr">
        <is>
          <t>Famous Cine Studios appears on Mukti, released in 1977, as one of five studio credits on a single film — with Essel Studios, Natraj Studios, R. K. Studios and Rajkamal Kalamandir also named. The cluster is the clearest illustration in this filmography of what such credits mean: a production moving between several rented facilities, each recorded in the production-company field, none of them the film's producer, which was Raj Tilak. This workbook keeps facility credits separate from production ones so that collaboration counts reflect creative involvement. No Wikipedia article exists for Famous Cine Studios and no other source was located; the entry is graded Low.</t>
        </is>
      </c>
      <c r="T161" s="5" t="inlineStr">
        <is>
          <t>SOURCE-054</t>
        </is>
      </c>
      <c r="U161" s="5" t="inlineStr">
        <is>
          <t>Low</t>
        </is>
      </c>
    </row>
    <row r="162" ht="94" customHeight="1">
      <c r="A162" s="15" t="inlineStr">
        <is>
          <t>PERSON-161</t>
        </is>
      </c>
      <c r="B162" s="5" t="inlineStr">
        <is>
          <t>Film Group</t>
        </is>
      </c>
      <c r="C162" s="5" t="inlineStr">
        <is>
          <t>Production banner</t>
        </is>
      </c>
      <c r="D162" s="18" t="n"/>
      <c r="E162" s="18" t="n"/>
      <c r="F162" s="5" t="n"/>
      <c r="G162" s="5" t="inlineStr">
        <is>
          <t>Hindi cinema</t>
        </is>
      </c>
      <c r="H162" s="5" t="inlineStr">
        <is>
          <t>No Wikipedia article exists for this banner, whose name as credited is generic enough to make searching unreliable. Everything here rests on the credit of the single film.</t>
        </is>
      </c>
      <c r="I162" s="5" t="n"/>
      <c r="J162" s="5" t="inlineStr">
        <is>
          <t>With Kapoor: Zameen Aasmaan (1984).</t>
        </is>
      </c>
      <c r="K162" s="19" t="inlineStr">
        <is>
          <t>Not established from a single credit.</t>
        </is>
      </c>
      <c r="L162" s="19" t="inlineStr">
        <is>
          <t>Not applicable.</t>
        </is>
      </c>
      <c r="M162" s="5" t="n"/>
      <c r="N162" s="19" t="inlineStr">
        <is>
          <t>Not established.</t>
        </is>
      </c>
      <c r="O162" s="19" t="inlineStr">
        <is>
          <t>One banner credit, on Zameen Aasmaan (1984), directed by Bharat Rangachary (PERSON-122), written by Sachin Bhowmick (PERSON-012) and Rahi Masoom Reza (PERSON-035), and scored by R. D. Burman (PERSON-003).</t>
        </is>
      </c>
      <c r="P162" s="17" t="n">
        <v>1</v>
      </c>
      <c r="Q162" s="5" t="inlineStr">
        <is>
          <t>FILM-113</t>
        </is>
      </c>
      <c r="R162" s="5" t="inlineStr">
        <is>
          <t>Zameen Aasmaan (1984), its only film with Kapoor</t>
        </is>
      </c>
      <c r="S162" s="5" t="inlineStr">
        <is>
          <t>Film Group is the banner on Zameen Aasmaan, released in 1984 — a film with a stronger creative line-up than its reputation suggests, directed by Bharat Rangachary, written by Sachin Bhowmick and Rahi Masoom Reza, and scored by R. D. Burman. No Wikipedia article exists for the company, and the credited name is generic enough that searching for it returns nothing usable, so its ownership and other productions remain unknown. The entry is recorded because this workbook lists every credited banner, and it is graded Low on the strength of the single film credit.</t>
        </is>
      </c>
      <c r="T162" s="5" t="inlineStr">
        <is>
          <t>SOURCE-094</t>
        </is>
      </c>
      <c r="U162" s="5" t="inlineStr">
        <is>
          <t>Low</t>
        </is>
      </c>
    </row>
    <row r="163" ht="169" customHeight="1">
      <c r="A163" s="15" t="inlineStr">
        <is>
          <t>PERSON-162</t>
        </is>
      </c>
      <c r="B163" s="5" t="inlineStr">
        <is>
          <t>Film-Valas</t>
        </is>
      </c>
      <c r="C163" s="5" t="inlineStr">
        <is>
          <t>Production banner</t>
        </is>
      </c>
      <c r="D163" s="18" t="n"/>
      <c r="E163" s="18" t="n"/>
      <c r="F163" s="5" t="inlineStr">
        <is>
          <t>1978–1984</t>
        </is>
      </c>
      <c r="G163" s="5" t="inlineStr">
        <is>
          <t>Indian parallel cinema</t>
        </is>
      </c>
      <c r="H163" s="5" t="inlineStr">
        <is>
          <t>The production banner Shashi Kapoor established to finance serious films from the earnings of his commercial work. No Wikipedia article exists for the company itself; what is recorded here comes from the film credits and from the account of Kapoor's producing career in his own article.</t>
        </is>
      </c>
      <c r="I163" s="5" t="inlineStr">
        <is>
          <t>Junoon (1979) was the first film produced under the banner.</t>
        </is>
      </c>
      <c r="J163" s="5" t="inlineStr">
        <is>
          <t>With Kapoor: Utsav (1984) carries the banner credit. The banner also produced Junoon (1979), Kalyug (1981), Vijeta (1982) and 36 Chowringhee Lane (1981), the last of which Kapoor produced without acting in and which therefore falls outside this filmography.</t>
        </is>
      </c>
      <c r="K163" s="19" t="inlineStr">
        <is>
          <t>Literary and historical adaptation, the Mahabharata, the 1857 rebellion, and Sanskrit drama — subjects with no obvious commercial constituency.</t>
        </is>
      </c>
      <c r="L163" s="19" t="inlineStr">
        <is>
          <t>Not applicable; a production banner, and an instrument of deliberate patronage rather than a commercial business.</t>
        </is>
      </c>
      <c r="M163" s="5" t="n"/>
      <c r="N163" s="19" t="inlineStr">
        <is>
          <t>One of the few instances in Hindi cinema of a major star systematically converting commercial earnings into art-cinema production, and the banner behind Junoon, Kalyug, Vijeta and 36 Chowringhee Lane.</t>
        </is>
      </c>
      <c r="O163" s="19" t="inlineStr">
        <is>
          <t>The banner credit appears on only one film in the source data, Utsav (1984), which understates its importance: four of Kapoor's productions came through Film-Valas, and the others are recorded in this workbook under their directors and under his own producer entry (PERSON-023). Utsav, an expensive adaptation of the Sanskrit Mrichhakatika directed by Girish Karnad (PERSON-060), failed commercially and effectively ended the programme.</t>
        </is>
      </c>
      <c r="P163" s="17" t="n">
        <v>1</v>
      </c>
      <c r="Q163" s="5" t="inlineStr">
        <is>
          <t>FILM-114</t>
        </is>
      </c>
      <c r="R163" s="5" t="inlineStr">
        <is>
          <t>Utsav (1984), the banner's last film and the one that closed his producing career</t>
        </is>
      </c>
      <c r="S163" s="5" t="inlineStr">
        <is>
          <t>Film-Valas was Shashi Kapoor's own production banner, and its short life is among the most consequential facts in this filmography. Between 1979 and 1984 he used it to finance Junoon, Kalyug, Vijeta and 36 Chowringhee Lane — films by Shyam Benegal, Govind Nihalani and Aparna Sen that the mainstream would not have funded — paying for them out of the multi-starrer work that made him bankable. The banner credit survives in the source data on only one of them, Utsav in 1984, which understates its reach; the others are recorded here under their directors and under Kapoor's own producer entry. Utsav, Girish Karnad's costly adaptation of a Sanskrit play, lost money and closed the programme. No article exists for the company, so the entry is graded Low.</t>
        </is>
      </c>
      <c r="T163" s="5" t="inlineStr">
        <is>
          <t>SOURCE-095</t>
        </is>
      </c>
      <c r="U163" s="5" t="inlineStr">
        <is>
          <t>Low</t>
        </is>
      </c>
    </row>
    <row r="164" ht="139" customHeight="1">
      <c r="A164" s="15" t="inlineStr">
        <is>
          <t>PERSON-163</t>
        </is>
      </c>
      <c r="B164" s="5" t="inlineStr">
        <is>
          <t>FilmFour International</t>
        </is>
      </c>
      <c r="C164" s="5" t="inlineStr">
        <is>
          <t>Production banner</t>
        </is>
      </c>
      <c r="D164" s="18" t="n"/>
      <c r="E164" s="18" t="n"/>
      <c r="F164" s="5" t="inlineStr">
        <is>
          <t>1982–present</t>
        </is>
      </c>
      <c r="G164" s="5" t="inlineStr">
        <is>
          <t>British cinema</t>
        </is>
      </c>
      <c r="H164" s="5" t="inlineStr">
        <is>
          <t>The feature film division of Channel 4 Television Corporation, founded in 1982 and now known as Film4 Productions, which develops and co-finances films from British and international filmmakers. The company is documented here under its current name, since no separate article exists for the FilmFour International label as credited.</t>
        </is>
      </c>
      <c r="I164" s="5" t="inlineStr">
        <is>
          <t>Producing from 1982.</t>
        </is>
      </c>
      <c r="J164" s="5" t="inlineStr">
        <is>
          <t>With Kapoor: Sammy and Rosie Get Laid (1987). The company's wider output has collectively won forty-three Academy Awards and ninety-seven BAFTAs.</t>
        </is>
      </c>
      <c r="K164" s="19" t="inlineStr">
        <is>
          <t>Socially engaged British filmmaking, often on race, class and sexuality, and support for first-time and international directors.</t>
        </is>
      </c>
      <c r="L164" s="19" t="inlineStr">
        <is>
          <t>Not applicable; a broadcaster's film division.</t>
        </is>
      </c>
      <c r="M164" s="5" t="inlineStr">
        <is>
          <t>Multiple Academy Awards and British Academy Film Awards, including Outstanding British Film and Film Not in the English Language in 2024.</t>
        </is>
      </c>
      <c r="N164" s="19" t="inlineStr">
        <is>
          <t>The single most important institution in British independent film since 1982, and the financier of the 1980s British cinema of which Sammy and Rosie Get Laid is a characteristic product.</t>
        </is>
      </c>
      <c r="O164" s="19" t="inlineStr">
        <is>
          <t>One banner credit, on Sammy and Rosie Get Laid (1987), directed by Stephen Frears and written by Hanif Kureishi (PERSON-176), in which Kapoor plays Rafi, a former minister of an unnamed Asian government visiting his son in a riot-torn London. It is the most politically pointed English-language role of his career and quite unlike anything his Hindi work offered him.</t>
        </is>
      </c>
      <c r="P164" s="17" t="n">
        <v>1</v>
      </c>
      <c r="Q164" s="5" t="inlineStr">
        <is>
          <t>FILM-132</t>
        </is>
      </c>
      <c r="R164" s="5" t="inlineStr">
        <is>
          <t>Sammy and Rosie Get Laid (1987), its only film with Kapoor</t>
        </is>
      </c>
      <c r="S164" s="5" t="inlineStr">
        <is>
          <t>FilmFour International financed Sammy and Rosie Get Laid, Stephen Frears's 1987 film from a Hanif Kureishi screenplay, in which Shashi Kapoor plays Rafi — a former government minister with blood on his hands, visiting his son in a London torn by riots. It is the most politically uncomfortable role of his career and belongs to a strand of English-language work that had no counterpart in his Hindi filmography. The company, founded in 1982 as Channel 4's film division and now called Film4 Productions, was the central institution of British independent cinema in that decade, and its output has collectively won forty-three Oscars and ninety-seven BAFTAs. Its article does not mention Kapoor; this entry rests on it together with the film credit.</t>
        </is>
      </c>
      <c r="T164" s="5" t="inlineStr">
        <is>
          <t>SOURCE-225</t>
        </is>
      </c>
      <c r="U164" s="5" t="inlineStr">
        <is>
          <t>Medium</t>
        </is>
      </c>
    </row>
    <row r="165" ht="109" customHeight="1">
      <c r="A165" s="15" t="inlineStr">
        <is>
          <t>PERSON-164</t>
        </is>
      </c>
      <c r="B165" s="5" t="inlineStr">
        <is>
          <t>Frank Granat</t>
        </is>
      </c>
      <c r="C165" s="5" t="inlineStr">
        <is>
          <t>Producer</t>
        </is>
      </c>
      <c r="D165" s="18" t="n"/>
      <c r="E165" s="18" t="n"/>
      <c r="F165" s="5" t="n"/>
      <c r="G165" s="5" t="inlineStr">
        <is>
          <t>American and British cinema</t>
        </is>
      </c>
      <c r="H165" s="5" t="inlineStr">
        <is>
          <t>No Wikipedia article exists for him, and none was found under any variant spelling. Everything here rests on the credit of the single film and on the name of the production company, George-Granat Productions (PERSON-169), which he evidently formed with George W. George (PERSON-168).</t>
        </is>
      </c>
      <c r="I165" s="5" t="n"/>
      <c r="J165" s="5" t="inlineStr">
        <is>
          <t>With Kapoor: Pretty Polly (1967).</t>
        </is>
      </c>
      <c r="K165" s="19" t="inlineStr">
        <is>
          <t>Not established from a single credit.</t>
        </is>
      </c>
      <c r="L165" s="19" t="inlineStr">
        <is>
          <t>Not applicable; no biographical source was located.</t>
        </is>
      </c>
      <c r="M165" s="5" t="n"/>
      <c r="N165" s="19" t="inlineStr">
        <is>
          <t>Not established.</t>
        </is>
      </c>
      <c r="O165" s="19" t="inlineStr">
        <is>
          <t>One producing credit, on Pretty Polly (1967), directed by Guy Green (PERSON-173) and produced with George W. George under their joint banner. The film, shot in Singapore with Hayley Mills, is an early entry in Kapoor's English-language career, made two years after Shakespeare Wallah.</t>
        </is>
      </c>
      <c r="P165" s="17" t="n">
        <v>1</v>
      </c>
      <c r="Q165" s="5" t="inlineStr">
        <is>
          <t>FILM-024</t>
        </is>
      </c>
      <c r="R165" s="5" t="inlineStr">
        <is>
          <t>Pretty Polly (1967), his only film with Kapoor</t>
        </is>
      </c>
      <c r="S165" s="5" t="inlineStr">
        <is>
          <t>Frank Granat produced Pretty Polly in 1967 with George W. George, under the joint banner George-Granat Productions — an early credit in Shashi Kapoor's English-language career, directed by the Oscar-winning cinematographer Guy Green and made two years after Shakespeare Wallah had established him internationally. The film gave Kapoor a leading role opposite Hayley Mills in a British production, evidence that his appeal beyond India extended past the Merchant Ivory circle. Of Granat himself nothing could be found: no Wikipedia article exists under this name or any variant attempted in research, and the only trace is the company name he shared with his partner. The entry is graded Low.</t>
        </is>
      </c>
      <c r="T165" s="5" t="inlineStr">
        <is>
          <t>SOURCE-016</t>
        </is>
      </c>
      <c r="U165" s="5" t="inlineStr">
        <is>
          <t>Low</t>
        </is>
      </c>
    </row>
    <row r="166" ht="109" customHeight="1">
      <c r="A166" s="15" t="inlineStr">
        <is>
          <t>PERSON-165</t>
        </is>
      </c>
      <c r="B166" s="5" t="inlineStr">
        <is>
          <t>Friends Films International</t>
        </is>
      </c>
      <c r="C166" s="5" t="inlineStr">
        <is>
          <t>Production banner</t>
        </is>
      </c>
      <c r="D166" s="18" t="n"/>
      <c r="E166" s="18" t="n"/>
      <c r="F166" s="5" t="n"/>
      <c r="G166" s="5" t="inlineStr">
        <is>
          <t>Hindi cinema</t>
        </is>
      </c>
      <c r="H166" s="5" t="inlineStr">
        <is>
          <t>No Wikipedia article exists for this banner. Everything here rests on the credit of the single film.</t>
        </is>
      </c>
      <c r="I166" s="5" t="n"/>
      <c r="J166" s="5" t="inlineStr">
        <is>
          <t>With Kapoor: Gehri Chot - Urf: Durdesh (1983).</t>
        </is>
      </c>
      <c r="K166" s="19" t="inlineStr">
        <is>
          <t>Not established from a single credit.</t>
        </is>
      </c>
      <c r="L166" s="19" t="inlineStr">
        <is>
          <t>Not applicable.</t>
        </is>
      </c>
      <c r="M166" s="5" t="n"/>
      <c r="N166" s="19" t="inlineStr">
        <is>
          <t>Not established.</t>
        </is>
      </c>
      <c r="O166" s="19" t="inlineStr">
        <is>
          <t>One banner credit, on Gehri Chot - Urf: Durdesh (1983), directed by Ambrish Sangal (PERSON-096), produced by Ashok 'Charlie' Mehra (PERSON-108) and Jagdish Bahroos (PERSON-184), and scored by Usha Khanna (PERSON-047). Every credit on the film except the composer's is undocumented.</t>
        </is>
      </c>
      <c r="P166" s="17" t="n">
        <v>1</v>
      </c>
      <c r="Q166" s="5" t="inlineStr">
        <is>
          <t>FILM-110</t>
        </is>
      </c>
      <c r="R166" s="5" t="inlineStr">
        <is>
          <t>Gehri Chot - Urf: Durdesh (1983), its only film with Kapoor</t>
        </is>
      </c>
      <c r="S166" s="5" t="inlineStr">
        <is>
          <t>Friends Films International is the banner on Gehri Chot - Urf: Durdesh, released in 1983, and the film is a compact illustration of how thin the record becomes at the margins of this filmography: its director Ambrish Sangal, both its producers Ashok 'Charlie' Mehra and Jagdish Bahroos, and this banner all lack any biographical source, and only the composer Usha Khanna is documented. No Wikipedia article exists for the company and no other source was located. The film itself comes from the transitional years when Shashi Kapoor's run as a commercial lead was ending. The entry is graded Low.</t>
        </is>
      </c>
      <c r="T166" s="5" t="inlineStr">
        <is>
          <t>SOURCE-091</t>
        </is>
      </c>
      <c r="U166" s="5" t="inlineStr">
        <is>
          <t>Low</t>
        </is>
      </c>
    </row>
    <row r="167" ht="124" customHeight="1">
      <c r="A167" s="15" t="inlineStr">
        <is>
          <t>PERSON-166</t>
        </is>
      </c>
      <c r="B167" s="5" t="inlineStr">
        <is>
          <t>G. R. Kamat</t>
        </is>
      </c>
      <c r="C167" s="5" t="inlineStr">
        <is>
          <t>Writer</t>
        </is>
      </c>
      <c r="D167" s="18" t="n"/>
      <c r="E167" s="18" t="n"/>
      <c r="F167" s="5" t="n"/>
      <c r="G167" s="5" t="inlineStr">
        <is>
          <t>Hindi cinema</t>
        </is>
      </c>
      <c r="H167" s="5" t="inlineStr">
        <is>
          <t>No Wikipedia article exists for him, and none was found under any variant spelling. Everything here rests on the credit of the single film.</t>
        </is>
      </c>
      <c r="I167" s="5" t="n"/>
      <c r="J167" s="5" t="inlineStr">
        <is>
          <t>With Kapoor: Baseraa (1981).</t>
        </is>
      </c>
      <c r="K167" s="19" t="inlineStr">
        <is>
          <t>Not established from a single credit.</t>
        </is>
      </c>
      <c r="L167" s="19" t="inlineStr">
        <is>
          <t>Not established; no biographical source was located.</t>
        </is>
      </c>
      <c r="M167" s="5" t="n"/>
      <c r="N167" s="19" t="inlineStr">
        <is>
          <t>Not established.</t>
        </is>
      </c>
      <c r="O167" s="19" t="inlineStr">
        <is>
          <t>One writing credit, on Baseraa (1981), directed by Ramesh Talwar (PERSON-039), written also by Gulzar (PERSON-031) and scored by R. D. Burman (PERSON-003) — a Yash Chopra production and one of the more romantically substantial films of Kapoor's later career, turning on a wife's illness and her sister's place in the household.</t>
        </is>
      </c>
      <c r="P167" s="17" t="n">
        <v>1</v>
      </c>
      <c r="Q167" s="5" t="inlineStr">
        <is>
          <t>FILM-095</t>
        </is>
      </c>
      <c r="R167" s="5" t="inlineStr">
        <is>
          <t>Baseraa (1981), his only film with Kapoor</t>
        </is>
      </c>
      <c r="S167" s="5" t="inlineStr">
        <is>
          <t>G. R. Kamat shares a writing credit on Baseraa, released in 1981 — a Yash Chopra production directed by Ramesh Talwar, with Gulzar also on the script and R. D. Burman composing. It is among the more interesting romantic films of Shashi Kapoor's later career, built on a wife's mental illness and the sister who takes her place in the household, and it supplies one of the more ambivalent rows in this workbook's Romances sheet. No Wikipedia article exists for Kamat under this name or any variant attempted during research, and no other biographical source was located, so nothing can be said of his wider output. The entry is graded Low.</t>
        </is>
      </c>
      <c r="T167" s="5" t="inlineStr">
        <is>
          <t>SOURCE-083</t>
        </is>
      </c>
      <c r="U167" s="5" t="inlineStr">
        <is>
          <t>Low</t>
        </is>
      </c>
    </row>
    <row r="168" ht="154" customHeight="1">
      <c r="A168" s="15" t="inlineStr">
        <is>
          <t>PERSON-167</t>
        </is>
      </c>
      <c r="B168" s="5" t="inlineStr">
        <is>
          <t>G. V. Iyer</t>
        </is>
      </c>
      <c r="C168" s="5" t="inlineStr">
        <is>
          <t>Director; Writer</t>
        </is>
      </c>
      <c r="D168" s="17" t="n">
        <v>1917</v>
      </c>
      <c r="E168" s="17" t="n">
        <v>2003</v>
      </c>
      <c r="F168" s="5" t="n"/>
      <c r="G168" s="5" t="inlineStr">
        <is>
          <t>Kannada, Sanskrit and Hindi cinema</t>
        </is>
      </c>
      <c r="H168" s="5" t="inlineStr">
        <is>
          <t>Born Ganapathi Venkataramana Iyer on 3 September 1917; died 21 December 2003. A film director and actor nicknamed Kannada Chitra Bheeshma, known for philosophical and devotional films, including the only feature ever made in Sanskrit.</t>
        </is>
      </c>
      <c r="I168" s="5" t="inlineStr">
        <is>
          <t>Acting and directing from the mid-twentieth century; his most celebrated period began with Adi Shankaracharya in 1983.</t>
        </is>
      </c>
      <c r="J168" s="5" t="inlineStr">
        <is>
          <t>With Kapoor: Swami Vivekananda (1998), which he directed and wrote. Elsewhere: Adi Shankaracharya (1983), Madhvacharya (1987) and Bhagavad Gita (1993).</t>
        </is>
      </c>
      <c r="K168" s="19" t="inlineStr">
        <is>
          <t>The lives of Indian philosophers and saints; religious and philosophical texts treated as narrative cinema.</t>
        </is>
      </c>
      <c r="L168" s="19" t="inlineStr">
        <is>
          <t>A director of austere devotional films made far outside commercial practice, including work in Sanskrit.</t>
        </is>
      </c>
      <c r="M168" s="5" t="inlineStr">
        <is>
          <t>Adi Shankaracharya won four National Film Awards, for Best Film, Best Screenplay, Best Cinematography and Best Audiography. Swami Vivekananda was nominated in the Best Film category at the Bogotá Film Festival and brought Mithun Chakraborty the National Film Award for Best Supporting Actor.</t>
        </is>
      </c>
      <c r="N168" s="19" t="inlineStr">
        <is>
          <t>The maker of the only Sanskrit feature film and one of the most singular figures in Indian cinema.</t>
        </is>
      </c>
      <c r="O168" s="19" t="inlineStr">
        <is>
          <t>One film, Swami Vivekananda (1998), which Iyer directed and wrote and which is among the last three of Kapoor's career. Its production is unusual in several respects recorded elsewhere in this workbook: songs credited to Salil Chowdhury (PERSON-042) three years after his death, and separate background scores for the Hindi and English versions by Vijaya Bhaskar and B. V. Karanth (PERSON-115).</t>
        </is>
      </c>
      <c r="P168" s="17" t="n">
        <v>1</v>
      </c>
      <c r="Q168" s="5" t="inlineStr">
        <is>
          <t>FILM-152</t>
        </is>
      </c>
      <c r="R168" s="5" t="inlineStr">
        <is>
          <t>Swami Vivekananda (1998), his only film with Kapoor</t>
        </is>
      </c>
      <c r="S168" s="5" t="inlineStr">
        <is>
          <t>G. V. Iyer directed and wrote Swami Vivekananda, released in 1998 and one of the last three films of Shashi Kapoor's acting career, alongside Jinnah and Side Streets. Iyer was among the most singular filmmakers India has produced. Born Ganapathi Venkataramana Iyer in 1917 and nicknamed Kannada Chitra Bheeshma, he devoted his later career to the lives of philosophers and saints, making Adi Shankaracharya in 1983 — the only feature film ever shot in Sanskrit, which won four National Film Awards including Best Film, Best Screenplay, Best Cinematography and Best Audiography — followed by Madhvacharya in 1987 and a Bhagavad Gita in 1993. Swami Vivekananda was nominated in the Best Film category at the Bogotá Film Festival and won Mithun Chakraborty the National Film Award for Best Supporting Actor. Its production carries several oddities noted elsewhere in this workbook: a posthumous song credit for Salil Chowdhury, and separate background scores for the Hindi and English versions. Iyer died in 2003.</t>
        </is>
      </c>
      <c r="T168" s="5" t="inlineStr">
        <is>
          <t>SOURCE-226</t>
        </is>
      </c>
      <c r="U168" s="5" t="inlineStr">
        <is>
          <t>High</t>
        </is>
      </c>
    </row>
    <row r="169" ht="124" customHeight="1">
      <c r="A169" s="15" t="inlineStr">
        <is>
          <t>PERSON-168</t>
        </is>
      </c>
      <c r="B169" s="5" t="inlineStr">
        <is>
          <t>George W. George</t>
        </is>
      </c>
      <c r="C169" s="5" t="inlineStr">
        <is>
          <t>Producer</t>
        </is>
      </c>
      <c r="D169" s="17" t="n">
        <v>1920</v>
      </c>
      <c r="E169" s="17" t="n">
        <v>2007</v>
      </c>
      <c r="F169" s="5" t="n"/>
      <c r="G169" s="5" t="inlineStr">
        <is>
          <t>American theatre and cinema</t>
        </is>
      </c>
      <c r="H169" s="5" t="inlineStr">
        <is>
          <t>Born George Warren Goldberg on 8 February 1920 in New York City; died there on 7 November 2007. An American theatre, Broadway and film producer, educated at Williams College, and the son of the cartoonist Rube Goldberg.</t>
        </is>
      </c>
      <c r="I169" s="5" t="inlineStr">
        <is>
          <t>His Broadway debut as producer came in 1964 with Dylan, starring Alec Guinness.</t>
        </is>
      </c>
      <c r="J169" s="5" t="inlineStr">
        <is>
          <t>With Kapoor: Pretty Polly (1967). Elsewhere: the film My Dinner with Andre (1981) and the Broadway productions Dylan and Any Wednesday, the latter running more than two years and leading to a film version.</t>
        </is>
      </c>
      <c r="K169" s="19" t="inlineStr">
        <is>
          <t>Character-driven theatre and film rather than spectacle.</t>
        </is>
      </c>
      <c r="L169" s="19" t="inlineStr">
        <is>
          <t>Not applicable; a producer working across Broadway and film.</t>
        </is>
      </c>
      <c r="M169" s="5" t="n"/>
      <c r="N169" s="19" t="inlineStr">
        <is>
          <t>A successful Broadway producer of the 1960s and the producer of My Dinner with Andre, a landmark of American independent cinema.</t>
        </is>
      </c>
      <c r="O169" s="19" t="inlineStr">
        <is>
          <t>One producing credit, on Pretty Polly (1967), made with Frank Granat (PERSON-164) under their joint banner George-Granat Productions (PERSON-169) and directed by Guy Green (PERSON-173). The film cast Kapoor opposite Hayley Mills and is an early sign that his international appeal extended beyond the Merchant Ivory circle.</t>
        </is>
      </c>
      <c r="P169" s="17" t="n">
        <v>1</v>
      </c>
      <c r="Q169" s="5" t="inlineStr">
        <is>
          <t>FILM-024</t>
        </is>
      </c>
      <c r="R169" s="5" t="inlineStr">
        <is>
          <t>Pretty Polly (1967), his only film with Kapoor</t>
        </is>
      </c>
      <c r="S169" s="5" t="inlineStr">
        <is>
          <t>George W. George produced Pretty Polly in 1967, with Frank Granat and under their joint banner, giving Shashi Kapoor a leading role opposite Hayley Mills in a British production directed by Guy Green. It is a significant credit in the English-language strand of his career, coming two years after Shakespeare Wallah and showing that his appeal to international producers was not confined to Merchant Ivory. George, born George Warren Goldberg in New York in 1920 and the son of the cartoonist Rube Goldberg, was principally a man of the theatre: he produced Dylan with Alec Guinness in 1964 and Any Wednesday, which ran on Broadway for more than two years. His best-known film credit is My Dinner with Andre. He died in 2007.</t>
        </is>
      </c>
      <c r="T169" s="5" t="inlineStr">
        <is>
          <t>SOURCE-227</t>
        </is>
      </c>
      <c r="U169" s="5" t="inlineStr">
        <is>
          <t>High</t>
        </is>
      </c>
    </row>
    <row r="170" ht="94" customHeight="1">
      <c r="A170" s="15" t="inlineStr">
        <is>
          <t>PERSON-169</t>
        </is>
      </c>
      <c r="B170" s="5" t="inlineStr">
        <is>
          <t>George-Granat Productions</t>
        </is>
      </c>
      <c r="C170" s="5" t="inlineStr">
        <is>
          <t>Production banner</t>
        </is>
      </c>
      <c r="D170" s="18" t="n"/>
      <c r="E170" s="18" t="n"/>
      <c r="F170" s="5" t="n"/>
      <c r="G170" s="5" t="inlineStr">
        <is>
          <t>American and British cinema</t>
        </is>
      </c>
      <c r="H170" s="5" t="inlineStr">
        <is>
          <t>No Wikipedia article exists for this banner. Its name identifies it as the joint company of the producers George W. George (PERSON-168) and Frank Granat (PERSON-164), both credited on the same film. Everything else rests on that credit.</t>
        </is>
      </c>
      <c r="I170" s="5" t="n"/>
      <c r="J170" s="5" t="inlineStr">
        <is>
          <t>With Kapoor: Pretty Polly (1967).</t>
        </is>
      </c>
      <c r="K170" s="19" t="inlineStr">
        <is>
          <t>Not established from a single credit.</t>
        </is>
      </c>
      <c r="L170" s="19" t="inlineStr">
        <is>
          <t>Not applicable.</t>
        </is>
      </c>
      <c r="M170" s="5" t="n"/>
      <c r="N170" s="19" t="inlineStr">
        <is>
          <t>Not established independently of its two principals.</t>
        </is>
      </c>
      <c r="O170" s="19" t="inlineStr">
        <is>
          <t>One banner credit, on Pretty Polly (1967), directed by Guy Green (PERSON-173), in which Kapoor plays opposite Hayley Mills. The banner, its two producers and the director are all credited on this single film and nowhere else in the filmography.</t>
        </is>
      </c>
      <c r="P170" s="17" t="n">
        <v>1</v>
      </c>
      <c r="Q170" s="5" t="inlineStr">
        <is>
          <t>FILM-024</t>
        </is>
      </c>
      <c r="R170" s="5" t="inlineStr">
        <is>
          <t>Pretty Polly (1967), its only film with Kapoor</t>
        </is>
      </c>
      <c r="S170" s="5" t="inlineStr">
        <is>
          <t>George-Granat Productions made Pretty Polly in 1967, the British film in which Shashi Kapoor appeared opposite Hayley Mills under the direction of Guy Green. The banner was plainly the joint venture of George W. George and Frank Granat, who take the producer credits on the same picture and both appear separately in this sheet; no Wikipedia article exists for the company itself, so the inference rests on the name and the credits rather than on a source. The film matters to this filmography as evidence that Kapoor's international work in the 1960s reached beyond Merchant Ivory into mainstream British production. The entry is graded Low.</t>
        </is>
      </c>
      <c r="T170" s="5" t="inlineStr">
        <is>
          <t>SOURCE-016</t>
        </is>
      </c>
      <c r="U170" s="5" t="inlineStr">
        <is>
          <t>Low</t>
        </is>
      </c>
    </row>
    <row r="171" ht="154" customHeight="1">
      <c r="A171" s="15" t="inlineStr">
        <is>
          <t>PERSON-170</t>
        </is>
      </c>
      <c r="B171" s="5" t="inlineStr">
        <is>
          <t>Govind Nihlani</t>
        </is>
      </c>
      <c r="C171" s="5" t="inlineStr">
        <is>
          <t>Director</t>
        </is>
      </c>
      <c r="D171" s="17" t="n">
        <v>1940</v>
      </c>
      <c r="E171" s="18" t="n"/>
      <c r="F171" s="5" t="inlineStr">
        <is>
          <t>1962–present</t>
        </is>
      </c>
      <c r="G171" s="5" t="inlineStr">
        <is>
          <t>Indian parallel cinema</t>
        </is>
      </c>
      <c r="H171" s="5" t="inlineStr">
        <is>
          <t>Born 19 December 1940. A film director, cinematographer, screenwriter and producer known for his work in Hindi cinema and particularly in the parallel-cinema movement. The name is spelt Govind Nihalani in his own article; the film credit in this workbook uses the variant Nihlani.</t>
        </is>
      </c>
      <c r="I171" s="5" t="inlineStr">
        <is>
          <t>Working from 1962, first as a cinematographer, notably for Shyam Benegal (PERSON-083).</t>
        </is>
      </c>
      <c r="J171" s="5" t="inlineStr">
        <is>
          <t>With Kapoor: Vijeta (1982). Elsewhere: Aakrosh (1980), Ardh Satya (1983), Party, Tamas and Drohkaal, whose script Kamal Haasan adapted for the Tamil remake Kuruthipunal in 1996.</t>
        </is>
      </c>
      <c r="K171" s="19" t="inlineStr">
        <is>
          <t>State violence, caste oppression, police and army institutions, and the individual crushed by systems.</t>
        </is>
      </c>
      <c r="L171" s="19" t="inlineStr">
        <is>
          <t>A cinematographer-turned-director whose films are visually exact and politically unsparing.</t>
        </is>
      </c>
      <c r="M171" s="5" t="inlineStr">
        <is>
          <t>Six National Film Awards and five Filmfare Awards.</t>
        </is>
      </c>
      <c r="N171" s="19" t="inlineStr">
        <is>
          <t>With Shyam Benegal, one of the two central directors of the Indian parallel cinema of the 1970s and 1980s.</t>
        </is>
      </c>
      <c r="O171" s="19" t="inlineStr">
        <is>
          <t>One film, Vijeta (1982), which Kapoor produced through Film-Valas (PERSON-162) and in which his son Kunal took the lead while he played the father. Written by Dilip Chitre (PERSON-155) and scored by Ajit Varman (PERSON-091), it belongs to the parallel-cinema slate Kapoor financed between 1979 and 1984 and is the only one of those films not directed by Benegal or Karnad.</t>
        </is>
      </c>
      <c r="P171" s="17" t="n">
        <v>1</v>
      </c>
      <c r="Q171" s="5" t="inlineStr">
        <is>
          <t>FILM-103</t>
        </is>
      </c>
      <c r="R171" s="5" t="inlineStr">
        <is>
          <t>Vijeta (1982), his only film with Kapoor</t>
        </is>
      </c>
      <c r="S171" s="5" t="inlineStr">
        <is>
          <t>Govind Nihalani directed Vijeta in 1982, a film Shashi Kapoor produced through Film-Valas and in which he cast his son Kunal as the young man entering the air force while he himself played the father. Written by the poet Dilip Chitre and scored by Ajit Varman, it belongs to the run of serious films Kapoor financed from his commercial earnings between 1979 and 1984, and it is the only one of those not made by Shyam Benegal or Girish Karnad. Nihalani, born in 1940, came to directing from cinematography, having shot Benegal's early films, and made an unsparing body of work on caste, state violence and institutional cruelty — Aakrosh in 1980, Ardh Satya in 1983, Party, the television Tamas and Drohkaal, whose script Kamal Haasan later adapted for the Tamil remake Kuruthipunal. He has received six National Film Awards and five Filmfare Awards. His name is spelt Nihalani in his own article, while the film credit in this workbook uses the variant Nihlani. His article does not mention Kapoor.</t>
        </is>
      </c>
      <c r="T171" s="5" t="inlineStr">
        <is>
          <t>SOURCE-228</t>
        </is>
      </c>
      <c r="U171" s="5" t="inlineStr">
        <is>
          <t>High</t>
        </is>
      </c>
    </row>
    <row r="172" ht="109" customHeight="1">
      <c r="A172" s="15" t="inlineStr">
        <is>
          <t>PERSON-171</t>
        </is>
      </c>
      <c r="B172" s="5" t="inlineStr">
        <is>
          <t>Gregory Cascante</t>
        </is>
      </c>
      <c r="C172" s="5" t="inlineStr">
        <is>
          <t>Producer</t>
        </is>
      </c>
      <c r="D172" s="18" t="n"/>
      <c r="E172" s="18" t="n"/>
      <c r="F172" s="5" t="n"/>
      <c r="G172" s="5" t="inlineStr">
        <is>
          <t>American independent cinema</t>
        </is>
      </c>
      <c r="H172" s="5" t="inlineStr">
        <is>
          <t>No Wikipedia article exists for him, and none was found under any variant spelling. The source data records his credit as executive producer; role qualifiers have been normalised out of the name fields across this workbook.</t>
        </is>
      </c>
      <c r="I172" s="5" t="n"/>
      <c r="J172" s="5" t="inlineStr">
        <is>
          <t>With Kapoor: Side Streets (1998).</t>
        </is>
      </c>
      <c r="K172" s="19" t="inlineStr">
        <is>
          <t>Not established from a single credit.</t>
        </is>
      </c>
      <c r="L172" s="19" t="inlineStr">
        <is>
          <t>Not applicable; no biographical source was located.</t>
        </is>
      </c>
      <c r="M172" s="5" t="n"/>
      <c r="N172" s="19" t="inlineStr">
        <is>
          <t>Not established.</t>
        </is>
      </c>
      <c r="O172" s="19" t="inlineStr">
        <is>
          <t>One producing credit, on Side Streets (1998), the last of the American independent films in which Kapoor appeared, produced by Bruce Weiss (PERSON-133) with Ismail Merchant (PERSON-006) and Tom Borders also credited as executive producers.</t>
        </is>
      </c>
      <c r="P172" s="17" t="n">
        <v>1</v>
      </c>
      <c r="Q172" s="5" t="inlineStr">
        <is>
          <t>FILM-154</t>
        </is>
      </c>
      <c r="R172" s="5" t="inlineStr">
        <is>
          <t>Side Streets (1998), his only film with Kapoor</t>
        </is>
      </c>
      <c r="S172" s="5" t="inlineStr">
        <is>
          <t>Gregory Cascante is credited as an executive producer of Side Streets, released in 1998 — the American independent film directed by Tony Gerber that stands among the last three credits of Shashi Kapoor's acting life, alongside Jinnah and Swami Vivekananda. Bruce Weiss produced, with Ismail Merchant and Tom Borders also credited as executive producers, so the film closes the long Merchant Ivory association on a project outside that company. No Wikipedia article exists for Cascante under this name or any variant attempted in research, and no other biographical source was located. This workbook normalises role qualifiers such as executive producer out of its name fields; the qualifier is recorded here instead. The entry is graded Low.</t>
        </is>
      </c>
      <c r="T172" s="5" t="inlineStr">
        <is>
          <t>SOURCE-125</t>
        </is>
      </c>
      <c r="U172" s="5" t="inlineStr">
        <is>
          <t>Low</t>
        </is>
      </c>
    </row>
    <row r="173" ht="169" customHeight="1">
      <c r="A173" s="15" t="inlineStr">
        <is>
          <t>PERSON-172</t>
        </is>
      </c>
      <c r="B173" s="5" t="inlineStr">
        <is>
          <t>Gulshan Nanda</t>
        </is>
      </c>
      <c r="C173" s="5" t="inlineStr">
        <is>
          <t>Writer</t>
        </is>
      </c>
      <c r="D173" s="17" t="n">
        <v>1919</v>
      </c>
      <c r="E173" s="17" t="n">
        <v>1985</v>
      </c>
      <c r="F173" s="5" t="n"/>
      <c r="G173" s="5" t="inlineStr">
        <is>
          <t>Hindi cinema and Hindi popular fiction</t>
        </is>
      </c>
      <c r="H173" s="5" t="inlineStr">
        <is>
          <t>Born in Rawalpindi, British India, in 1919; died 16 November 1985. A novelist and screenwriter, many of whose novels were adapted into Hindi films in the 1960s and 1970s, including more than a dozen major hits of the period. His sons Rahul and Himanshu Nanda became publicity designers for the industry.</t>
        </is>
      </c>
      <c r="I173" s="5" t="inlineStr">
        <is>
          <t>His novels began reaching the screen in the 1960s.</t>
        </is>
      </c>
      <c r="J173" s="5" t="inlineStr">
        <is>
          <t>With Kapoor: Sharmeelee (1971). Elsewhere: Kaajal (1965), Khilona (1970), Daag (1973), Mehbooba and Nazrana — he worked frequently with Rajesh Khanna.</t>
        </is>
      </c>
      <c r="K173" s="19" t="inlineStr">
        <is>
          <t>Romance, social issues and the action thriller; plots built on concealed identity, substitution and reversal.</t>
        </is>
      </c>
      <c r="L173" s="19" t="inlineStr">
        <is>
          <t>A popular novelist whose screen stories carry the construction of serialised fiction — strong hooks, reversals and a firm moral shape.</t>
        </is>
      </c>
      <c r="M173" s="5" t="inlineStr">
        <is>
          <t>Six nominations for the Filmfare Award for Best Story, for Kaajal (1965), Neel Kamal (1968), Khilona (1970), Naya Zamana (1971) and others.</t>
        </is>
      </c>
      <c r="N173" s="19" t="inlineStr">
        <is>
          <t>The most commercially adapted Hindi novelist of his generation, and the source of more than a dozen major film hits.</t>
        </is>
      </c>
      <c r="O173" s="19" t="inlineStr">
        <is>
          <t>One writing credit, on Sharmeelee (1971), directed by Samir Ganguly (PERSON-021), produced by Subodh Mukherjee (PERSON-045) and scored by S. D. Burman (PERSON-040) — the double-role romance with Raakhee as twin sisters of opposite temperament, and one of the defining romantic vehicles of Kapoor's star period. The twin-substitution premise is characteristic of Nanda's fiction. His article names Sharmeelee among the hits adapted from his work.</t>
        </is>
      </c>
      <c r="P173" s="17" t="n">
        <v>1</v>
      </c>
      <c r="Q173" s="5" t="inlineStr">
        <is>
          <t>FILM-037</t>
        </is>
      </c>
      <c r="R173" s="5" t="inlineStr">
        <is>
          <t>Sharmeelee (1971), his only film with Kapoor</t>
        </is>
      </c>
      <c r="S173" s="5" t="inlineStr">
        <is>
          <t>Gulshan Nanda wrote Sharmeelee, the 1971 romance in which Raakhee plays twin sisters of opposite temperament opposite Shashi Kapoor — one of the defining vehicles of his star period and a film whose doubling premise is characteristic of Nanda's fiction. Born in Rawalpindi in 1919, Nanda was the most heavily adapted Hindi novelist of his generation: more than a dozen major hits of the 1960s and 1970s came from his books, among them Kaajal, Khilona and Daag, and he was nominated six times for the Filmfare Award for Best Story. He worked repeatedly with Rajesh Khanna. His article names Sharmeelee among his successes, though it does not mention Kapoor. He died in 1985.</t>
        </is>
      </c>
      <c r="T173" s="5" t="inlineStr">
        <is>
          <t>SOURCE-229</t>
        </is>
      </c>
      <c r="U173" s="5" t="inlineStr">
        <is>
          <t>High</t>
        </is>
      </c>
    </row>
    <row r="174" ht="154" customHeight="1">
      <c r="A174" s="15" t="inlineStr">
        <is>
          <t>PERSON-173</t>
        </is>
      </c>
      <c r="B174" s="5" t="inlineStr">
        <is>
          <t>Guy Green</t>
        </is>
      </c>
      <c r="C174" s="5" t="inlineStr">
        <is>
          <t>Director</t>
        </is>
      </c>
      <c r="D174" s="17" t="n">
        <v>1913</v>
      </c>
      <c r="E174" s="17" t="n">
        <v>2005</v>
      </c>
      <c r="F174" s="5" t="inlineStr">
        <is>
          <t>1929–1986</t>
        </is>
      </c>
      <c r="G174" s="5" t="inlineStr">
        <is>
          <t>British cinema</t>
        </is>
      </c>
      <c r="H174" s="5" t="inlineStr">
        <is>
          <t>Born Guy Mervin Charles Green on 5 November 1913; died 15 September 2005. An English film director, producer, screenwriter and cinematographer, who began in the industry in 1929.</t>
        </is>
      </c>
      <c r="I174" s="5" t="inlineStr">
        <is>
          <t>Working in film from 1929, first as a cinematographer; he turned to directing in the 1950s.</t>
        </is>
      </c>
      <c r="J174" s="5" t="inlineStr">
        <is>
          <t>With Kapoor: Pretty Polly (1967). Elsewhere: Great Expectations (1946), as cinematographer.</t>
        </is>
      </c>
      <c r="K174" s="19" t="inlineStr">
        <is>
          <t>Character drama and literary adaptation.</t>
        </is>
      </c>
      <c r="L174" s="19" t="inlineStr">
        <is>
          <t>A director formed as a cinematographer, with a corresponding attention to image.</t>
        </is>
      </c>
      <c r="M174" s="5" t="inlineStr">
        <is>
          <t>The Academy Award for Best Cinematography, Black-and-White, for Great Expectations in 1948; a BAFTA Lifetime Achievement Award in 2002; and appointment as an Officer of the Order of the British Empire in 2004 for his contributions to British cinema.</t>
        </is>
      </c>
      <c r="N174" s="19" t="inlineStr">
        <is>
          <t>An Oscar-winning cinematographer of the British post-war cinema who became a working director on both sides of the Atlantic.</t>
        </is>
      </c>
      <c r="O174" s="19" t="inlineStr">
        <is>
          <t>One film, Pretty Polly (1967), produced by George W. George (PERSON-168) and Frank Granat (PERSON-164), in which Kapoor appears opposite Hayley Mills. It gave him a leading role in a mainstream British picture directed by an Academy Award winner, two years after Shakespeare Wallah — a striking position for a Hindi film actor of the period. His article does not mention Kapoor.</t>
        </is>
      </c>
      <c r="P174" s="17" t="n">
        <v>1</v>
      </c>
      <c r="Q174" s="5" t="inlineStr">
        <is>
          <t>FILM-024</t>
        </is>
      </c>
      <c r="R174" s="5" t="inlineStr">
        <is>
          <t>Pretty Polly (1967), his only film with Kapoor</t>
        </is>
      </c>
      <c r="S174" s="5" t="inlineStr">
        <is>
          <t>Guy Green directed Pretty Polly in 1967, casting Shashi Kapoor opposite Hayley Mills in a British production shot partly in Singapore, from a screenplay by Keith Waterhouse and Willis Hall with music by Michel Legrand. The credit is worth more than its obscurity suggests: two years after Shakespeare Wallah, Kapoor was taking a leading role in a mainstream British film under a director who had won an Academy Award, alongside a composer about to win his first and the most prolific writing partnership in British television — a position almost no Hindi film actor of his generation occupied. Green, born in 1913, had won his Oscar as cinematographer of David Lean's Great Expectations in 1948 before moving into directing, and worked in Britain and America until the mid-1980s across a career running from 1929. BAFTA gave him a Lifetime Achievement Award in 2002 and he was appointed an Officer of the Order of the British Empire in 2004 for his contributions to British cinema. He died in 2005. His article does not mention Kapoor.</t>
        </is>
      </c>
      <c r="T174" s="5" t="inlineStr">
        <is>
          <t>SOURCE-230</t>
        </is>
      </c>
      <c r="U174" s="5" t="inlineStr">
        <is>
          <t>High</t>
        </is>
      </c>
    </row>
    <row r="175" ht="154" customHeight="1">
      <c r="A175" s="15" t="inlineStr">
        <is>
          <t>PERSON-174</t>
        </is>
      </c>
      <c r="B175" s="5" t="inlineStr">
        <is>
          <t>Gyan Mukherjee</t>
        </is>
      </c>
      <c r="C175" s="5" t="inlineStr">
        <is>
          <t>Director; Writer</t>
        </is>
      </c>
      <c r="D175" s="17" t="n">
        <v>1909</v>
      </c>
      <c r="E175" s="17" t="n">
        <v>1956</v>
      </c>
      <c r="F175" s="5" t="inlineStr">
        <is>
          <t>1930s–1956</t>
        </is>
      </c>
      <c r="G175" s="5" t="inlineStr">
        <is>
          <t>Hindi cinema</t>
        </is>
      </c>
      <c r="H175" s="5" t="inlineStr">
        <is>
          <t>Born 30 September 1909; died 13 November 1956. A film director and screenwriter in Hindi cinema, associated with Bombay Talkies (PERSON-130) and best known for two of the biggest successes of the 1940s.</t>
        </is>
      </c>
      <c r="I175" s="5" t="inlineStr">
        <is>
          <t>Directing from the late 1930s.</t>
        </is>
      </c>
      <c r="J175" s="5" t="inlineStr">
        <is>
          <t>With Kapoor: Sangram (1950), which he directed and co-wrote. Elsewhere: Jhoola (1941) and Kismet (1943).</t>
        </is>
      </c>
      <c r="K175" s="19" t="inlineStr">
        <is>
          <t>The anti-hero and the socially transgressive protagonist — Kismet is generally credited with introducing that figure to Hindi cinema.</t>
        </is>
      </c>
      <c r="L175" s="19" t="inlineStr">
        <is>
          <t>A studio-system director working within the disciplined production methods of Bombay Talkies.</t>
        </is>
      </c>
      <c r="M175" s="5" t="n"/>
      <c r="N175" s="19" t="inlineStr">
        <is>
          <t>The director of Kismet, one of the longest-running and most influential Hindi films of the 1940s.</t>
        </is>
      </c>
      <c r="O175" s="19" t="inlineStr">
        <is>
          <t>One film, Sangram (1950), which he directed and co-wrote with Vrajendra Gaur, made at Bombay Talkies with a C. Ramchandra (PERSON-028) score. It is one of Kapoor's child-actor films, made when he was twelve and billed as Shashiraj, and it places the beginning of his screen life inside one of the major studios of the era. Mukherjee died six years later, long before Kapoor's adult career began. His article does not mention him.</t>
        </is>
      </c>
      <c r="P175" s="17" t="n">
        <v>1</v>
      </c>
      <c r="Q175" s="5" t="inlineStr">
        <is>
          <t>FILM-002</t>
        </is>
      </c>
      <c r="R175" s="5" t="inlineStr">
        <is>
          <t>Sangram (1950), his only film with Kapoor</t>
        </is>
      </c>
      <c r="S175" s="5" t="inlineStr">
        <is>
          <t>Gyan Mukherjee directed and co-wrote Sangram in 1950, one of Shashi Kapoor's child-actor films, made when he was twelve and billed as Shashiraj. The credit places the very beginning of his screen life in serious company. Mukherjee was among the leading directors of the Bombay Talkies studio, one of the most organised production operations in Indian cinema, and had made Jhoola in 1941 and, in 1943, Kismet — a film that ran for years, became one of the greatest commercial successes of the decade, and is generally credited with introducing the anti-hero to Hindi cinema. Sangram was written with Vrajendra Gaur, who took the dialogue while Mukherjee kept story and screenplay, produced by Sargam Pictures' Unit and scored by C. Ramchandra. Born on 30 September 1909, Mukherjee died on 13 November 1956 at forty-seven, long before Kapoor's adult career began, so the two never worked together again. His article does not mention him.</t>
        </is>
      </c>
      <c r="T175" s="5" t="inlineStr">
        <is>
          <t>SOURCE-231</t>
        </is>
      </c>
      <c r="U175" s="5" t="inlineStr">
        <is>
          <t>High</t>
        </is>
      </c>
    </row>
    <row r="176" ht="94" customHeight="1">
      <c r="A176" s="15" t="inlineStr">
        <is>
          <t>PERSON-175</t>
        </is>
      </c>
      <c r="B176" s="5" t="inlineStr">
        <is>
          <t>H. Dinesh</t>
        </is>
      </c>
      <c r="C176" s="5" t="inlineStr">
        <is>
          <t>Director</t>
        </is>
      </c>
      <c r="D176" s="18" t="n"/>
      <c r="E176" s="18" t="n"/>
      <c r="F176" s="5" t="n"/>
      <c r="G176" s="5" t="inlineStr">
        <is>
          <t>Hindi cinema</t>
        </is>
      </c>
      <c r="H176" s="5" t="inlineStr">
        <is>
          <t>No Wikipedia article exists for him, and none was found under any variant spelling. Everything here rests on the credit of the single film.</t>
        </is>
      </c>
      <c r="I176" s="5" t="n"/>
      <c r="J176" s="5" t="inlineStr">
        <is>
          <t>With Kapoor: Bhavani Junction (1985).</t>
        </is>
      </c>
      <c r="K176" s="19" t="inlineStr">
        <is>
          <t>Not established from a single credit.</t>
        </is>
      </c>
      <c r="L176" s="19" t="inlineStr">
        <is>
          <t>Not established; no biographical source was located.</t>
        </is>
      </c>
      <c r="M176" s="5" t="n"/>
      <c r="N176" s="19" t="inlineStr">
        <is>
          <t>Not established.</t>
        </is>
      </c>
      <c r="O176" s="19" t="inlineStr">
        <is>
          <t>One directing credit, on Bhavani Junction (1985), produced by Deepak Shivdasani (PERSON-150), written by Jainendra Jain (PERSON-066) and scored by Bappi Lahiri (PERSON-004).</t>
        </is>
      </c>
      <c r="P176" s="17" t="n">
        <v>1</v>
      </c>
      <c r="Q176" s="5" t="inlineStr">
        <is>
          <t>FILM-119</t>
        </is>
      </c>
      <c r="R176" s="5" t="inlineStr">
        <is>
          <t>Bhavani Junction (1985), his only film with Kapoor</t>
        </is>
      </c>
      <c r="S176" s="5" t="inlineStr">
        <is>
          <t>H. Dinesh directed Bhavani Junction in 1985, his only credit in this filmography — a commercial picture produced by Deepak Shivdasani, written by Jainendra Jain and scored by Bappi Lahiri, from the phase in which Shashi Kapoor was moving into senior and supporting roles. No Wikipedia article exists for the director under this name or any variant attempted during research, and no other biographical source was located, so nothing can be said about his other films or his dates. The entry is included because this workbook records every credited director, and it is graded Low.</t>
        </is>
      </c>
      <c r="T176" s="5" t="inlineStr">
        <is>
          <t>SOURCE-100</t>
        </is>
      </c>
      <c r="U176" s="5" t="inlineStr">
        <is>
          <t>Low</t>
        </is>
      </c>
    </row>
    <row r="177" ht="169" customHeight="1">
      <c r="A177" s="15" t="inlineStr">
        <is>
          <t>PERSON-176</t>
        </is>
      </c>
      <c r="B177" s="5" t="inlineStr">
        <is>
          <t>Hanif Kureishi</t>
        </is>
      </c>
      <c r="C177" s="5" t="inlineStr">
        <is>
          <t>Writer</t>
        </is>
      </c>
      <c r="D177" s="17" t="n">
        <v>1954</v>
      </c>
      <c r="E177" s="18" t="n"/>
      <c r="F177" s="5" t="n"/>
      <c r="G177" s="5" t="inlineStr">
        <is>
          <t>British cinema and literature</t>
        </is>
      </c>
      <c r="H177" s="5" t="inlineStr">
        <is>
          <t>Born 5 December 1954. A British playwright, screenwriter and novelist. Following a spinal injury in 2022 he wrote Shattered (2024), which was a finalist for the 2025 National Book Critics Circle Award for Autobiography.</t>
        </is>
      </c>
      <c r="I177" s="5" t="inlineStr">
        <is>
          <t>His breakthrough screenplay was My Beautiful Laundrette (1985) for Stephen Frears.</t>
        </is>
      </c>
      <c r="J177" s="5" t="inlineStr">
        <is>
          <t>With Kapoor: Sammy and Rosie Get Laid (1987). Elsewhere: My Beautiful Laundrette (1985) and the novel The Buddha of Suburbia (1990), adapted as a four-part BBC drama.</t>
        </is>
      </c>
      <c r="K177" s="19" t="inlineStr">
        <is>
          <t>Race, class and sexuality in Thatcher-era Britain; the second-generation British Asian experience; the collision of private desire with public politics.</t>
        </is>
      </c>
      <c r="L177" s="19" t="inlineStr">
        <is>
          <t>A writer of abrasive, comic and politically direct dialogue, unsentimental about both British racism and his characters' own evasions.</t>
        </is>
      </c>
      <c r="M177" s="5" t="inlineStr">
        <is>
          <t>Academy Award and BAFTA Award nominations for Best Original Screenplay for My Beautiful Laundrette.</t>
        </is>
      </c>
      <c r="N177" s="19" t="inlineStr">
        <is>
          <t>The defining writer of British Asian experience on screen in the 1980s, and one of the central voices of that decade's British cinema.</t>
        </is>
      </c>
      <c r="O177" s="19" t="inlineStr">
        <is>
          <t>One film, Sammy and Rosie Get Laid (1987), directed by Stephen Frears and financed by FilmFour International (PERSON-163), in which Kapoor plays Rafi — a former minister of an unnamed Asian government, implicated in torture, who visits his son in a London convulsed by riots. It is the least comfortable role of Kapoor's career and the furthest from the romantic persona this workbook measures: a charming man the film refuses to forgive.</t>
        </is>
      </c>
      <c r="P177" s="17" t="n">
        <v>1</v>
      </c>
      <c r="Q177" s="5" t="inlineStr">
        <is>
          <t>FILM-132</t>
        </is>
      </c>
      <c r="R177" s="5" t="inlineStr">
        <is>
          <t>Sammy and Rosie Get Laid (1987), his only film with Kapoor</t>
        </is>
      </c>
      <c r="S177" s="5" t="inlineStr">
        <is>
          <t>Hanif Kureishi wrote Sammy and Rosie Get Laid, the 1987 film directed by Stephen Frears in which Shashi Kapoor plays Rafi, a former government minister with a record of torture behind him, arriving in a riot-torn London to see his son. It is the hardest role of Kapoor's career and the one furthest from the courteous romantic persona this workbook tracks — Kureishi uses his charm against him, and the film declines to absolve the character. Born in 1954, Kureishi had already written My Beautiful Laundrette for Frears, earning Academy Award and BAFTA nominations, and would publish The Buddha of Suburbia in 1990; after a spinal injury in 2022 he wrote the memoir Shattered. His article does not mention Kapoor.</t>
        </is>
      </c>
      <c r="T177" s="5" t="inlineStr">
        <is>
          <t>SOURCE-232</t>
        </is>
      </c>
      <c r="U177" s="5" t="inlineStr">
        <is>
          <t>High</t>
        </is>
      </c>
    </row>
    <row r="178" ht="94" customHeight="1">
      <c r="A178" s="15" t="inlineStr">
        <is>
          <t>PERSON-177</t>
        </is>
      </c>
      <c r="B178" s="5" t="inlineStr">
        <is>
          <t>Hans Choudhary</t>
        </is>
      </c>
      <c r="C178" s="5" t="inlineStr">
        <is>
          <t>Producer</t>
        </is>
      </c>
      <c r="D178" s="18" t="n"/>
      <c r="E178" s="18" t="n"/>
      <c r="F178" s="5" t="n"/>
      <c r="G178" s="5" t="inlineStr">
        <is>
          <t>Hindi cinema</t>
        </is>
      </c>
      <c r="H178" s="5" t="inlineStr">
        <is>
          <t>No Wikipedia article exists for him, and none was found under any variant spelling. Everything here rests on the credit of the single film.</t>
        </is>
      </c>
      <c r="I178" s="5" t="n"/>
      <c r="J178" s="5" t="inlineStr">
        <is>
          <t>With Kapoor: Neend Hamari Khwab Tumhare (1966).</t>
        </is>
      </c>
      <c r="K178" s="19" t="inlineStr">
        <is>
          <t>Not established from a single credit.</t>
        </is>
      </c>
      <c r="L178" s="19" t="inlineStr">
        <is>
          <t>Not applicable; no biographical source was located.</t>
        </is>
      </c>
      <c r="M178" s="5" t="n"/>
      <c r="N178" s="19" t="inlineStr">
        <is>
          <t>Not established.</t>
        </is>
      </c>
      <c r="O178" s="19" t="inlineStr">
        <is>
          <t>One producing credit, on Neend Hamari Khwab Tumhare (1966), scored by Madan Mohan (PERSON-218) — a film from the year after Kapoor's rise to stardom, when he was consolidating his position as a romantic lead.</t>
        </is>
      </c>
      <c r="P178" s="17" t="n">
        <v>1</v>
      </c>
      <c r="Q178" s="5" t="inlineStr">
        <is>
          <t>FILM-020</t>
        </is>
      </c>
      <c r="R178" s="5" t="inlineStr">
        <is>
          <t>Neend Hamari Khwab Tumhare (1966), his only film with Kapoor</t>
        </is>
      </c>
      <c r="S178" s="5" t="inlineStr">
        <is>
          <t>Hans Choudhary produced Neend Hamari Khwab Tumhare in 1966, his only credit in this filmography. The film comes from the year after Waqt and Jab Jab Phool Khile had made Shashi Kapoor a star, when he was taking a run of romantic leads to consolidate that position, and it carries a score by Madan Mohan, one of the most admired melodists of the period and the composer of only this one film in the filmography. No Wikipedia article exists for Choudhary under this name or any variant attempted in research, and no other biographical source was located. The entry is graded Low and rests on the single film credit.</t>
        </is>
      </c>
      <c r="T178" s="5" t="inlineStr">
        <is>
          <t>SOURCE-015</t>
        </is>
      </c>
      <c r="U178" s="5" t="inlineStr">
        <is>
          <t>Low</t>
        </is>
      </c>
    </row>
    <row r="179" ht="94" customHeight="1">
      <c r="A179" s="15" t="inlineStr">
        <is>
          <t>PERSON-178</t>
        </is>
      </c>
      <c r="B179" s="5" t="inlineStr">
        <is>
          <t>Hemant Bhonsle</t>
        </is>
      </c>
      <c r="C179" s="5" t="inlineStr">
        <is>
          <t>Song composer</t>
        </is>
      </c>
      <c r="D179" s="18" t="n"/>
      <c r="E179" s="18" t="n"/>
      <c r="F179" s="5" t="n"/>
      <c r="G179" s="5" t="inlineStr">
        <is>
          <t>Hindi cinema</t>
        </is>
      </c>
      <c r="H179" s="5" t="inlineStr">
        <is>
          <t>No Wikipedia article exists for him, and none was found under any variant spelling. Everything here rests on the credit of the single film.</t>
        </is>
      </c>
      <c r="I179" s="5" t="n"/>
      <c r="J179" s="5" t="inlineStr">
        <is>
          <t>With Kapoor: Bandhan Kuchchey Dhaagon Ka (1983).</t>
        </is>
      </c>
      <c r="K179" s="19" t="inlineStr">
        <is>
          <t>Not established from a single credit.</t>
        </is>
      </c>
      <c r="L179" s="19" t="inlineStr">
        <is>
          <t>Not established; no biographical source was located.</t>
        </is>
      </c>
      <c r="M179" s="5" t="n"/>
      <c r="N179" s="19" t="inlineStr">
        <is>
          <t>Not established.</t>
        </is>
      </c>
      <c r="O179" s="19" t="inlineStr">
        <is>
          <t>One song-composing credit, on Bandhan Kuchchey Dhaagon Ka (1983), directed and written by Anil Sharma (PERSON-104) early in that director's career.</t>
        </is>
      </c>
      <c r="P179" s="17" t="n">
        <v>1</v>
      </c>
      <c r="Q179" s="5" t="inlineStr">
        <is>
          <t>FILM-108</t>
        </is>
      </c>
      <c r="R179" s="5" t="inlineStr">
        <is>
          <t>Bandhan Kuchchey Dhaagon Ka (1983), his only film with Kapoor</t>
        </is>
      </c>
      <c r="S179" s="5" t="inlineStr">
        <is>
          <t>Hemant Bhonsle composed the songs for Bandhan Kuchchey Dhaagon Ka, released in 1983, his only credit in this filmography. The film was written and directed by Anil Sharma three years into a career that would later produce Gadar: Ek Prem Katha, and it belongs to the transitional stretch in which Shashi Kapoor's commercial standing was falling away. No Wikipedia article exists for Bhonsle under this name or any variant attempted during research, and no other biographical source was located, so nothing further can be established about his output. The entry is graded Low.</t>
        </is>
      </c>
      <c r="T179" s="5" t="inlineStr">
        <is>
          <t>SOURCE-092</t>
        </is>
      </c>
      <c r="U179" s="5" t="inlineStr">
        <is>
          <t>Low</t>
        </is>
      </c>
    </row>
    <row r="180" ht="154" customHeight="1">
      <c r="A180" s="15" t="inlineStr">
        <is>
          <t>PERSON-179</t>
        </is>
      </c>
      <c r="B180" s="5" t="inlineStr">
        <is>
          <t>Hemant Kumar</t>
        </is>
      </c>
      <c r="C180" s="5" t="inlineStr">
        <is>
          <t>Song composer</t>
        </is>
      </c>
      <c r="D180" s="17" t="n">
        <v>1920</v>
      </c>
      <c r="E180" s="17" t="n">
        <v>1989</v>
      </c>
      <c r="F180" s="5" t="inlineStr">
        <is>
          <t>1935–1989</t>
        </is>
      </c>
      <c r="G180" s="5" t="inlineStr">
        <is>
          <t>Bengali and Hindi cinema</t>
        </is>
      </c>
      <c r="H180" s="5" t="inlineStr">
        <is>
          <t>Born Hemanta Mukhopadhyay on 16 June 1920; died 26 September 1989. Known professionally as Hemanta Mukherjee and Hemant Kumar, he was a music director and playback singer who sang chiefly in Bengali and Hindi but also in Marathi, Gujarati, Odia, Assamese, Tamil, Punjabi, Bhojpuri, Konkani, Sanskrit and Urdu, and was an important interpreter of Rabindra Sangeet.</t>
        </is>
      </c>
      <c r="I180" s="5" t="inlineStr">
        <is>
          <t>Recording from 1935.</t>
        </is>
      </c>
      <c r="J180" s="5" t="inlineStr">
        <is>
          <t>With Kapoor: Siddhartha (1972). Elsewhere, a very large body of Bengali and Hindi film music and Rabindra Sangeet recordings.</t>
        </is>
      </c>
      <c r="K180" s="19" t="inlineStr">
        <is>
          <t>Rabindra Sangeet and Bengali melody carried into Hindi film scoring.</t>
        </is>
      </c>
      <c r="L180" s="19" t="inlineStr">
        <is>
          <t>A composer-singer of exceptional vocal warmth, popularly called the Voice of God.</t>
        </is>
      </c>
      <c r="M180" s="5" t="inlineStr">
        <is>
          <t>Two National Film Awards for Best Male Playback Singer.</t>
        </is>
      </c>
      <c r="N180" s="19" t="inlineStr">
        <is>
          <t>One of the defining voices of Bengali music in the twentieth century and a significant Hindi film composer.</t>
        </is>
      </c>
      <c r="O180" s="19" t="inlineStr">
        <is>
          <t>One film, and an unexpected one: Siddhartha (1972), the American adaptation of Hermann Hesse directed by Conrad Rooks (PERSON-144), in which Kapoor plays the title role. Commissioning one of Bengal's great composer-singers for a Western art film about Indian spiritual search is a characteristic piece of that production's ambition. His article does not mention Kapoor.</t>
        </is>
      </c>
      <c r="P180" s="17" t="n">
        <v>1</v>
      </c>
      <c r="Q180" s="5" t="inlineStr">
        <is>
          <t>FILM-041</t>
        </is>
      </c>
      <c r="R180" s="5" t="inlineStr">
        <is>
          <t>Siddhartha (1972), his only film with Kapoor</t>
        </is>
      </c>
      <c r="S180" s="5" t="inlineStr">
        <is>
          <t>Hemant Kumar wrote the music for Siddhartha, Conrad Rooks's 1972 adaptation of Hermann Hesse's novel, in which Shashi Kapoor plays the young Brahmin of the title. It is the only meeting between them, and an unusual commission on both sides: an American production about Indian spiritual search turning to one of the greatest of Bengali composer-singers rather than to a Hindi film composer, and Kapoor carrying a Western art film at the height of his commercial Hindi output. Born Hemanta Mukhopadhyay in 1920 and known professionally as both Hemanta Mukherjee and Hemant Kumar, he was a music director and playback singer who sang chiefly in Bengali and Hindi but recorded in more than a dozen Indian languages, and was among the foremost interpreters of Rabindra Sangeet. He won two National Film Awards for Best Male Playback Singer, and his voice — unusually deep and unornamented — was popularly called the Voice of God. He worked from 1935 until his death in 1989. His article does not mention Kapoor.</t>
        </is>
      </c>
      <c r="T180" s="5" t="inlineStr">
        <is>
          <t>SOURCE-233</t>
        </is>
      </c>
      <c r="U180" s="5" t="inlineStr">
        <is>
          <t>High</t>
        </is>
      </c>
    </row>
    <row r="181" ht="139" customHeight="1">
      <c r="A181" s="15" t="inlineStr">
        <is>
          <t>PERSON-180</t>
        </is>
      </c>
      <c r="B181" s="5" t="inlineStr">
        <is>
          <t>Indeevar</t>
        </is>
      </c>
      <c r="C181" s="5" t="inlineStr">
        <is>
          <t>Writer</t>
        </is>
      </c>
      <c r="D181" s="17" t="n">
        <v>1924</v>
      </c>
      <c r="E181" s="17" t="n">
        <v>1997</v>
      </c>
      <c r="F181" s="5" t="inlineStr">
        <is>
          <t>1960s–1990s</t>
        </is>
      </c>
      <c r="G181" s="5" t="inlineStr">
        <is>
          <t>Hindi cinema</t>
        </is>
      </c>
      <c r="H181" s="5" t="inlineStr">
        <is>
          <t>Born Shyamalal Babu Rai on 1 January 1924; died 27 February 1997. Also credited as Indiwar and Indeewar, he was one of the leading Hindi film lyricists from the 1960s to the mid-1990s. His article's own occupation field gives him solely as a lyricist, which sits oddly beside the writing credit recorded here.</t>
        </is>
      </c>
      <c r="I181" s="5" t="inlineStr">
        <is>
          <t>Writing lyrics from the 1960s.</t>
        </is>
      </c>
      <c r="J181" s="5" t="inlineStr">
        <is>
          <t>With Kapoor: Neeyat (1980) carries his writing credit; he also wrote lyrics for several other films in this filmography, which the workbook records in the Films sheet rather than here.</t>
        </is>
      </c>
      <c r="K181" s="19" t="inlineStr">
        <is>
          <t>Devotional and philosophical lyrics alongside romantic ones; a plain, direct diction.</t>
        </is>
      </c>
      <c r="L181" s="19" t="inlineStr">
        <is>
          <t>A lyricist of great facility working across four decades of changing musical fashion.</t>
        </is>
      </c>
      <c r="M181" s="5" t="inlineStr">
        <is>
          <t>The Filmfare Best Lyricist Award, which his article records among his honours.</t>
        </is>
      </c>
      <c r="N181" s="19" t="inlineStr">
        <is>
          <t>One of the most prolific and durable Hindi film lyricists of the second half of the twentieth century.</t>
        </is>
      </c>
      <c r="O181" s="19" t="inlineStr">
        <is>
          <t>One credit in the writing field, on Neeyat (1980), directed by Anil Ganguly (PERSON-052). The credit should be read with care: Indeevar was a lyricist by trade, and his article describes him as nothing else, so this may reflect the film's own credit block rather than screenplay work. His lyric contributions to other Kapoor films are recorded in the Films sheet.</t>
        </is>
      </c>
      <c r="P181" s="17" t="n">
        <v>1</v>
      </c>
      <c r="Q181" s="5" t="inlineStr">
        <is>
          <t>FILM-093</t>
        </is>
      </c>
      <c r="R181" s="5" t="inlineStr">
        <is>
          <t>Neeyat (1980), his only credit in this sheet</t>
        </is>
      </c>
      <c r="S181" s="5" t="inlineStr">
        <is>
          <t>Indeevar appears in this sheet on the strength of a writing credit on Neeyat in 1980, though his trade was lyric-writing and his article describes him as a lyricist and nothing more — the credit may well reflect how the film's titles were arranged rather than screenplay work, and it is recorded here with that caution. Born Shyamalal Babu Rai in 1924, he was among the leading Hindi film lyricists from the 1960s to the mid-1990s, working across four decades of changing musical fashion in a plain, direct idiom that served devotional and philosophical songs as readily as romantic ones, and won the Filmfare Best Lyricist Award. He wrote lyrics for several other films in this filmography, which the workbook records in the Films sheet. He died in 1997.</t>
        </is>
      </c>
      <c r="T181" s="5" t="inlineStr">
        <is>
          <t>SOURCE-234</t>
        </is>
      </c>
      <c r="U181" s="5" t="inlineStr">
        <is>
          <t>Medium</t>
        </is>
      </c>
    </row>
    <row r="182" ht="94" customHeight="1">
      <c r="A182" s="15" t="inlineStr">
        <is>
          <t>PERSON-181</t>
        </is>
      </c>
      <c r="B182" s="5" t="inlineStr">
        <is>
          <t>Inder Kapoor</t>
        </is>
      </c>
      <c r="C182" s="5" t="inlineStr">
        <is>
          <t>Producer</t>
        </is>
      </c>
      <c r="D182" s="18" t="n"/>
      <c r="E182" s="18" t="n"/>
      <c r="F182" s="5" t="n"/>
      <c r="G182" s="5" t="inlineStr">
        <is>
          <t>Hindi cinema</t>
        </is>
      </c>
      <c r="H182" s="5" t="inlineStr">
        <is>
          <t>No Wikipedia article exists for him, and none was found under any variant spelling. He is not known to be related to the Kapoor film family. Everything here rests on the credit of the single film.</t>
        </is>
      </c>
      <c r="I182" s="5" t="n"/>
      <c r="J182" s="5" t="inlineStr">
        <is>
          <t>With Kapoor: Anari (1975).</t>
        </is>
      </c>
      <c r="K182" s="19" t="inlineStr">
        <is>
          <t>Not established from a single credit.</t>
        </is>
      </c>
      <c r="L182" s="19" t="inlineStr">
        <is>
          <t>Not applicable; no biographical source was located.</t>
        </is>
      </c>
      <c r="M182" s="5" t="n"/>
      <c r="N182" s="19" t="inlineStr">
        <is>
          <t>Not established.</t>
        </is>
      </c>
      <c r="O182" s="19" t="inlineStr">
        <is>
          <t>One producing credit, on Anari (1975), directed by Asit Sen (PERSON-054) and scored by Laxmikant–Pyarelal (PERSON-001) — one of the quieter films of Kapoor's peak commercial period, made by a director formed in the Bengali melodrama tradition.</t>
        </is>
      </c>
      <c r="P182" s="17" t="n">
        <v>1</v>
      </c>
      <c r="Q182" s="5" t="inlineStr">
        <is>
          <t>FILM-051</t>
        </is>
      </c>
      <c r="R182" s="5" t="inlineStr">
        <is>
          <t>Anari (1975), his only film with Kapoor</t>
        </is>
      </c>
      <c r="S182" s="5" t="inlineStr">
        <is>
          <t>Inder Kapoor produced Anari in 1975, his only credit in this filmography. The film was directed by Asit Sen, whose reputation had been made in Bengali art melodrama, and scored by Laxmikant–Pyarelal, and it sits at the quieter end of Shashi Kapoor's output in a year otherwise dominated by Deewaar and Prem Kahani. No Wikipedia article exists for the producer under this name or any variant attempted during research, and despite the surname he is not known to be connected to the Kapoor film family. The entry is graded Low and rests on the single film credit.</t>
        </is>
      </c>
      <c r="T182" s="5" t="inlineStr">
        <is>
          <t>SOURCE-040</t>
        </is>
      </c>
      <c r="U182" s="5" t="inlineStr">
        <is>
          <t>Low</t>
        </is>
      </c>
    </row>
    <row r="183" ht="139" customHeight="1">
      <c r="A183" s="15" t="inlineStr">
        <is>
          <t>PERSON-182</t>
        </is>
      </c>
      <c r="B183" s="5" t="inlineStr">
        <is>
          <t>Iqbal Qureshi</t>
        </is>
      </c>
      <c r="C183" s="5" t="inlineStr">
        <is>
          <t>Song composer</t>
        </is>
      </c>
      <c r="D183" s="17" t="n">
        <v>1930</v>
      </c>
      <c r="E183" s="17" t="n">
        <v>1998</v>
      </c>
      <c r="F183" s="5" t="inlineStr">
        <is>
          <t>1958–1986</t>
        </is>
      </c>
      <c r="G183" s="5" t="inlineStr">
        <is>
          <t>Hindi cinema</t>
        </is>
      </c>
      <c r="H183" s="5" t="inlineStr">
        <is>
          <t>Born 12 May 1930; died 21 March 1998. A music composer and director credited with scores for several Hindi films between 1958 and 1986. His interest in music began in childhood, singing at private gatherings and for All India Radio; after moving to Mumbai he became involved with the Indian People's Theatre Association and began directing music for dramas.</t>
        </is>
      </c>
      <c r="I183" s="5" t="inlineStr">
        <is>
          <t>Panchayat (1958).</t>
        </is>
      </c>
      <c r="J183" s="5" t="inlineStr">
        <is>
          <t>With Kapoor: Yeh Dil Kisko Doon (1963). Elsewhere: Bindiya (1960), Love in Simla (1960), Banarsi Thug (1962) and Cha Cha Cha (1964), whose song 'Ek Chameli Ke Mandve Tale' is his best-known composition.</t>
        </is>
      </c>
      <c r="K183" s="19" t="inlineStr">
        <is>
          <t>Melodic film songs written for the leading playback voices of the period, including Mohammed Rafi, Mukesh, Mahendra Kapoor and the three Mangeshkar sisters.</t>
        </is>
      </c>
      <c r="L183" s="19" t="inlineStr">
        <is>
          <t>A composer formed partly in the left cultural theatre of the IPTA, working in the mainstream melodic idiom of the early 1960s.</t>
        </is>
      </c>
      <c r="M183" s="5" t="n"/>
      <c r="N183" s="19" t="inlineStr">
        <is>
          <t>Composer for Cha Cha Cha, described in his article as the first Indian film to feature Western dance.</t>
        </is>
      </c>
      <c r="O183" s="19" t="inlineStr">
        <is>
          <t>One film, Yeh Dil Kisko Doon (1963), written and directed by Kanak Mishra (PERSON-069) and produced by B. D. Kapoor (PERSON-110). It falls in the uncertain years after Dharmputra and Char Diwari had failed, and was among the modest successes that kept Kapoor working until 1965. His article names the film among his credits but does not mention Kapoor.</t>
        </is>
      </c>
      <c r="P183" s="17" t="n">
        <v>1</v>
      </c>
      <c r="Q183" s="5" t="inlineStr">
        <is>
          <t>FILM-011</t>
        </is>
      </c>
      <c r="R183" s="5" t="inlineStr">
        <is>
          <t>Yeh Dil Kisko Doon (1963), his only film with Kapoor</t>
        </is>
      </c>
      <c r="S183" s="5" t="inlineStr">
        <is>
          <t>Iqbal Qureshi composed the songs for Yeh Dil Kisko Doon in 1963, a film that matters in this filmography chiefly for its timing: it came after Dharmputra and Char Diwari had both failed, when Shashi Kapoor's standing as a leading man was genuinely unsettled, and it was among the modest successes that sustained him until Waqt and Jab Jab Phool Khile made him a star two years later. Kanak Mishra wrote and directed it and B. D. Kapoor produced, under the Bindu Kala Mandir banner. Born on 12 May 1930, Qureshi sang at private gatherings and for All India Radio as a boy, became involved with the Indian People's Theatre Association after moving to Bombay and directed music for its dramas before scoring his first film, Panchayat, in 1958; Bindiya, Love in Simla and Banarsi Thug followed. His best-known composition is 'Ek Chameli Ke Mandve Tale' from Cha Cha Cha in 1964, which his article calls the first Indian film to feature Western dance. He died on 21 March 1998.</t>
        </is>
      </c>
      <c r="T183" s="5" t="inlineStr">
        <is>
          <t>SOURCE-235</t>
        </is>
      </c>
      <c r="U183" s="5" t="inlineStr">
        <is>
          <t>High</t>
        </is>
      </c>
    </row>
    <row r="184" ht="139" customHeight="1">
      <c r="A184" s="15" t="inlineStr">
        <is>
          <t>PERSON-183</t>
        </is>
      </c>
      <c r="B184" s="5" t="inlineStr">
        <is>
          <t>Ismat Chugtai</t>
        </is>
      </c>
      <c r="C184" s="5" t="inlineStr">
        <is>
          <t>Writer</t>
        </is>
      </c>
      <c r="D184" s="17" t="n">
        <v>1911</v>
      </c>
      <c r="E184" s="17" t="n">
        <v>1991</v>
      </c>
      <c r="F184" s="5" t="n"/>
      <c r="G184" s="5" t="inlineStr">
        <is>
          <t>Urdu literature and Hindi cinema</t>
        </is>
      </c>
      <c r="H184" s="5" t="inlineStr">
        <is>
          <t>Born Ismat Chughtai on 21 August 1911 in Budaun, United Provinces; died 24 October 1991 in Bombay. An Urdu novelist, short-story writer, liberal humanist and filmmaker, educated at Aligarh Muslim University and married to the filmmaker Shaheed Latif. The workbook credits her under the spelling used on the film.</t>
        </is>
      </c>
      <c r="I184" s="5" t="inlineStr">
        <is>
          <t>Writing from the 1930s.</t>
        </is>
      </c>
      <c r="J184" s="5" t="inlineStr">
        <is>
          <t>With Kapoor: Junoon (1979). Elsewhere, a large body of Urdu fiction, most famously the story Lihaaf.</t>
        </is>
      </c>
      <c r="K184" s="19" t="inlineStr">
        <is>
          <t>Female sexuality and femininity, middle-class gentility and class conflict, frequently treated from a Marxist perspective.</t>
        </is>
      </c>
      <c r="L184" s="19" t="inlineStr">
        <is>
          <t>A literary realist whose fiction was direct about subjects Urdu letters had avoided, and who was prosecuted for obscenity over Lihaaf.</t>
        </is>
      </c>
      <c r="M184" s="5" t="n"/>
      <c r="N184" s="19" t="inlineStr">
        <is>
          <t>One of the most important Urdu writers of the twentieth century and a foundational figure in Indian feminist literature.</t>
        </is>
      </c>
      <c r="O184" s="19" t="inlineStr">
        <is>
          <t>One writing credit, on Junoon (1979), the Shyam Benegal (PERSON-083) film of the 1857 rebellion that Kapoor produced through Film-Valas and in which he plays the obsessive Javed Khan. Her involvement is another instance of the Film-Valas programme drawing major literary figures into Kapoor's films, alongside Girish Karnad, Satyadev Dubey and Dilip Chitre.</t>
        </is>
      </c>
      <c r="P184" s="17" t="n">
        <v>1</v>
      </c>
      <c r="Q184" s="5" t="inlineStr">
        <is>
          <t>FILM-084</t>
        </is>
      </c>
      <c r="R184" s="5" t="inlineStr">
        <is>
          <t>Junoon (1979), her only film with Kapoor</t>
        </is>
      </c>
      <c r="S184" s="5" t="inlineStr">
        <is>
          <t>Ismat Chughtai has a writing credit on Junoon, the 1979 film of the 1857 rebellion that Shashi Kapoor produced through Film-Valas and in which he plays a Pathan destroyed by his obsession with an English girl. Her presence on it is characteristic of that programme, which repeatedly brought serious literary figures into his films. Chughtai, born in 1911, was among the most important Urdu writers of her century: she wrote from the 1930s on female sexuality, middle-class respectability and class conflict, often from a Marxist standpoint, and was prosecuted for obscenity over her story Lihaaf. She was married to the filmmaker Shaheed Latif and worked in cinema herself. She died in 1991. Her article does not mention Kapoor.</t>
        </is>
      </c>
      <c r="T184" s="5" t="inlineStr">
        <is>
          <t>SOURCE-236</t>
        </is>
      </c>
      <c r="U184" s="5" t="inlineStr">
        <is>
          <t>High</t>
        </is>
      </c>
    </row>
    <row r="185" ht="94" customHeight="1">
      <c r="A185" s="15" t="inlineStr">
        <is>
          <t>PERSON-184</t>
        </is>
      </c>
      <c r="B185" s="5" t="inlineStr">
        <is>
          <t>Jagdish Bahroos</t>
        </is>
      </c>
      <c r="C185" s="5" t="inlineStr">
        <is>
          <t>Producer</t>
        </is>
      </c>
      <c r="D185" s="18" t="n"/>
      <c r="E185" s="18" t="n"/>
      <c r="F185" s="5" t="n"/>
      <c r="G185" s="5" t="inlineStr">
        <is>
          <t>Hindi cinema</t>
        </is>
      </c>
      <c r="H185" s="5" t="inlineStr">
        <is>
          <t>No Wikipedia article exists for him, and none was found under any variant spelling. Everything here rests on the credit of the single film.</t>
        </is>
      </c>
      <c r="I185" s="5" t="n"/>
      <c r="J185" s="5" t="inlineStr">
        <is>
          <t>With Kapoor: Gehri Chot - Urf: Durdesh (1983).</t>
        </is>
      </c>
      <c r="K185" s="19" t="inlineStr">
        <is>
          <t>Not established from a single credit.</t>
        </is>
      </c>
      <c r="L185" s="19" t="inlineStr">
        <is>
          <t>Not applicable; no biographical source was located.</t>
        </is>
      </c>
      <c r="M185" s="5" t="n"/>
      <c r="N185" s="19" t="inlineStr">
        <is>
          <t>Not established.</t>
        </is>
      </c>
      <c r="O185" s="19" t="inlineStr">
        <is>
          <t>One producing credit, on Gehri Chot - Urf: Durdesh (1983), shared with Ashok 'Charlie' Mehra (PERSON-108), directed by Ambrish Sangal (PERSON-096) under the Friends Films International banner (PERSON-165) and scored by Usha Khanna (PERSON-047).</t>
        </is>
      </c>
      <c r="P185" s="17" t="n">
        <v>1</v>
      </c>
      <c r="Q185" s="5" t="inlineStr">
        <is>
          <t>FILM-110</t>
        </is>
      </c>
      <c r="R185" s="5" t="inlineStr">
        <is>
          <t>Gehri Chot - Urf: Durdesh (1983), his only film with Kapoor</t>
        </is>
      </c>
      <c r="S185" s="5" t="inlineStr">
        <is>
          <t>Jagdish Bahroos produced Gehri Chot - Urf: Durdesh in 1983 with Ashok 'Charlie' Mehra, his only credit in this filmography. The film is notable in this research chiefly for how little of it is documented: its director, both producers and its banner all lack any biographical record, and only the composer Usha Khanna can be sourced. No Wikipedia article exists for Bahroos under this name or any variant attempted during research, and no other source was located. The film belongs to the transitional years in which Shashi Kapoor's leading-man career was ending. The entry is graded Low.</t>
        </is>
      </c>
      <c r="T185" s="5" t="inlineStr">
        <is>
          <t>SOURCE-091</t>
        </is>
      </c>
      <c r="U185" s="5" t="inlineStr">
        <is>
          <t>Low</t>
        </is>
      </c>
    </row>
    <row r="186" ht="94" customHeight="1">
      <c r="A186" s="15" t="inlineStr">
        <is>
          <t>PERSON-185</t>
        </is>
      </c>
      <c r="B186" s="5" t="inlineStr">
        <is>
          <t>Jagdish Sidana</t>
        </is>
      </c>
      <c r="C186" s="5" t="inlineStr">
        <is>
          <t>Director</t>
        </is>
      </c>
      <c r="D186" s="18" t="n"/>
      <c r="E186" s="18" t="n"/>
      <c r="F186" s="5" t="n"/>
      <c r="G186" s="5" t="inlineStr">
        <is>
          <t>Hindi cinema</t>
        </is>
      </c>
      <c r="H186" s="5" t="inlineStr">
        <is>
          <t>No Wikipedia article exists for him, and none was found under any variant spelling. Everything here rests on the credit of the single film.</t>
        </is>
      </c>
      <c r="I186" s="5" t="n"/>
      <c r="J186" s="5" t="inlineStr">
        <is>
          <t>With Kapoor: Bepanaah (1985).</t>
        </is>
      </c>
      <c r="K186" s="19" t="inlineStr">
        <is>
          <t>Not established from a single credit.</t>
        </is>
      </c>
      <c r="L186" s="19" t="inlineStr">
        <is>
          <t>Not established; no biographical source was located.</t>
        </is>
      </c>
      <c r="M186" s="5" t="n"/>
      <c r="N186" s="19" t="inlineStr">
        <is>
          <t>Not established.</t>
        </is>
      </c>
      <c r="O186" s="19" t="inlineStr">
        <is>
          <t>One directing credit, on Bepanaah (1985), produced by Bhagat J. Kumar (PERSON-119) and scored by Khayyam (PERSON-016) — the last of the four Khayyam films in this filmography.</t>
        </is>
      </c>
      <c r="P186" s="17" t="n">
        <v>1</v>
      </c>
      <c r="Q186" s="5" t="inlineStr">
        <is>
          <t>FILM-117</t>
        </is>
      </c>
      <c r="R186" s="5" t="inlineStr">
        <is>
          <t>Bepanaah (1985), his only film with Kapoor</t>
        </is>
      </c>
      <c r="S186" s="5" t="inlineStr">
        <is>
          <t>Jagdish Sidana directed Bepanaah in 1985, his only credit in this filmography. The film is of modest interest for its music: it carries the last of Khayyam's four scores for Shashi Kapoor, closing a collaboration that had begun with the Filmfare-winning songs of Kabhi Kabhie nine years earlier. Bhagat J. Kumar produced. No Wikipedia article exists for Sidana under this name or any variant attempted during research, and no other biographical source was located, so nothing can be said of his other films or his dates. The entry is graded Low and rests on the single film credit.</t>
        </is>
      </c>
      <c r="T186" s="5" t="inlineStr">
        <is>
          <t>SOURCE-098</t>
        </is>
      </c>
      <c r="U186" s="5" t="inlineStr">
        <is>
          <t>Low</t>
        </is>
      </c>
    </row>
    <row r="187" ht="154" customHeight="1">
      <c r="A187" s="15" t="inlineStr">
        <is>
          <t>PERSON-186</t>
        </is>
      </c>
      <c r="B187" s="5" t="inlineStr">
        <is>
          <t>Jamil Dehlavi</t>
        </is>
      </c>
      <c r="C187" s="5" t="inlineStr">
        <is>
          <t>Director; Producer; Writer</t>
        </is>
      </c>
      <c r="D187" s="17" t="n">
        <v>1944</v>
      </c>
      <c r="E187" s="18" t="n"/>
      <c r="F187" s="5" t="n"/>
      <c r="G187" s="5" t="inlineStr">
        <is>
          <t>British and Pakistani independent cinema</t>
        </is>
      </c>
      <c r="H187" s="5" t="inlineStr">
        <is>
          <t>Born in 1944. A London-based independent film director and producer of Pakistani-French origin, making films since the 1970s and widely screened internationally.</t>
        </is>
      </c>
      <c r="I187" s="5" t="inlineStr">
        <is>
          <t>Filmmaking from the 1970s; The Blood of Hussain (1980) is among his early works.</t>
        </is>
      </c>
      <c r="J187" s="5" t="inlineStr">
        <is>
          <t>With Kapoor: Jinnah (1998), which he directed, produced and wrote. Elsewhere: The Blood of Hussain (1980), Born of Fire (1987), Immaculate Conception (1992), Infinite Justice (2006) and Godforsaken (2010).</t>
        </is>
      </c>
      <c r="K187" s="19" t="inlineStr">
        <is>
          <t>Religion, political violence and Muslim identity; the unresolved consequences of partition.</t>
        </is>
      </c>
      <c r="L187" s="19" t="inlineStr">
        <is>
          <t>An independent filmmaker working outside both the British mainstream and commercial Pakistani cinema, with a taste for allegory and political provocation.</t>
        </is>
      </c>
      <c r="M187" s="5" t="inlineStr">
        <is>
          <t>For Jinnah: the Grand Prize at the Festival of the Dhow Countries, Best International Film at the World Film Awards in Indonesia, the Gold Award at Worldfest Flagstaff, Best Foreign Film at Worldfest Houston, and a Golden Pyramid nomination at the Cairo International Film Festival.</t>
        </is>
      </c>
      <c r="N187" s="19" t="inlineStr">
        <is>
          <t>The director of the most substantial film ever made about Muhammad Ali Jinnah and the partition of India from a Pakistani perspective.</t>
        </is>
      </c>
      <c r="O187" s="19" t="inlineStr">
        <is>
          <t>One film, Jinnah (1998), which Dehlavi directed, produced and wrote with Akbar S. Ahmed (PERSON-092), and in which Kapoor is the narrator — a role this workbook records as narration rather than a conventional part. It is one of the last three credits of his career, made in the year he stopped acting, and gives the filmography an unexpected final association with an internationally awarded political film.</t>
        </is>
      </c>
      <c r="P187" s="17" t="n">
        <v>1</v>
      </c>
      <c r="Q187" s="5" t="inlineStr">
        <is>
          <t>FILM-153</t>
        </is>
      </c>
      <c r="R187" s="5" t="inlineStr">
        <is>
          <t>Jinnah (1998), his only film with Kapoor</t>
        </is>
      </c>
      <c r="S187" s="5" t="inlineStr">
        <is>
          <t>Jamil Dehlavi directed, produced and co-wrote Jinnah, released in 1998, in which Shashi Kapoor serves as the film's narrator — one of the last three credits of an acting career that ended that year. The film is a defence of Muhammad Ali Jinnah and an account of partition from the Pakistani side, written with the academic and former diplomat Akbar S. Ahmed, mounted through a British company formed for the purpose and scored by Nigel Clarke and Michael Csányi-Wills. It travelled widely on the festival circuit, taking the Grand Prize at the Festival of the Dhow Countries, Best International Film at the World Film Awards in Indonesia, the Gold Award at Worldfest Flagstaff and Best Foreign Film at Worldfest Houston, and a Golden Pyramid nomination at Cairo. Dehlavi, born in 1944, is a London-based independent filmmaker of Pakistani-French origin who has worked since the 1970s on films preoccupied with religion and political violence — The Blood of Hussain, Born of Fire, Immaculate Conception, Infinite Justice and Godforsaken. His article does not mention Kapoor.</t>
        </is>
      </c>
      <c r="T187" s="5" t="inlineStr">
        <is>
          <t>SOURCE-237</t>
        </is>
      </c>
      <c r="U187" s="5" t="inlineStr">
        <is>
          <t>High</t>
        </is>
      </c>
    </row>
    <row r="188" ht="79" customHeight="1">
      <c r="A188" s="15" t="inlineStr">
        <is>
          <t>PERSON-187</t>
        </is>
      </c>
      <c r="B188" s="5" t="inlineStr">
        <is>
          <t>Jawahar Kapoor</t>
        </is>
      </c>
      <c r="C188" s="5" t="inlineStr">
        <is>
          <t>Producer</t>
        </is>
      </c>
      <c r="D188" s="18" t="n"/>
      <c r="E188" s="18" t="n"/>
      <c r="F188" s="5" t="n"/>
      <c r="G188" s="5" t="inlineStr">
        <is>
          <t>Hindi cinema</t>
        </is>
      </c>
      <c r="H188" s="5" t="inlineStr">
        <is>
          <t>No Wikipedia article exists for him, and none was found under any variant spelling. He is not known to be related to the Kapoor film family. Everything here rests on the credit of the single film.</t>
        </is>
      </c>
      <c r="I188" s="5" t="n"/>
      <c r="J188" s="5" t="inlineStr">
        <is>
          <t>With Kapoor: Vakil Babu (1982).</t>
        </is>
      </c>
      <c r="K188" s="19" t="inlineStr">
        <is>
          <t>Not established from a single credit.</t>
        </is>
      </c>
      <c r="L188" s="19" t="inlineStr">
        <is>
          <t>Not applicable; no biographical source was located.</t>
        </is>
      </c>
      <c r="M188" s="5" t="n"/>
      <c r="N188" s="19" t="inlineStr">
        <is>
          <t>Not established.</t>
        </is>
      </c>
      <c r="O188" s="19" t="inlineStr">
        <is>
          <t>One producing credit, on Vakil Babu (1982), directed by Asit Sen (PERSON-054), written by Inder Raj Anand (PERSON-014) and scored by Laxmikant–Pyarelal (PERSON-001).</t>
        </is>
      </c>
      <c r="P188" s="17" t="n">
        <v>1</v>
      </c>
      <c r="Q188" s="5" t="inlineStr">
        <is>
          <t>FILM-104</t>
        </is>
      </c>
      <c r="R188" s="5" t="inlineStr">
        <is>
          <t>Vakil Babu (1982), his only film with Kapoor</t>
        </is>
      </c>
      <c r="S188" s="5" t="inlineStr">
        <is>
          <t>Jawahar Kapoor produced Vakil Babu in 1982, his only credit in this filmography — a film directed by Asit Sen, written by Inder Raj Anand and scored by Laxmikant–Pyarelal, from the period in which Shashi Kapoor's run as a top commercial lead was ending. No Wikipedia article exists for the producer under this name or any variant attempted during research, and despite the surname he is not known to be connected to the Kapoor film family. The entry is graded Low and rests on the single film credit.</t>
        </is>
      </c>
      <c r="T188" s="5" t="inlineStr">
        <is>
          <t>SOURCE-085</t>
        </is>
      </c>
      <c r="U188" s="5" t="inlineStr">
        <is>
          <t>Low</t>
        </is>
      </c>
    </row>
    <row r="189" ht="154" customHeight="1">
      <c r="A189" s="15" t="inlineStr">
        <is>
          <t>PERSON-188</t>
        </is>
      </c>
      <c r="B189" s="5" t="inlineStr">
        <is>
          <t>John Scott</t>
        </is>
      </c>
      <c r="C189" s="5" t="inlineStr">
        <is>
          <t>Song composer</t>
        </is>
      </c>
      <c r="D189" s="17" t="n">
        <v>1930</v>
      </c>
      <c r="E189" s="18" t="n"/>
      <c r="F189" s="5" t="inlineStr">
        <is>
          <t>1960s–present</t>
        </is>
      </c>
      <c r="G189" s="5" t="inlineStr">
        <is>
          <t>British cinema and television</t>
        </is>
      </c>
      <c r="H189" s="5" t="inlineStr">
        <is>
          <t>Born Patrick John O'Hara Scott on 1 November 1930, and also credited as Johnny Scott and Patrick John Scott. An English composer, conductor and jazz musician who began as a pop and jazz arranger and session musician before becoming known for film and television scores. He also composes contemporary classical music.</t>
        </is>
      </c>
      <c r="I189" s="5" t="inlineStr">
        <is>
          <t>Working from the 1960s, first as an arranger and session player.</t>
        </is>
      </c>
      <c r="J189" s="5" t="inlineStr">
        <is>
          <t>With Kapoor: The Deceivers (1988). Elsewhere, scores for directors including Richard Donner, Mike Hodges, Hugh Hudson, Norman Jewison, Irvin Kershner, Ilaiyaraaja and Norman J. Warren.</t>
        </is>
      </c>
      <c r="K189" s="19" t="inlineStr">
        <is>
          <t>Orchestral film scoring across adventure, historical and horror subjects.</t>
        </is>
      </c>
      <c r="L189" s="19" t="inlineStr">
        <is>
          <t>A jazz-trained arranger turned orchestral composer, at home with large symphonic scores.</t>
        </is>
      </c>
      <c r="M189" s="5" t="inlineStr">
        <is>
          <t>A BASCA Gold Badge Award, presented on 16 October 2013 in recognition of his contribution to music.</t>
        </is>
      </c>
      <c r="N189" s="19" t="inlineStr">
        <is>
          <t>A prolific and versatile British film composer who has worked with a wide range of international directors.</t>
        </is>
      </c>
      <c r="O189" s="19" t="inlineStr">
        <is>
          <t>One film, The Deceivers (1988), the Merchant Ivory production directed by Nicholas Meyer in which Kapoor appears — one of the seven films he made with Ismail Merchant (PERSON-006). Scott's score is characteristic of the orchestral treatment Merchant Ivory brought to its period subjects.</t>
        </is>
      </c>
      <c r="P189" s="17" t="n">
        <v>1</v>
      </c>
      <c r="Q189" s="5" t="inlineStr">
        <is>
          <t>FILM-136</t>
        </is>
      </c>
      <c r="R189" s="5" t="inlineStr">
        <is>
          <t>The Deceivers (1988), his only film with Kapoor</t>
        </is>
      </c>
      <c r="S189" s="5" t="inlineStr">
        <is>
          <t>John Scott scored The Deceivers, the 1988 Merchant Ivory production about the Thuggee cult directed by Nicholas Meyer and written by Michael Hirst, one of the seven films Shashi Kapoor made under Ismail Merchant's production across thirty-five years. The orchestral treatment is characteristic of what the company brought to its period subjects by that stage of its work. Born Patrick John O'Hara Scott on 1 November 1930, and also credited as Johnny Scott and Patrick John Scott, he came to film music from jazz and pop arranging and session playing, and became one of the most prolific and versatile British composers of his generation, writing for Richard Donner, Mike Hodges, Hugh Hudson, Norman Jewison, Irvin Kershner, Ilaiyaraaja and Norman J. Warren — a list that spans Hollywood spectacle, British social drama, Indian cinema and horror. He also composes contemporary classical music. He received a BASCA Gold Badge Award on 16 October 2013 in recognition of his contribution to music. His article does not mention Kapoor.</t>
        </is>
      </c>
      <c r="T189" s="5" t="inlineStr">
        <is>
          <t>SOURCE-238</t>
        </is>
      </c>
      <c r="U189" s="5" t="inlineStr">
        <is>
          <t>High</t>
        </is>
      </c>
    </row>
    <row r="190" ht="139" customHeight="1">
      <c r="A190" s="15" t="inlineStr">
        <is>
          <t>PERSON-189</t>
        </is>
      </c>
      <c r="B190" s="5" t="inlineStr">
        <is>
          <t>K. Bapaiah</t>
        </is>
      </c>
      <c r="C190" s="5" t="inlineStr">
        <is>
          <t>Director</t>
        </is>
      </c>
      <c r="D190" s="18" t="n"/>
      <c r="E190" s="18" t="n"/>
      <c r="F190" s="5" t="n"/>
      <c r="G190" s="5" t="inlineStr">
        <is>
          <t>Telugu and Hindi cinema</t>
        </is>
      </c>
      <c r="H190" s="5" t="inlineStr">
        <is>
          <t>Born Kovelamudi Bapayya in Hyderabad; his article gives no dates. He lost both parents young and was raised by his paternal uncle, the filmmaker K. S. Prakash Rao, and is a first cousin of the director K. Raghavendra Rao. He studied in Vijayawada and Chennai and has directed about eighty films in Telugu and Hindi.</t>
        </is>
      </c>
      <c r="I190" s="5" t="inlineStr">
        <is>
          <t>Not recorded in the article.</t>
        </is>
      </c>
      <c r="J190" s="5" t="inlineStr">
        <is>
          <t>With Kapoor: Ghar Ek Mandir (1984). His wider output runs to some eighty films across two languages.</t>
        </is>
      </c>
      <c r="K190" s="19" t="inlineStr">
        <is>
          <t>Family melodrama and commercial drama, often remade across Telugu and Hindi.</t>
        </is>
      </c>
      <c r="L190" s="19" t="inlineStr">
        <is>
          <t>A high-output commercial director working in both southern and Hindi industries.</t>
        </is>
      </c>
      <c r="M190" s="5" t="n"/>
      <c r="N190" s="19" t="inlineStr">
        <is>
          <t>A prolific bilingual director and a member of one of Telugu cinema's principal filmmaking families.</t>
        </is>
      </c>
      <c r="O190" s="19" t="inlineStr">
        <is>
          <t>One film, Ghar Ek Mandir (1984), produced by A. Krishnamurthy (PERSON-050), written by Kader Khan (PERSON-007) and Gyandev Agnihotri (PERSON-062), and scored by Laxmikant–Pyarelal (PERSON-001). It belongs to the family-melodrama cluster of Kapoor's mid-1980s work, made with a southern production unit that also produced Sindoor three years later. His article does not mention Kapoor.</t>
        </is>
      </c>
      <c r="P190" s="17" t="n">
        <v>1</v>
      </c>
      <c r="Q190" s="5" t="inlineStr">
        <is>
          <t>FILM-112</t>
        </is>
      </c>
      <c r="R190" s="5" t="inlineStr">
        <is>
          <t>Ghar Ek Mandir (1984), his only film with Kapoor</t>
        </is>
      </c>
      <c r="S190" s="5" t="inlineStr">
        <is>
          <t>K. Bapaiah directed Ghar Ek Mandir in 1984, his only film with Shashi Kapoor. It sits inside a small recurring unit in this filmography: A. Krishnamurthy produced it under the Tina Films International banner and would produce Sindoor three years later with much the same team, Kader Khan and Gyandev Agnihotri wrote both, and Laxmikant–Pyarelal scored both — a southern family concern that used Kapoor twice in the family-melodrama register suited to his senior roles. Born Kovelamudi Bapayya in Hyderabad, he has directed about eighty films in Telugu and Hindi, and belongs to a notable filmmaking family: orphaned young, he was raised by his paternal uncle, the director and producer K. S. Prakash Rao, and is a first cousin of the director K. Raghavendra Rao. He studied in Vijayawada and Chennai and has two daughters. His article gives no dates of birth or death and does not mention Kapoor, so this entry rests on it together with the single credit.</t>
        </is>
      </c>
      <c r="T190" s="5" t="inlineStr">
        <is>
          <t>SOURCE-239</t>
        </is>
      </c>
      <c r="U190" s="5" t="inlineStr">
        <is>
          <t>Medium</t>
        </is>
      </c>
    </row>
    <row r="191" ht="94" customHeight="1">
      <c r="A191" s="15" t="inlineStr">
        <is>
          <t>PERSON-190</t>
        </is>
      </c>
      <c r="B191" s="5" t="inlineStr">
        <is>
          <t>K. C. Sharma</t>
        </is>
      </c>
      <c r="C191" s="5" t="inlineStr">
        <is>
          <t>Producer</t>
        </is>
      </c>
      <c r="D191" s="18" t="n"/>
      <c r="E191" s="18" t="n"/>
      <c r="F191" s="5" t="n"/>
      <c r="G191" s="5" t="inlineStr">
        <is>
          <t>Hindi cinema</t>
        </is>
      </c>
      <c r="H191" s="5" t="inlineStr">
        <is>
          <t>No Wikipedia article exists for him, and none was found under any variant spelling. Everything here rests on the credit of the single film.</t>
        </is>
      </c>
      <c r="I191" s="5" t="n"/>
      <c r="J191" s="5" t="inlineStr">
        <is>
          <t>With Kapoor: Bandhan Kuchchey Dhaagon Ka (1983).</t>
        </is>
      </c>
      <c r="K191" s="19" t="inlineStr">
        <is>
          <t>Not established from a single credit.</t>
        </is>
      </c>
      <c r="L191" s="19" t="inlineStr">
        <is>
          <t>Not applicable; no biographical source was located.</t>
        </is>
      </c>
      <c r="M191" s="5" t="n"/>
      <c r="N191" s="19" t="inlineStr">
        <is>
          <t>Not established.</t>
        </is>
      </c>
      <c r="O191" s="19" t="inlineStr">
        <is>
          <t>One producing credit, on Bandhan Kuchchey Dhaagon Ka (1983), written and directed by Anil Sharma (PERSON-104) early in that director's career and scored by Hemant Bhonsle (PERSON-178).</t>
        </is>
      </c>
      <c r="P191" s="17" t="n">
        <v>1</v>
      </c>
      <c r="Q191" s="5" t="inlineStr">
        <is>
          <t>FILM-108</t>
        </is>
      </c>
      <c r="R191" s="5" t="inlineStr">
        <is>
          <t>Bandhan Kuchchey Dhaagon Ka (1983), his only film with Kapoor</t>
        </is>
      </c>
      <c r="S191" s="5" t="inlineStr">
        <is>
          <t>K. C. Sharma produced Bandhan Kuchchey Dhaagon Ka in 1983, his only credit in this filmography. The film was written and directed by Anil Sharma three years into the career that would later bring him Gadar: Ek Prem Katha, with songs by Hemant Bhonsle, and it belongs to the transitional stretch in which Shashi Kapoor's commercial standing was falling away. No Wikipedia article exists for the producer under this name or any variant attempted during research, and no other biographical source was located. The entry is graded Low and rests on the single film credit.</t>
        </is>
      </c>
      <c r="T191" s="5" t="inlineStr">
        <is>
          <t>SOURCE-092</t>
        </is>
      </c>
      <c r="U191" s="5" t="inlineStr">
        <is>
          <t>Low</t>
        </is>
      </c>
    </row>
    <row r="192" ht="109" customHeight="1">
      <c r="A192" s="15" t="inlineStr">
        <is>
          <t>PERSON-191</t>
        </is>
      </c>
      <c r="B192" s="5" t="inlineStr">
        <is>
          <t>K. K. Shukla</t>
        </is>
      </c>
      <c r="C192" s="5" t="inlineStr">
        <is>
          <t>Writer</t>
        </is>
      </c>
      <c r="D192" s="18" t="n"/>
      <c r="E192" s="18" t="n"/>
      <c r="F192" s="5" t="n"/>
      <c r="G192" s="5" t="inlineStr">
        <is>
          <t>Hindi cinema</t>
        </is>
      </c>
      <c r="H192" s="5" t="inlineStr">
        <is>
          <t>No Wikipedia article exists for him, and none was found under any variant spelling. Everything here rests on the credit of the single film.</t>
        </is>
      </c>
      <c r="I192" s="5" t="n"/>
      <c r="J192" s="5" t="inlineStr">
        <is>
          <t>With Kapoor: Suhaag (1979).</t>
        </is>
      </c>
      <c r="K192" s="19" t="inlineStr">
        <is>
          <t>Not established from a single credit, though Suhaag is a characteristic lost-and-found masala picture.</t>
        </is>
      </c>
      <c r="L192" s="19" t="inlineStr">
        <is>
          <t>Not established; no biographical source was located.</t>
        </is>
      </c>
      <c r="M192" s="5" t="n"/>
      <c r="N192" s="19" t="inlineStr">
        <is>
          <t>Not established.</t>
        </is>
      </c>
      <c r="O192" s="19" t="inlineStr">
        <is>
          <t>One writing credit, on Suhaag (1979), directed by Manmohan Desai (PERSON-072), written also by Prayag Raj (PERSON-009) and Kader Khan (PERSON-007), produced by Ramesh Sharma (PERSON-080) and scored by Laxmikant–Pyarelal (PERSON-001). It is among the largest commercial successes of Kapoor's career.</t>
        </is>
      </c>
      <c r="P192" s="17" t="n">
        <v>1</v>
      </c>
      <c r="Q192" s="5" t="inlineStr">
        <is>
          <t>FILM-087</t>
        </is>
      </c>
      <c r="R192" s="5" t="inlineStr">
        <is>
          <t>Suhaag (1979), his only film with Kapoor</t>
        </is>
      </c>
      <c r="S192" s="5" t="inlineStr">
        <is>
          <t>K. K. Shukla shares a writing credit on Suhaag, released in 1979 and among the biggest commercial successes of Shashi Kapoor's career — a Manmohan Desai lost-and-found picture in which Kapoor and Amitabh Bachchan play separated brothers, written with Prayag Raj and Kader Khan, produced by Ramesh Sharma and scored by Laxmikant–Pyarelal. Of the film's three credited writers, two have no Wikipedia article, Shukla among them: nothing was found under this name or any variant attempted during research. The entry is graded Low and rests on the single film credit.</t>
        </is>
      </c>
      <c r="T192" s="5" t="inlineStr">
        <is>
          <t>SOURCE-074</t>
        </is>
      </c>
      <c r="U192" s="5" t="inlineStr">
        <is>
          <t>Low</t>
        </is>
      </c>
    </row>
    <row r="193" ht="154" customHeight="1">
      <c r="A193" s="15" t="inlineStr">
        <is>
          <t>PERSON-192</t>
        </is>
      </c>
      <c r="B193" s="5" t="inlineStr">
        <is>
          <t>K. Rangaraj</t>
        </is>
      </c>
      <c r="C193" s="5" t="inlineStr">
        <is>
          <t>Writer</t>
        </is>
      </c>
      <c r="D193" s="18" t="n"/>
      <c r="E193" s="18" t="n"/>
      <c r="F193" s="5" t="n"/>
      <c r="G193" s="5" t="inlineStr">
        <is>
          <t>Tamil and Hindi cinema</t>
        </is>
      </c>
      <c r="H193" s="5" t="inlineStr">
        <is>
          <t>An Indian film director, screenwriter and producer active mainly in Tamil cinema in the 1980s. His article is a single sentence and gives no dates or filmography.</t>
        </is>
      </c>
      <c r="I193" s="5" t="inlineStr">
        <is>
          <t>Not recorded in the article.</t>
        </is>
      </c>
      <c r="J193" s="5" t="inlineStr">
        <is>
          <t>With Kapoor: Sindoor (1987).</t>
        </is>
      </c>
      <c r="K193" s="19" t="inlineStr">
        <is>
          <t>Not established from the article.</t>
        </is>
      </c>
      <c r="L193" s="19" t="inlineStr">
        <is>
          <t>Not assessed in the article.</t>
        </is>
      </c>
      <c r="M193" s="5" t="n"/>
      <c r="N193" s="19" t="inlineStr">
        <is>
          <t>Not established.</t>
        </is>
      </c>
      <c r="O193" s="19" t="inlineStr">
        <is>
          <t>One writing credit, on Sindoor (1987), directed by K. Ravi Shankar (PERSON-193), produced by A. Krishnamurthy (PERSON-050) and scored by Laxmikant–Pyarelal (PERSON-001). The film was the last commercial success of Kapoor's career. Its creative team is largely southern, which makes a Tamil writer's involvement plausible, though the article is too thin to confirm that this is the same man; the entry is graded accordingly.</t>
        </is>
      </c>
      <c r="P193" s="17" t="n">
        <v>1</v>
      </c>
      <c r="Q193" s="5" t="inlineStr">
        <is>
          <t>FILM-130</t>
        </is>
      </c>
      <c r="R193" s="5" t="inlineStr">
        <is>
          <t>Sindoor (1987), his only film with Kapoor</t>
        </is>
      </c>
      <c r="S193" s="5" t="inlineStr">
        <is>
          <t>K. Rangaraj has a writing credit on Sindoor, released in 1987 and the last commercial success of Shashi Kapoor's career — a family melodrama directed by K. Ravi Shankar, produced by his father A. Krishnamurthy and scored by Laxmikant–Pyarelal. The production team is largely southern, which makes the involvement of a Tamil writer entirely plausible. The identification is nonetheless not secure: the Wikipedia article at this name runs to a single sentence describing a Tamil film director, screenwriter and producer of the 1980s, with no dates and no filmography against which the credit could be checked. The entry is graded Medium for that reason.</t>
        </is>
      </c>
      <c r="T193" s="5" t="inlineStr">
        <is>
          <t>SOURCE-240</t>
        </is>
      </c>
      <c r="U193" s="5" t="inlineStr">
        <is>
          <t>Medium</t>
        </is>
      </c>
    </row>
    <row r="194" ht="139" customHeight="1">
      <c r="A194" s="15" t="inlineStr">
        <is>
          <t>PERSON-193</t>
        </is>
      </c>
      <c r="B194" s="5" t="inlineStr">
        <is>
          <t>K. Ravi Shankar</t>
        </is>
      </c>
      <c r="C194" s="5" t="inlineStr">
        <is>
          <t>Director</t>
        </is>
      </c>
      <c r="D194" s="18" t="n"/>
      <c r="E194" s="18" t="n"/>
      <c r="F194" s="5" t="n"/>
      <c r="G194" s="5" t="inlineStr">
        <is>
          <t>Hindi cinema</t>
        </is>
      </c>
      <c r="H194" s="5" t="inlineStr">
        <is>
          <t>Born Krishnamoorthy Ravi Shankar, the son of the producer A. Krishnamoorthy — credited in this workbook as A. Krishnamurthy (PERSON-050). He is best known for Hindi films of the late 1980s and early 1990s and has mostly directed for his home banner, Tina Films International.</t>
        </is>
      </c>
      <c r="I194" s="5" t="inlineStr">
        <is>
          <t>Not separately recorded; he was producing by 1986.</t>
        </is>
      </c>
      <c r="J194" s="5" t="inlineStr">
        <is>
          <t>With Kapoor: Sindoor (1987). Elsewhere, as director: Dariya Dil (1988) and Aag (1994); as producer: Swarag Se Sunder (1986) and Gharana (1989).</t>
        </is>
      </c>
      <c r="K194" s="19" t="inlineStr">
        <is>
          <t>Family melodrama and commercial drama, frequently built around newcomers.</t>
        </is>
      </c>
      <c r="L194" s="19" t="inlineStr">
        <is>
          <t>A commercial director who, his article notes, worked with several major stars at the very start of their careers — Govinda in Dariya Dil and Shilpa Shetty in Aag.</t>
        </is>
      </c>
      <c r="M194" s="5" t="n"/>
      <c r="N194" s="19" t="inlineStr">
        <is>
          <t>Not established beyond his record of launching performers who later became stars.</t>
        </is>
      </c>
      <c r="O194" s="19" t="inlineStr">
        <is>
          <t>One film, Sindoor (1987), the last commercial success of Kapoor's career, produced by the director's own father and written by Gyandev Agnihotri (PERSON-062) and K. Rangaraj (PERSON-192). The father-and-son unit had made Ghar Ek Mandir with Kapoor three years earlier under a different director, so the association is really with the family firm rather than with the director alone.</t>
        </is>
      </c>
      <c r="P194" s="17" t="n">
        <v>1</v>
      </c>
      <c r="Q194" s="5" t="inlineStr">
        <is>
          <t>FILM-130</t>
        </is>
      </c>
      <c r="R194" s="5" t="inlineStr">
        <is>
          <t>Sindoor (1987), his only film with Kapoor</t>
        </is>
      </c>
      <c r="S194" s="5" t="inlineStr">
        <is>
          <t>K. Ravi Shankar directed Sindoor in 1987, the last film of Shashi Kapoor's career to make money. It was produced by his father, A. Krishnamoorthy, who appears separately in this sheet and had also produced Ghar Ek Mandir with Kapoor three years earlier under a different director — so the real association here is with a family firm that used the actor twice in the family-melodrama register suited to his senior roles, with Gyandev Agnihotri writing both and Laxmikant–Pyarelal scoring both. Born Krishnamoorthy Ravi Shankar, he directed mostly for the home banner Tina Films International and has a particular record of casting performers before they were established: Govinda in Dariya Dil in 1988 and Shilpa Shetty in Aag in 1994. He also produced several films, among them Swarag Se Sunder in 1986 and Gharana in 1989. His article gives no dates of birth and does not mention Kapoor; this entry rests on it together with the film credits.</t>
        </is>
      </c>
      <c r="T194" s="5" t="inlineStr">
        <is>
          <t>SOURCE-241</t>
        </is>
      </c>
      <c r="U194" s="5" t="inlineStr">
        <is>
          <t>High</t>
        </is>
      </c>
    </row>
    <row r="195" ht="124" customHeight="1">
      <c r="A195" s="15" t="inlineStr">
        <is>
          <t>PERSON-194</t>
        </is>
      </c>
      <c r="B195" s="5" t="inlineStr">
        <is>
          <t>Kaifi Azmi</t>
        </is>
      </c>
      <c r="C195" s="5" t="inlineStr">
        <is>
          <t>Writer</t>
        </is>
      </c>
      <c r="D195" s="17" t="n">
        <v>1919</v>
      </c>
      <c r="E195" s="17" t="n">
        <v>2002</v>
      </c>
      <c r="F195" s="5" t="n"/>
      <c r="G195" s="5" t="inlineStr">
        <is>
          <t>Urdu literature and Hindi cinema</t>
        </is>
      </c>
      <c r="H195" s="5" t="inlineStr">
        <is>
          <t>Born Athar Husain Rizvi on 14 January 1919; died 10 May 2002. An Urdu poet remembered as the figure who brought Urdu literature into Indian motion pictures, and a lifelong communist who hoped to see India become a socialist state. He took part in many of the century's notable mushaira gatherings. His wife was the theatre and film actress Shaukat Kaifi.</t>
        </is>
      </c>
      <c r="I195" s="5" t="inlineStr">
        <is>
          <t>Established as a poet before entering cinema.</t>
        </is>
      </c>
      <c r="J195" s="5" t="inlineStr">
        <is>
          <t>With Kapoor: Naina (1973). Elsewhere: the National Film Award-winning lyric 'Aandhi Aaye Ki Toofan', and the screenplay, story and dialogue for Garm Hava, written with Ismat Chughtai (PERSON-183), which was India's official submission to the Academy Awards.</t>
        </is>
      </c>
      <c r="K195" s="19" t="inlineStr">
        <is>
          <t>Social justice and political commitment expressed in classical Urdu forms; the Muslim experience of partition.</t>
        </is>
      </c>
      <c r="L195" s="19" t="inlineStr">
        <is>
          <t>A poet of the progressive movement who wrote for cinema without lowering his literary register.</t>
        </is>
      </c>
      <c r="M195" s="5" t="inlineStr">
        <is>
          <t>The National Film Award for Best Lyrics in 1970; the Padma Shri in 1974; the Sahitya Akademi Award in 1975 and a Sahitya Akademi Fellowship in 2002. For Garm Hava he won a National Film Award for Best Story with Ismat Chughtai and Filmfare Awards for Best Dialogue, Best Story and Best Screenplay.</t>
        </is>
      </c>
      <c r="N195" s="19" t="inlineStr">
        <is>
          <t>One of the major Urdu poets of the twentieth century and the writer most credited with carrying Urdu literary seriousness into Hindi cinema.</t>
        </is>
      </c>
      <c r="O195" s="19" t="inlineStr">
        <is>
          <t>One writing credit, on Naina (1973), directed by Kanak Mishra (PERSON-069) — a modest commercial film carrying the work of a major poet, which was a common pattern in his screen career. He also wrote lyrics used in other films in this filmography, recorded in the Films sheet rather than here. His article does not mention Kapoor.</t>
        </is>
      </c>
      <c r="P195" s="17" t="n">
        <v>1</v>
      </c>
      <c r="Q195" s="5" t="inlineStr">
        <is>
          <t>FILM-042</t>
        </is>
      </c>
      <c r="R195" s="5" t="inlineStr">
        <is>
          <t>Naina (1973), his only credit in this sheet</t>
        </is>
      </c>
      <c r="S195" s="5" t="inlineStr">
        <is>
          <t>Kaifi Azmi has a writing credit on Naina, a modest 1973 film directed by Kanak Mishra — a small entry in the career of one of the twentieth century's major Urdu poets. Born Athar Husain Rizvi in 1919, Azmi is remembered as the writer who brought Urdu literature into Indian cinema, and he did it without diluting his register: a committed communist and a fixture of the great mushaira gatherings, he won the National Film Award for Best Lyrics in 1970, the Padma Shri in 1974 and the Sahitya Akademi Award in 1975. With Ismat Chughtai, who also appears in this sheet, he wrote Garm Hava, India's official Academy Award submission, taking a National Film Award and three Filmfare Awards for it. He died in 2002.</t>
        </is>
      </c>
      <c r="T195" s="5" t="inlineStr">
        <is>
          <t>SOURCE-242</t>
        </is>
      </c>
      <c r="U195" s="5" t="inlineStr">
        <is>
          <t>High</t>
        </is>
      </c>
    </row>
    <row r="196" ht="154" customHeight="1">
      <c r="A196" s="15" t="inlineStr">
        <is>
          <t>PERSON-195</t>
        </is>
      </c>
      <c r="B196" s="5" t="inlineStr">
        <is>
          <t>Kalpataru</t>
        </is>
      </c>
      <c r="C196" s="5" t="inlineStr">
        <is>
          <t>Director</t>
        </is>
      </c>
      <c r="D196" s="17" t="n">
        <v>1937</v>
      </c>
      <c r="E196" s="17" t="n">
        <v>2015</v>
      </c>
      <c r="F196" s="5" t="n"/>
      <c r="G196" s="5" t="inlineStr">
        <is>
          <t>Hindi cinema</t>
        </is>
      </c>
      <c r="H196" s="5" t="inlineStr">
        <is>
          <t>Born K Parvez in 1937; died at a hospital in Santacruz West, Mumbai, on 17 May 2015, aged 78. An Indian film director known for melodramatic family dramas. He was survived by his wife and two daughters.</t>
        </is>
      </c>
      <c r="I196" s="5" t="inlineStr">
        <is>
          <t>Not recorded in the article.</t>
        </is>
      </c>
      <c r="J196" s="5" t="inlineStr">
        <is>
          <t>With Kapoor: Maa Beti (1986). Elsewhere: Ghar Dwaar, Khoon Ka Badla Khoon, Ghar Ghar Ki Kahani and Bade Ghar Ki Beti.</t>
        </is>
      </c>
      <c r="K196" s="19" t="inlineStr">
        <is>
          <t>The family melodrama, and in particular the domestic drama organised around women's relationships — his best-known titles almost all name a household or a daughter.</t>
        </is>
      </c>
      <c r="L196" s="19" t="inlineStr">
        <is>
          <t>A specialist in melodramatic family drama, as his article describes him.</t>
        </is>
      </c>
      <c r="M196" s="5" t="n"/>
      <c r="N196" s="19" t="inlineStr">
        <is>
          <t>Not established beyond a steady record of commercially successful family films.</t>
        </is>
      </c>
      <c r="O196" s="19" t="inlineStr">
        <is>
          <t>One film, Maa Beti (1986), written by K. B. Pathak (PERSON-068), Keshav Rathod (PERSON-200) and Mahender Dehlvi (PERSON-219), produced by Mohanji Prasad (PERSON-229) and scored by Anand–Milind (PERSON-101) two years before their breakthrough. The title and subject fit Kalpataru's specialism exactly, and Kapoor's role belongs to his senior phase. His article does not mention Kapoor.</t>
        </is>
      </c>
      <c r="P196" s="17" t="n">
        <v>1</v>
      </c>
      <c r="Q196" s="5" t="inlineStr">
        <is>
          <t>FILM-125</t>
        </is>
      </c>
      <c r="R196" s="5" t="inlineStr">
        <is>
          <t>Maa Beti (1986), his only film with Kapoor</t>
        </is>
      </c>
      <c r="S196" s="5" t="inlineStr">
        <is>
          <t>Kalpataru directed Maa Beti in 1986, his only film with Shashi Kapoor and an entirely characteristic piece of his work. He was known for melodramatic family dramas, and his best-remembered titles — Ghar Dwaar, Ghar Ghar Ki Kahani, Bade Ghar Ki Beti, Khoon Ka Badla Khoon — almost all name a household or a daughter, as this one names a mother and daughter. The film carries an early score by Anand–Milind, two years before Qayamat Se Qayamat Tak made them famous, and Kapoor appears in the senior family register that defined most of his mid-1980s work. It is among the more thinly documented pictures in this filmography: its three credited writers and both its producers lack any biographical record, leaving only the director and the composers traceable. Born K Parvez in 1937, Kalpataru worked under that single name throughout his career and died at a hospital in Santacruz West, Mumbai, on 17 May 2015, aged seventy-eight, survived by his wife and two daughters. His article does not mention Kapoor.</t>
        </is>
      </c>
      <c r="T196" s="5" t="inlineStr">
        <is>
          <t>SOURCE-243</t>
        </is>
      </c>
      <c r="U196" s="5" t="inlineStr">
        <is>
          <t>High</t>
        </is>
      </c>
    </row>
    <row r="197" ht="94" customHeight="1">
      <c r="A197" s="15" t="inlineStr">
        <is>
          <t>PERSON-196</t>
        </is>
      </c>
      <c r="B197" s="5" t="inlineStr">
        <is>
          <t>Kapoor Films International</t>
        </is>
      </c>
      <c r="C197" s="5" t="inlineStr">
        <is>
          <t>Production banner</t>
        </is>
      </c>
      <c r="D197" s="18" t="n"/>
      <c r="E197" s="18" t="n"/>
      <c r="F197" s="5" t="n"/>
      <c r="G197" s="5" t="inlineStr">
        <is>
          <t>Hindi cinema</t>
        </is>
      </c>
      <c r="H197" s="5" t="inlineStr">
        <is>
          <t>No Wikipedia article exists for this banner, and no source connects it to the Kapoor film family despite the name. Everything here rests on the credit of the single film.</t>
        </is>
      </c>
      <c r="I197" s="5" t="n"/>
      <c r="J197" s="5" t="inlineStr">
        <is>
          <t>With Kapoor: Maan Gaye Ustaad (1981).</t>
        </is>
      </c>
      <c r="K197" s="19" t="inlineStr">
        <is>
          <t>Not established from a single credit.</t>
        </is>
      </c>
      <c r="L197" s="19" t="inlineStr">
        <is>
          <t>Not applicable.</t>
        </is>
      </c>
      <c r="M197" s="5" t="n"/>
      <c r="N197" s="19" t="inlineStr">
        <is>
          <t>Not established.</t>
        </is>
      </c>
      <c r="O197" s="19" t="inlineStr">
        <is>
          <t>One banner credit, on Maan Gaye Ustaad (1981), directed by Shibu Mitra (PERSON-024), produced by S. K. Kapur (PERSON-041) and scored by Sonik Omi (PERSON-044) — the third and last of the films made by that small recurring unit.</t>
        </is>
      </c>
      <c r="P197" s="17" t="n">
        <v>1</v>
      </c>
      <c r="Q197" s="5" t="inlineStr">
        <is>
          <t>FILM-099</t>
        </is>
      </c>
      <c r="R197" s="5" t="inlineStr">
        <is>
          <t>Maan Gaye Ustaad (1981), its only film with Kapoor</t>
        </is>
      </c>
      <c r="S197" s="5" t="inlineStr">
        <is>
          <t>Kapoor Films International is the banner on Maan Gaye Ustaad, released in 1981 — the last of the three films made by a small recurring unit that appears elsewhere in this sheet: S. K. Kapur produced all three, Sonik Omi scored all three, and Shibu Mitra directed this one. The banner's name presumably belongs to the producer rather than to the Kapoor film family, but no source confirms even that: no Wikipedia article exists for the company, and nothing else was located during research. The entry is graded Low and rests on the single film credit.</t>
        </is>
      </c>
      <c r="T197" s="5" t="inlineStr">
        <is>
          <t>SOURCE-084</t>
        </is>
      </c>
      <c r="U197" s="5" t="inlineStr">
        <is>
          <t>Low</t>
        </is>
      </c>
    </row>
    <row r="198" ht="94" customHeight="1">
      <c r="A198" s="15" t="inlineStr">
        <is>
          <t>PERSON-197</t>
        </is>
      </c>
      <c r="B198" s="5" t="inlineStr">
        <is>
          <t>Kedar Kapoor</t>
        </is>
      </c>
      <c r="C198" s="5" t="inlineStr">
        <is>
          <t>Director; Producer</t>
        </is>
      </c>
      <c r="D198" s="18" t="n"/>
      <c r="E198" s="18" t="n"/>
      <c r="F198" s="5" t="n"/>
      <c r="G198" s="5" t="inlineStr">
        <is>
          <t>Hindi cinema</t>
        </is>
      </c>
      <c r="H198" s="5" t="inlineStr">
        <is>
          <t>No Wikipedia article exists for him, and none was found under any variant spelling. He is not known to be related to the Kapoor film family. Everything here rests on the credit of the single film.</t>
        </is>
      </c>
      <c r="I198" s="5" t="n"/>
      <c r="J198" s="5" t="inlineStr">
        <is>
          <t>With Kapoor: Patanga (1971), which he both directed and produced.</t>
        </is>
      </c>
      <c r="K198" s="19" t="inlineStr">
        <is>
          <t>Not established from a single credit.</t>
        </is>
      </c>
      <c r="L198" s="19" t="inlineStr">
        <is>
          <t>Not established; no biographical source was located.</t>
        </is>
      </c>
      <c r="M198" s="5" t="n"/>
      <c r="N198" s="19" t="inlineStr">
        <is>
          <t>Not established.</t>
        </is>
      </c>
      <c r="O198" s="19" t="inlineStr">
        <is>
          <t>One film, Patanga (1971), which he directed and produced, scored by Shankar–Jaikishan (PERSON-008) — one of the credits issued under the joint name after Jaikishan's death that year.</t>
        </is>
      </c>
      <c r="P198" s="17" t="n">
        <v>1</v>
      </c>
      <c r="Q198" s="5" t="inlineStr">
        <is>
          <t>FILM-038</t>
        </is>
      </c>
      <c r="R198" s="5" t="inlineStr">
        <is>
          <t>Patanga (1971), his only film with Kapoor</t>
        </is>
      </c>
      <c r="S198" s="5" t="inlineStr">
        <is>
          <t>Kedar Kapoor directed and produced Patanga in 1971, his only credit in this filmography. The film carries a Shankar–Jaikishan score from the year Jaikishan died, when the joint credit was continued by Shankar alone, and it comes from the stretch in which Shashi Kapoor was consolidating his position as a leading man. No Wikipedia article exists for the director under this name or any variant attempted during research, and despite the surname he is not known to be connected to the Kapoor film family. The entry is graded Low and rests on the single film credit.</t>
        </is>
      </c>
      <c r="T198" s="5" t="inlineStr">
        <is>
          <t>SOURCE-030</t>
        </is>
      </c>
      <c r="U198" s="5" t="inlineStr">
        <is>
          <t>Low</t>
        </is>
      </c>
    </row>
    <row r="199" ht="124" customHeight="1">
      <c r="A199" s="15" t="inlineStr">
        <is>
          <t>PERSON-198</t>
        </is>
      </c>
      <c r="B199" s="5" t="inlineStr">
        <is>
          <t>Keith Waterhouse</t>
        </is>
      </c>
      <c r="C199" s="5" t="inlineStr">
        <is>
          <t>Writer</t>
        </is>
      </c>
      <c r="D199" s="17" t="n">
        <v>1929</v>
      </c>
      <c r="E199" s="17" t="n">
        <v>2009</v>
      </c>
      <c r="F199" s="5" t="n"/>
      <c r="G199" s="5" t="inlineStr">
        <is>
          <t>British literature, journalism, theatre and cinema</t>
        </is>
      </c>
      <c r="H199" s="5" t="inlineStr">
        <is>
          <t>Born Keith Spencer Waterhouse on 6 February 1929; died 4 September 2009. A British novelist, newspaper columnist and writer of many television series, appointed CBE, and a noted arbiter of newspaper style and journalistic writing.</t>
        </is>
      </c>
      <c r="I199" s="5" t="inlineStr">
        <is>
          <t>Established as a novelist before his screen work; Billy Liar is his best-known book.</t>
        </is>
      </c>
      <c r="J199" s="5" t="inlineStr">
        <is>
          <t>With Kapoor: Pretty Polly (1967). Elsewhere: the novel Billy Liar and the television series Worzel Gummidge.</t>
        </is>
      </c>
      <c r="K199" s="19" t="inlineStr">
        <is>
          <t>English provincial life, fantasy and self-invention, and comic social observation.</t>
        </is>
      </c>
      <c r="L199" s="19" t="inlineStr">
        <is>
          <t>A journalist's precision applied to fiction and screenwriting, with an ear for comic English speech.</t>
        </is>
      </c>
      <c r="M199" s="5" t="n"/>
      <c r="N199" s="19" t="inlineStr">
        <is>
          <t>One of the best-known British writers of his generation across fiction, journalism and television.</t>
        </is>
      </c>
      <c r="O199" s="19" t="inlineStr">
        <is>
          <t>One writing credit, on Pretty Polly (1967), directed by Guy Green (PERSON-173) and produced by George W. George (PERSON-168) and Frank Granat (PERSON-164), in which Kapoor appears opposite Hayley Mills. The film placed him in a mainstream British production written by a leading English novelist, two years after Shakespeare Wallah.</t>
        </is>
      </c>
      <c r="P199" s="17" t="n">
        <v>1</v>
      </c>
      <c r="Q199" s="5" t="inlineStr">
        <is>
          <t>FILM-024</t>
        </is>
      </c>
      <c r="R199" s="5" t="inlineStr">
        <is>
          <t>Pretty Polly (1967), his only film with Kapoor</t>
        </is>
      </c>
      <c r="S199" s="5" t="inlineStr">
        <is>
          <t>Keith Waterhouse wrote Pretty Polly, the 1967 British film in which Shashi Kapoor appeared opposite Hayley Mills under Guy Green's direction. The credit is a good measure of how far Kapoor's international standing had reached by then: two years after Shakespeare Wallah he was taking a leading role in a mainstream British picture written by one of the country's best-known novelists. Waterhouse, born in 1929 and appointed CBE, wrote Billy Liar, the television series Worzel Gummidge and a celebrated newspaper column, and was regarded as an authority on English journalistic style. He died in 2009. His article does not mention Kapoor or this film specifically; the entry rests on it together with the credit.</t>
        </is>
      </c>
      <c r="T199" s="5" t="inlineStr">
        <is>
          <t>SOURCE-244</t>
        </is>
      </c>
      <c r="U199" s="5" t="inlineStr">
        <is>
          <t>High</t>
        </is>
      </c>
    </row>
    <row r="200" ht="109" customHeight="1">
      <c r="A200" s="15" t="inlineStr">
        <is>
          <t>PERSON-199</t>
        </is>
      </c>
      <c r="B200" s="5" t="inlineStr">
        <is>
          <t>Keka Chatterjee</t>
        </is>
      </c>
      <c r="C200" s="5" t="inlineStr">
        <is>
          <t>Writer</t>
        </is>
      </c>
      <c r="D200" s="18" t="n"/>
      <c r="E200" s="18" t="n"/>
      <c r="F200" s="5" t="n"/>
      <c r="G200" s="5" t="inlineStr">
        <is>
          <t>Hindi cinema</t>
        </is>
      </c>
      <c r="H200" s="5" t="inlineStr">
        <is>
          <t>No Wikipedia article exists for her, and none was found under any variant spelling. Everything here rests on the credit of the single film.</t>
        </is>
      </c>
      <c r="I200" s="5" t="n"/>
      <c r="J200" s="5" t="inlineStr">
        <is>
          <t>With Kapoor: Mukti (1977).</t>
        </is>
      </c>
      <c r="K200" s="19" t="inlineStr">
        <is>
          <t>Not established from a single credit.</t>
        </is>
      </c>
      <c r="L200" s="19" t="inlineStr">
        <is>
          <t>Not established; no biographical source was located.</t>
        </is>
      </c>
      <c r="M200" s="5" t="n"/>
      <c r="N200" s="19" t="inlineStr">
        <is>
          <t>Not established.</t>
        </is>
      </c>
      <c r="O200" s="19" t="inlineStr">
        <is>
          <t>One writing credit, on Mukti (1977), written also by Dhruva Chatterjee (PERSON-029) and Kader Khan (PERSON-007), and scored by R. D. Burman (PERSON-003). The shared surname with Dhruva Chatterjee raises the possibility of a family connection, but no source confirms it.</t>
        </is>
      </c>
      <c r="P200" s="17" t="n">
        <v>1</v>
      </c>
      <c r="Q200" s="5" t="inlineStr">
        <is>
          <t>FILM-068</t>
        </is>
      </c>
      <c r="R200" s="5" t="inlineStr">
        <is>
          <t>Mukti (1977), her only film with Kapoor</t>
        </is>
      </c>
      <c r="S200" s="5" t="inlineStr">
        <is>
          <t>Keka Chatterjee shares a writing credit on Mukti, released in 1977, alongside Dhruva Chatterjee and Kader Khan, with a score by R. D. Burman. The shared surname with her fellow writer suggests a possible family connection — Dhruva Chatterjee was an established screenwriter of the 1960s and 1970s — but nothing found during research confirms it and it is not asserted here. No Wikipedia article exists for her under this name or any variant attempted, and no other biographical source was located, so nothing can be said of her wider work. The entry is graded Low and rests on the single film credit.</t>
        </is>
      </c>
      <c r="T200" s="5" t="inlineStr">
        <is>
          <t>SOURCE-054</t>
        </is>
      </c>
      <c r="U200" s="5" t="inlineStr">
        <is>
          <t>Low</t>
        </is>
      </c>
    </row>
    <row r="201" ht="109" customHeight="1">
      <c r="A201" s="15" t="inlineStr">
        <is>
          <t>PERSON-200</t>
        </is>
      </c>
      <c r="B201" s="5" t="inlineStr">
        <is>
          <t>Keshav Rathod</t>
        </is>
      </c>
      <c r="C201" s="5" t="inlineStr">
        <is>
          <t>Writer</t>
        </is>
      </c>
      <c r="D201" s="18" t="n"/>
      <c r="E201" s="18" t="n"/>
      <c r="F201" s="5" t="n"/>
      <c r="G201" s="5" t="inlineStr">
        <is>
          <t>Hindi cinema</t>
        </is>
      </c>
      <c r="H201" s="5" t="inlineStr">
        <is>
          <t>No Wikipedia article exists for him, and none was found under any variant spelling. Everything here rests on the credit of the single film.</t>
        </is>
      </c>
      <c r="I201" s="5" t="n"/>
      <c r="J201" s="5" t="inlineStr">
        <is>
          <t>With Kapoor: Maa Beti (1986).</t>
        </is>
      </c>
      <c r="K201" s="19" t="inlineStr">
        <is>
          <t>Not established from a single credit.</t>
        </is>
      </c>
      <c r="L201" s="19" t="inlineStr">
        <is>
          <t>Not established; no biographical source was located.</t>
        </is>
      </c>
      <c r="M201" s="5" t="n"/>
      <c r="N201" s="19" t="inlineStr">
        <is>
          <t>Not established.</t>
        </is>
      </c>
      <c r="O201" s="19" t="inlineStr">
        <is>
          <t>One writing credit, on Maa Beti (1986), directed by Kalpataru (PERSON-195) and written with K. B. Pathak (PERSON-068) and Mahender Dehlvi (PERSON-219) — a three-writer family melodrama from Kapoor's senior period, none of whose writers has a biographical record.</t>
        </is>
      </c>
      <c r="P201" s="17" t="n">
        <v>1</v>
      </c>
      <c r="Q201" s="5" t="inlineStr">
        <is>
          <t>FILM-125</t>
        </is>
      </c>
      <c r="R201" s="5" t="inlineStr">
        <is>
          <t>Maa Beti (1986), his only film with Kapoor</t>
        </is>
      </c>
      <c r="S201" s="5" t="inlineStr">
        <is>
          <t>Keshav Rathod shares a writing credit on Maa Beti, released in 1986 — a family melodrama directed by Kalpataru, written with K. B. Pathak and Mahender Dehlvi, and scored by Anand–Milind. None of the film's three credited writers has a surviving biographical record, which is a fair illustration of how thinly documented the writing side of commercial Hindi cinema is at this level. No Wikipedia article exists for Rathod under this name or any variant attempted during research, and no other source was located. The entry is graded Low and rests on the single film credit.</t>
        </is>
      </c>
      <c r="T201" s="5" t="inlineStr">
        <is>
          <t>SOURCE-103</t>
        </is>
      </c>
      <c r="U201" s="5" t="inlineStr">
        <is>
          <t>Low</t>
        </is>
      </c>
    </row>
    <row r="202" ht="109" customHeight="1">
      <c r="A202" s="15" t="inlineStr">
        <is>
          <t>PERSON-201</t>
        </is>
      </c>
      <c r="B202" s="5" t="inlineStr">
        <is>
          <t>Khosla Enterprises</t>
        </is>
      </c>
      <c r="C202" s="5" t="inlineStr">
        <is>
          <t>Production banner</t>
        </is>
      </c>
      <c r="D202" s="18" t="n"/>
      <c r="E202" s="18" t="n"/>
      <c r="F202" s="5" t="n"/>
      <c r="G202" s="5" t="inlineStr">
        <is>
          <t>Hindi cinema</t>
        </is>
      </c>
      <c r="H202" s="5" t="inlineStr">
        <is>
          <t>No Wikipedia article exists for this banner. Everything here rests on the credit of the single film and on the names of the producers credited alongside it.</t>
        </is>
      </c>
      <c r="I202" s="5" t="n"/>
      <c r="J202" s="5" t="inlineStr">
        <is>
          <t>With Kapoor: Prem Kahani (1975).</t>
        </is>
      </c>
      <c r="K202" s="19" t="inlineStr">
        <is>
          <t>Not established from a single credit.</t>
        </is>
      </c>
      <c r="L202" s="19" t="inlineStr">
        <is>
          <t>Not applicable.</t>
        </is>
      </c>
      <c r="M202" s="5" t="n"/>
      <c r="N202" s="19" t="inlineStr">
        <is>
          <t>Not established.</t>
        </is>
      </c>
      <c r="O202" s="19" t="inlineStr">
        <is>
          <t>One banner credit, on Prem Kahani (1975), produced by Lekhraj Khosla (PERSON-212) and Bolu Khosla (PERSON-129) and scored by Laxmikant–Pyarelal (PERSON-001). The three Khosla credits on one film make this plainly a family concern, though no source confirms the relationships.</t>
        </is>
      </c>
      <c r="P202" s="17" t="n">
        <v>1</v>
      </c>
      <c r="Q202" s="5" t="inlineStr">
        <is>
          <t>FILM-053</t>
        </is>
      </c>
      <c r="R202" s="5" t="inlineStr">
        <is>
          <t>Prem Kahani (1975), its only film with Kapoor</t>
        </is>
      </c>
      <c r="S202" s="5" t="inlineStr">
        <is>
          <t>Khosla Enterprises is the banner on Prem Kahani, released in 1975 and scored by Laxmikant–Pyarelal. Two producers named Khosla are credited on the same film — Lekhraj Khosla and Bolu Khosla, the latter as associate producer — so the banner is plainly a family concern, an inference drawn from the credits since no source confirms the relationships and no Wikipedia article exists for the company or either man. Prem Kahani belongs to the strongest stretch of Shashi Kapoor's commercial career, the year of Deewaar. The entry is graded Low.</t>
        </is>
      </c>
      <c r="T202" s="5" t="inlineStr">
        <is>
          <t>SOURCE-042</t>
        </is>
      </c>
      <c r="U202" s="5" t="inlineStr">
        <is>
          <t>Low</t>
        </is>
      </c>
    </row>
    <row r="203" ht="124" customHeight="1">
      <c r="A203" s="15" t="inlineStr">
        <is>
          <t>PERSON-202</t>
        </is>
      </c>
      <c r="B203" s="5" t="inlineStr">
        <is>
          <t>Khwaja Ahmad Abbas</t>
        </is>
      </c>
      <c r="C203" s="5" t="inlineStr">
        <is>
          <t>Writer</t>
        </is>
      </c>
      <c r="D203" s="17" t="n">
        <v>1914</v>
      </c>
      <c r="E203" s="17" t="n">
        <v>1987</v>
      </c>
      <c r="F203" s="5" t="inlineStr">
        <is>
          <t>1935–1987</t>
        </is>
      </c>
      <c r="G203" s="5" t="inlineStr">
        <is>
          <t>Hindi cinema and Urdu, Hindi and English journalism</t>
        </is>
      </c>
      <c r="H203" s="5" t="inlineStr">
        <is>
          <t>Born in Panipat on 7 June 1914; died 1 June 1987. A film director, screenwriter, novelist and journalist working in Urdu, Hindi and English, and one of the pioneers of Indian parallel or neo-realist cinema.</t>
        </is>
      </c>
      <c r="I203" s="5" t="inlineStr">
        <is>
          <t>Working from 1935; Dharti Ke Lal (1946), about the Bengal famine of 1943, was among Indian cinema's first social-realist films and opened the Soviet market to Indian films.</t>
        </is>
      </c>
      <c r="J203" s="5" t="inlineStr">
        <is>
          <t>With Kapoor: Awaara (1951). Elsewhere, as director: Dharti Ke Lal (1946), Pardesi (1957), Shehar Aur Sapna (1963), Saat Hindustani (1969) and Do Boond Pani (1972).</t>
        </is>
      </c>
      <c r="K203" s="19" t="inlineStr">
        <is>
          <t>Poverty, social justice and the promise and failure of the new nation; the city as both opportunity and trap.</t>
        </is>
      </c>
      <c r="L203" s="19" t="inlineStr">
        <is>
          <t>A neo-realist by conviction who also wrote some of the most popular commercial films of his era, and a working journalist throughout.</t>
        </is>
      </c>
      <c r="M203" s="5" t="inlineStr">
        <is>
          <t>Four National Film Awards; internationally, the Grand Prize at the Cannes Film Festival from three nominations, and the Crystal Globe at Karlovy Vary. Shehar Aur Sapna won the National Film Award for Best Feature Film, and Saat Hindustani and Do Boond Pani also won National Film Awards.</t>
        </is>
      </c>
      <c r="N203" s="19" t="inlineStr">
        <is>
          <t>One of the founders of socially committed Indian cinema, and the writer of Raj Kapoor's most internationally successful films.</t>
        </is>
      </c>
      <c r="O203" s="19" t="inlineStr">
        <is>
          <t>One writing credit, on Awaara (1951), in which the thirteen-year-old Shashi plays the child version of Raj Kapoor's tramp hero. Abbas wrote the film that took Indian cinema to audiences across the Soviet Union and beyond, and it is the second of the two child appearances that begin this filmography.</t>
        </is>
      </c>
      <c r="P203" s="17" t="n">
        <v>1</v>
      </c>
      <c r="Q203" s="5" t="inlineStr">
        <is>
          <t>FILM-004</t>
        </is>
      </c>
      <c r="R203" s="5" t="inlineStr">
        <is>
          <t>Awaara (1951), his only film with Kapoor</t>
        </is>
      </c>
      <c r="S203" s="5" t="inlineStr">
        <is>
          <t>Khwaja Ahmad Abbas wrote Awaara, the 1951 film in which the young Shashi Kapoor plays the child version of his brother Raj's tramp — one of two child roles that open this filmography and one of the most widely seen Indian films ever made, especially in the Soviet Union. Abbas, born in Panipat in 1914, was among the founders of socially committed Indian cinema: he directed Dharti Ke Lal about the Bengal famine, Shehar Aur Sapna, Saat Hindustani and Do Boond Pani, winning four National Film Awards, and took the Grand Prize at Cannes and the Crystal Globe at Karlovy Vary. He wrote for Raj Kapoor across the films that made him internationally famous while working as a journalist in three languages until his death in 1987.</t>
        </is>
      </c>
      <c r="T203" s="5" t="inlineStr">
        <is>
          <t>SOURCE-245</t>
        </is>
      </c>
      <c r="U203" s="5" t="inlineStr">
        <is>
          <t>High</t>
        </is>
      </c>
    </row>
    <row r="204" ht="94" customHeight="1">
      <c r="A204" s="15" t="inlineStr">
        <is>
          <t>PERSON-203</t>
        </is>
      </c>
      <c r="B204" s="5" t="inlineStr">
        <is>
          <t>Kiron Productions</t>
        </is>
      </c>
      <c r="C204" s="5" t="inlineStr">
        <is>
          <t>Production banner</t>
        </is>
      </c>
      <c r="D204" s="18" t="n"/>
      <c r="E204" s="18" t="n"/>
      <c r="F204" s="5" t="n"/>
      <c r="G204" s="5" t="inlineStr">
        <is>
          <t>Hindi cinema</t>
        </is>
      </c>
      <c r="H204" s="5" t="inlineStr">
        <is>
          <t>No Wikipedia article exists for this banner. Everything here rests on the credit of the single film.</t>
        </is>
      </c>
      <c r="I204" s="5" t="n"/>
      <c r="J204" s="5" t="inlineStr">
        <is>
          <t>With Kapoor: Kanyadaan (1968).</t>
        </is>
      </c>
      <c r="K204" s="19" t="inlineStr">
        <is>
          <t>Not established from a single credit.</t>
        </is>
      </c>
      <c r="L204" s="19" t="inlineStr">
        <is>
          <t>Not applicable.</t>
        </is>
      </c>
      <c r="M204" s="5" t="n"/>
      <c r="N204" s="19" t="inlineStr">
        <is>
          <t>Not established.</t>
        </is>
      </c>
      <c r="O204" s="19" t="inlineStr">
        <is>
          <t>One banner credit, on Kanyadaan (1968), directed by Mohan Segal (PERSON-227), produced by Rajendra Bhatia (PERSON-272) and scored by Shankar–Jaikishan (PERSON-008) — a substantial success of Kapoor's early star period.</t>
        </is>
      </c>
      <c r="P204" s="17" t="n">
        <v>1</v>
      </c>
      <c r="Q204" s="5" t="inlineStr">
        <is>
          <t>FILM-026</t>
        </is>
      </c>
      <c r="R204" s="5" t="inlineStr">
        <is>
          <t>Kanyadaan (1968), its only film with Kapoor</t>
        </is>
      </c>
      <c r="S204" s="5" t="inlineStr">
        <is>
          <t>Kiron Productions is the banner on Kanyadaan, released in 1968 — a Mohan Segal film with a Shankar–Jaikishan score and one of the more substantial successes of Shashi Kapoor's early years as a star, when he was consolidating the romantic position that Jab Jab Phool Khile had won him. No Wikipedia article exists for the company, and no other source was located during research, so nothing can be said about its ownership or its other productions. The entry is recorded because this workbook lists every credited banner, and it is graded Low.</t>
        </is>
      </c>
      <c r="T204" s="5" t="inlineStr">
        <is>
          <t>SOURCE-019</t>
        </is>
      </c>
      <c r="U204" s="5" t="inlineStr">
        <is>
          <t>Low</t>
        </is>
      </c>
    </row>
    <row r="205" ht="94" customHeight="1">
      <c r="A205" s="15" t="inlineStr">
        <is>
          <t>PERSON-204</t>
        </is>
      </c>
      <c r="B205" s="5" t="inlineStr">
        <is>
          <t>Kishore Vyas</t>
        </is>
      </c>
      <c r="C205" s="5" t="inlineStr">
        <is>
          <t>Producer</t>
        </is>
      </c>
      <c r="D205" s="18" t="n"/>
      <c r="E205" s="18" t="n"/>
      <c r="F205" s="5" t="n"/>
      <c r="G205" s="5" t="inlineStr">
        <is>
          <t>Hindi cinema</t>
        </is>
      </c>
      <c r="H205" s="5" t="inlineStr">
        <is>
          <t>No Wikipedia article exists for him, and none was found under any variant spelling. Everything here rests on the credit of the single film.</t>
        </is>
      </c>
      <c r="I205" s="5" t="n"/>
      <c r="J205" s="5" t="inlineStr">
        <is>
          <t>With Kapoor: Hira Aur Patthar (1977).</t>
        </is>
      </c>
      <c r="K205" s="19" t="inlineStr">
        <is>
          <t>Not established from a single credit.</t>
        </is>
      </c>
      <c r="L205" s="19" t="inlineStr">
        <is>
          <t>Not applicable; no biographical source was located.</t>
        </is>
      </c>
      <c r="M205" s="5" t="n"/>
      <c r="N205" s="19" t="inlineStr">
        <is>
          <t>Not established.</t>
        </is>
      </c>
      <c r="O205" s="19" t="inlineStr">
        <is>
          <t>One producing credit, on Hira Aur Patthar (1977), produced with Arun Bhatt (PERSON-107) and written by Satyadev Dubey (PERSON-022) — an early point of contact between Kapoor and the writer who would script three of his own Film-Valas productions.</t>
        </is>
      </c>
      <c r="P205" s="17" t="n">
        <v>1</v>
      </c>
      <c r="Q205" s="5" t="inlineStr">
        <is>
          <t>FILM-063</t>
        </is>
      </c>
      <c r="R205" s="5" t="inlineStr">
        <is>
          <t>Hira Aur Patthar (1977), his only film with Kapoor</t>
        </is>
      </c>
      <c r="S205" s="5" t="inlineStr">
        <is>
          <t>Kishore Vyas produced Hira Aur Patthar in 1977 with Arun Bhatt, his only credit in this filmography. The film is worth noting for one connection recorded elsewhere in this sheet: among its writers was Satyadev Dubey, the theatre director who two years later would write Junoon and go on to script the parallel-cinema films Shashi Kapoor financed himself, so this commercial picture appears to be where that association began. No Wikipedia article exists for Vyas under this name or any variant attempted during research, and no other biographical source was located. The entry is graded Low.</t>
        </is>
      </c>
      <c r="T205" s="5" t="inlineStr">
        <is>
          <t>SOURCE-053</t>
        </is>
      </c>
      <c r="U205" s="5" t="inlineStr">
        <is>
          <t>Low</t>
        </is>
      </c>
    </row>
    <row r="206" ht="154" customHeight="1">
      <c r="A206" s="15" t="inlineStr">
        <is>
          <t>PERSON-205</t>
        </is>
      </c>
      <c r="B206" s="5" t="inlineStr">
        <is>
          <t>Kranthi Kumar</t>
        </is>
      </c>
      <c r="C206" s="5" t="inlineStr">
        <is>
          <t>Director; Writer</t>
        </is>
      </c>
      <c r="D206" s="17" t="n">
        <v>1942</v>
      </c>
      <c r="E206" s="17" t="n">
        <v>2003</v>
      </c>
      <c r="F206" s="5" t="n"/>
      <c r="G206" s="5" t="inlineStr">
        <is>
          <t>Telugu and Hindi cinema</t>
        </is>
      </c>
      <c r="H206" s="5" t="inlineStr">
        <is>
          <t>Born Talasila Kranthi Kumar on 5 April 1942; died 9 May 2003. A producer, director and screenwriter known for his work in Telugu cinema, who over nearly three decades produced twenty-one films and directed nineteen.</t>
        </is>
      </c>
      <c r="I206" s="5" t="inlineStr">
        <is>
          <t>Producing and directing from the mid-1970s.</t>
        </is>
      </c>
      <c r="J206" s="5" t="inlineStr">
        <is>
          <t>With Kapoor: Swati (1986), which he directed and wrote. Elsewhere: Sravanthi (1985), which won the National Film Award for Best Feature Film in Telugu, and 9 Nelalu (2000), screened in a retrospective at the Toronto International Film Festival.</t>
        </is>
      </c>
      <c r="K206" s="19" t="inlineStr">
        <is>
          <t>Domestic and social drama centred on women's lives, treated seriously within a commercial frame.</t>
        </is>
      </c>
      <c r="L206" s="19" t="inlineStr">
        <is>
          <t>A Telugu filmmaker whose work was regularly selected for national and international showcases while remaining commercially viable.</t>
        </is>
      </c>
      <c r="M206" s="5" t="inlineStr">
        <is>
          <t>A National Film Award, five Nandi Awards and two Filmfare Awards South. One of his films was featured in the Indian Panorama section of the International Film Festival of India.</t>
        </is>
      </c>
      <c r="N206" s="19" t="inlineStr">
        <is>
          <t>A significant figure in Telugu cinema of the 1980s and 1990s, respected both commercially and critically.</t>
        </is>
      </c>
      <c r="O206" s="19" t="inlineStr">
        <is>
          <t>One film, Swati (1986), which he directed and wrote and which was produced by L. V. Prasad (PERSON-208), with a Laxmikant–Pyarelal (PERSON-001) score. It is a Hindi film made by a southern creative team of unusual standing, and it belongs to the phase in which Kapoor was working increasingly with directors from outside Bombay. His article does not mention Kapoor.</t>
        </is>
      </c>
      <c r="P206" s="17" t="n">
        <v>1</v>
      </c>
      <c r="Q206" s="5" t="inlineStr">
        <is>
          <t>FILM-124</t>
        </is>
      </c>
      <c r="R206" s="5" t="inlineStr">
        <is>
          <t>Swati (1986), his only film with Kapoor</t>
        </is>
      </c>
      <c r="S206" s="5" t="inlineStr">
        <is>
          <t>Kranthi Kumar directed and wrote Swati in 1986, his only film with Shashi Kapoor, produced by the veteran L. V. Prasad with music by Laxmikant–Pyarelal — a Hindi film made by a southern creative team of unusual standing, from the phase in which Kapoor was working increasingly with filmmakers from outside Bombay. Born Talasila Kranthi Kumar on 5 April 1942, he was a substantial figure in Telugu cinema, producing twenty-one films and directing nineteen across nearly three decades, and his work was taken seriously well beyond commercial circles: Sravanthi won the National Film Award for Best Feature Film in Telugu in 1985, another of his films was chosen for the Indian Panorama section of the International Film Festival of India, and 9 Nelalu was shown in a retrospective at the Toronto International Film Festival in 2000. He received a National Film Award, five Nandi Awards and two Filmfare Awards South. He died on 9 May 2003. His article does not mention Kapoor.</t>
        </is>
      </c>
      <c r="T206" s="5" t="inlineStr">
        <is>
          <t>SOURCE-246</t>
        </is>
      </c>
      <c r="U206" s="5" t="inlineStr">
        <is>
          <t>High</t>
        </is>
      </c>
    </row>
    <row r="207" ht="94" customHeight="1">
      <c r="A207" s="15" t="inlineStr">
        <is>
          <t>PERSON-206</t>
        </is>
      </c>
      <c r="B207" s="5" t="inlineStr">
        <is>
          <t>Krishna Basrur</t>
        </is>
      </c>
      <c r="C207" s="5" t="inlineStr">
        <is>
          <t>Writer</t>
        </is>
      </c>
      <c r="D207" s="18" t="n"/>
      <c r="E207" s="18" t="n"/>
      <c r="F207" s="5" t="n"/>
      <c r="G207" s="5" t="inlineStr">
        <is>
          <t>Hindi cinema</t>
        </is>
      </c>
      <c r="H207" s="5" t="inlineStr">
        <is>
          <t>No Wikipedia article exists for him, and none was found under any variant spelling. Everything here rests on the credit of the single film.</t>
        </is>
      </c>
      <c r="I207" s="5" t="n"/>
      <c r="J207" s="5" t="inlineStr">
        <is>
          <t>With Kapoor: Utsav (1984).</t>
        </is>
      </c>
      <c r="K207" s="19" t="inlineStr">
        <is>
          <t>Not established from a single credit.</t>
        </is>
      </c>
      <c r="L207" s="19" t="inlineStr">
        <is>
          <t>Not established; no biographical source was located.</t>
        </is>
      </c>
      <c r="M207" s="5" t="n"/>
      <c r="N207" s="19" t="inlineStr">
        <is>
          <t>Not established.</t>
        </is>
      </c>
      <c r="O207" s="19" t="inlineStr">
        <is>
          <t>One writing credit, on Utsav (1984), directed and written by Girish Karnad (PERSON-060) and produced by Kapoor himself through Film-Valas (PERSON-162) — an adaptation of the Sanskrit play Mrichhakatika whose commercial failure ended his career as a producer.</t>
        </is>
      </c>
      <c r="P207" s="17" t="n">
        <v>1</v>
      </c>
      <c r="Q207" s="5" t="inlineStr">
        <is>
          <t>FILM-114</t>
        </is>
      </c>
      <c r="R207" s="5" t="inlineStr">
        <is>
          <t>Utsav (1984), his only film with Kapoor</t>
        </is>
      </c>
      <c r="S207" s="5" t="inlineStr">
        <is>
          <t>Krishna Basrur shares a writing credit on Utsav, released in 1984 — Girish Karnad's lavish adaptation of the Sanskrit Mrichhakatika, which Shashi Kapoor produced through Film-Valas and which lost enough money to close his producing career. It is the last of the four films he financed from his commercial earnings, and the most expensive. No Wikipedia article exists for Basrur under this name or any variant attempted during research, and no other biographical source was located, so nothing further can be said about his work. The entry is graded Low and rests on the single film credit.</t>
        </is>
      </c>
      <c r="T207" s="5" t="inlineStr">
        <is>
          <t>SOURCE-095</t>
        </is>
      </c>
      <c r="U207" s="5" t="inlineStr">
        <is>
          <t>Low</t>
        </is>
      </c>
    </row>
    <row r="208" ht="94" customHeight="1">
      <c r="A208" s="15" t="inlineStr">
        <is>
          <t>PERSON-207</t>
        </is>
      </c>
      <c r="B208" s="5" t="inlineStr">
        <is>
          <t>Kusum Nirula</t>
        </is>
      </c>
      <c r="C208" s="5" t="inlineStr">
        <is>
          <t>Producer</t>
        </is>
      </c>
      <c r="D208" s="18" t="n"/>
      <c r="E208" s="18" t="n"/>
      <c r="F208" s="5" t="n"/>
      <c r="G208" s="5" t="inlineStr">
        <is>
          <t>Hindi cinema</t>
        </is>
      </c>
      <c r="H208" s="5" t="inlineStr">
        <is>
          <t>No Wikipedia article exists for her, and none was found under any variant spelling. Everything here rests on the credit of the single film.</t>
        </is>
      </c>
      <c r="I208" s="5" t="n"/>
      <c r="J208" s="5" t="inlineStr">
        <is>
          <t>With Kapoor: Alag Alag (1985).</t>
        </is>
      </c>
      <c r="K208" s="19" t="inlineStr">
        <is>
          <t>Not established from a single credit.</t>
        </is>
      </c>
      <c r="L208" s="19" t="inlineStr">
        <is>
          <t>Not applicable; no biographical source was located.</t>
        </is>
      </c>
      <c r="M208" s="5" t="n"/>
      <c r="N208" s="19" t="inlineStr">
        <is>
          <t>Not established, though a woman producing a mainstream Hindi film in 1985 was uncommon.</t>
        </is>
      </c>
      <c r="O208" s="19" t="inlineStr">
        <is>
          <t>One producing credit, on Alag Alag (1985), a film also produced by Rajesh Khanna (PERSON-273) under the Aashirwad Films banner (PERSON-089), written by Sachin Bhowmick (PERSON-012) and Ehsan Rizvi (PERSON-030), and scored by R. D. Burman (PERSON-003).</t>
        </is>
      </c>
      <c r="P208" s="17" t="n">
        <v>1</v>
      </c>
      <c r="Q208" s="5" t="inlineStr">
        <is>
          <t>FILM-118</t>
        </is>
      </c>
      <c r="R208" s="5" t="inlineStr">
        <is>
          <t>Alag Alag (1985), her only film with Kapoor</t>
        </is>
      </c>
      <c r="S208" s="5" t="inlineStr">
        <is>
          <t>Kusum Nirula produced Alag Alag in 1985, her only credit in this filmography — a film she made alongside Rajesh Khanna, under the Aashirwad Films banner, with a script by Sachin Bhowmick and Ehsan Rizvi and a score by R. D. Burman. A woman holding a producer credit on a mainstream Hindi film of that period was unusual enough to be worth recording. Nothing further could be established: no Wikipedia article exists under this name or any variant attempted during research, and no other biographical source was located. The entry is graded Low and rests on the single film credit.</t>
        </is>
      </c>
      <c r="T208" s="5" t="inlineStr">
        <is>
          <t>SOURCE-099</t>
        </is>
      </c>
      <c r="U208" s="5" t="inlineStr">
        <is>
          <t>Low</t>
        </is>
      </c>
    </row>
    <row r="209" ht="139" customHeight="1">
      <c r="A209" s="15" t="inlineStr">
        <is>
          <t>PERSON-208</t>
        </is>
      </c>
      <c r="B209" s="5" t="inlineStr">
        <is>
          <t>L. V. Prasad</t>
        </is>
      </c>
      <c r="C209" s="5" t="inlineStr">
        <is>
          <t>Producer</t>
        </is>
      </c>
      <c r="D209" s="17" t="n">
        <v>1907</v>
      </c>
      <c r="E209" s="17" t="n">
        <v>1994</v>
      </c>
      <c r="F209" s="5" t="inlineStr">
        <is>
          <t>1930–1990</t>
        </is>
      </c>
      <c r="G209" s="5" t="inlineStr">
        <is>
          <t>Telugu, Tamil and Hindi cinema</t>
        </is>
      </c>
      <c r="H209" s="5" t="inlineStr">
        <is>
          <t>Born Akkineni Laxmi Vara Prasada Rao on 17 January 1907; died 22 June 1994. A director, producer, actor and businessman, and one of the pioneers of Telugu cinema. He founded the Prasads Group in 1956, which came to include Prasad Art Pictures, Prasad Studios, Prasad's IMAX and the L. V. Prasad Eye Institute, and was elected president of the South Indian Film Chamber of Commerce for 1982–83.</t>
        </is>
      </c>
      <c r="I209" s="5" t="inlineStr">
        <is>
          <t>Working in film from 1930; he has the distinction of appearing in the first talkies of three different Indian languages — Alam Ara in Hindi, Bhakta Prahlada in Telugu and Kalidas in Tamil.</t>
        </is>
      </c>
      <c r="J209" s="5" t="inlineStr">
        <is>
          <t>With Kapoor: Swati (1986). Elsewhere, a very large body of production and direction across three languages.</t>
        </is>
      </c>
      <c r="K209" s="19" t="inlineStr">
        <is>
          <t>Family and social drama made for a mass audience across several language industries.</t>
        </is>
      </c>
      <c r="L209" s="19" t="inlineStr">
        <is>
          <t>Not applicable; a producer, studio-builder and institution-founder as much as a filmmaker.</t>
        </is>
      </c>
      <c r="M209" s="5" t="inlineStr">
        <is>
          <t>The Dadasaheb Phalke Award in 1982, the highest film honour in India, and the Raghupathi Venkaiah Award in 1980 for his contribution to Telugu cinema. The Government of India issued a commemorative postage stamp in his memory in 2006.</t>
        </is>
      </c>
      <c r="N209" s="19" t="inlineStr">
        <is>
          <t>One of the founding figures of Telugu cinema, present at the very beginning of Indian sound film, and the builder of a studio and philanthropic group that outlived him.</t>
        </is>
      </c>
      <c r="O209" s="19" t="inlineStr">
        <is>
          <t>One producing credit, on Swati (1986), directed and written by Kranthi Kumar (PERSON-205) and scored by Laxmikant–Pyarelal (PERSON-001). Prasad was seventy-nine when it was made, near the end of a sixty-year career; for Kapoor it is one of several mid-1980s films made with southern production units. His article does not mention Kapoor.</t>
        </is>
      </c>
      <c r="P209" s="17" t="n">
        <v>1</v>
      </c>
      <c r="Q209" s="5" t="inlineStr">
        <is>
          <t>FILM-124</t>
        </is>
      </c>
      <c r="R209" s="5" t="inlineStr">
        <is>
          <t>Swati (1986), his only film with Kapoor</t>
        </is>
      </c>
      <c r="S209" s="5" t="inlineStr">
        <is>
          <t>L. V. Prasad produced Swati in 1986, his only film with Shashi Kapoor and a late entry in one of the longest careers in Indian cinema. Born in 1907, Prasad had appeared in the first talkies made in three different Indian languages — Alam Ara, Bhakta Prahlada and Kalidas — and went on to become a pioneer of Telugu cinema as director and producer, founding the Prasads Group in 1956, which grew to include studios, an IMAX theatre and the L. V. Prasad Eye Institute. He received the Raghupathi Venkaiah Award in 1980 and the Dadasaheb Phalke Award in 1982, and a commemorative stamp was issued in his memory in 2006. He died in 1994. His article does not mention Kapoor.</t>
        </is>
      </c>
      <c r="T209" s="5" t="inlineStr">
        <is>
          <t>SOURCE-247</t>
        </is>
      </c>
      <c r="U209" s="5" t="inlineStr">
        <is>
          <t>High</t>
        </is>
      </c>
    </row>
    <row r="210" ht="124" customHeight="1">
      <c r="A210" s="15" t="inlineStr">
        <is>
          <t>PERSON-209</t>
        </is>
      </c>
      <c r="B210" s="5" t="inlineStr">
        <is>
          <t>Laxmikant Sharma</t>
        </is>
      </c>
      <c r="C210" s="5" t="inlineStr">
        <is>
          <t>Writer</t>
        </is>
      </c>
      <c r="D210" s="18" t="n"/>
      <c r="E210" s="18" t="n"/>
      <c r="F210" s="5" t="n"/>
      <c r="G210" s="5" t="inlineStr">
        <is>
          <t>Hindi cinema</t>
        </is>
      </c>
      <c r="H210" s="5" t="inlineStr">
        <is>
          <t>No Wikipedia article exists for him. The page reached from this name is about a Madhya Pradesh politician who died in 2021, and it was rejected during research as the wrong person. Everything here rests on the credit of the single film.</t>
        </is>
      </c>
      <c r="I210" s="5" t="n"/>
      <c r="J210" s="5" t="inlineStr">
        <is>
          <t>With Kapoor: Namak Halaal (1982).</t>
        </is>
      </c>
      <c r="K210" s="19" t="inlineStr">
        <is>
          <t>Not established from a single credit.</t>
        </is>
      </c>
      <c r="L210" s="19" t="inlineStr">
        <is>
          <t>Not established; no biographical source was located.</t>
        </is>
      </c>
      <c r="M210" s="5" t="n"/>
      <c r="N210" s="19" t="inlineStr">
        <is>
          <t>Not established.</t>
        </is>
      </c>
      <c r="O210" s="19" t="inlineStr">
        <is>
          <t>One writing credit, on Namak Halaal (1982), directed by Prakash Mehra (PERSON-077), written with Kader Khan (PERSON-007) and scored by Bappi Lahiri (PERSON-004). The film is an Amitabh Bachchan vehicle in which Kapoor plays the wealthy employer — a substantial but subordinate role, and a marker of his changing position.</t>
        </is>
      </c>
      <c r="P210" s="17" t="n">
        <v>1</v>
      </c>
      <c r="Q210" s="5" t="inlineStr">
        <is>
          <t>FILM-105</t>
        </is>
      </c>
      <c r="R210" s="5" t="inlineStr">
        <is>
          <t>Namak Halaal (1982), his only film with Kapoor</t>
        </is>
      </c>
      <c r="S210" s="5" t="inlineStr">
        <is>
          <t>Laxmikant Sharma shares a writing credit on Namak Halaal, released in 1982 — the Prakash Mehra picture built around Amitabh Bachchan, with dialogue by Kader Khan and music by Bappi Lahiri, in which Shashi Kapoor plays the wealthy employer. The role is substantial but plainly subordinate, and the film is a useful marker of how far his position had shifted by the early 1980s. No Wikipedia biography of the writer exists: the article reached from his name is about a politician from Madhya Pradesh who died in 2021 and was rejected during research as the wrong person, with no alternative found under any variant. The entry is graded Low.</t>
        </is>
      </c>
      <c r="T210" s="5" t="inlineStr">
        <is>
          <t>SOURCE-087</t>
        </is>
      </c>
      <c r="U210" s="5" t="inlineStr">
        <is>
          <t>Low</t>
        </is>
      </c>
    </row>
    <row r="211" ht="139" customHeight="1">
      <c r="A211" s="15" t="inlineStr">
        <is>
          <t>PERSON-210</t>
        </is>
      </c>
      <c r="B211" s="5" t="inlineStr">
        <is>
          <t>Leela Phansalkar</t>
        </is>
      </c>
      <c r="C211" s="5" t="inlineStr">
        <is>
          <t>Writer</t>
        </is>
      </c>
      <c r="D211" s="18" t="n"/>
      <c r="E211" s="18" t="n"/>
      <c r="F211" s="5" t="n"/>
      <c r="G211" s="5" t="inlineStr">
        <is>
          <t>Hindi cinema</t>
        </is>
      </c>
      <c r="H211" s="5" t="inlineStr">
        <is>
          <t>No Wikipedia article exists for her, and none was found under any variant spelling. Everything here rests on the credit of the single film.</t>
        </is>
      </c>
      <c r="I211" s="5" t="n"/>
      <c r="J211" s="5" t="inlineStr">
        <is>
          <t>With Kapoor: Baseraa (1981).</t>
        </is>
      </c>
      <c r="K211" s="19" t="inlineStr">
        <is>
          <t>Not established from a single credit.</t>
        </is>
      </c>
      <c r="L211" s="19" t="inlineStr">
        <is>
          <t>Not established; no biographical source was located.</t>
        </is>
      </c>
      <c r="M211" s="5" t="n"/>
      <c r="N211" s="19" t="inlineStr">
        <is>
          <t>Not established.</t>
        </is>
      </c>
      <c r="O211" s="19" t="inlineStr">
        <is>
          <t>One writing credit, on Baseraa (1981), directed by Ramesh Talwar (PERSON-039), written with Gulzar (PERSON-031) and G. R. Kamat (PERSON-166), and scored by R. D. Burman (PERSON-003) — a Yash Chopra production turning on a wife's mental illness and her sister's place in the household, and one of the more romantically substantial films of Kapoor's later career.</t>
        </is>
      </c>
      <c r="P211" s="17" t="n">
        <v>1</v>
      </c>
      <c r="Q211" s="5" t="inlineStr">
        <is>
          <t>FILM-095</t>
        </is>
      </c>
      <c r="R211" s="5" t="inlineStr">
        <is>
          <t>Baseraa (1981), her only film with Kapoor</t>
        </is>
      </c>
      <c r="S211" s="5" t="inlineStr">
        <is>
          <t>Leela Phansalkar shares a writing credit on Baseraa, released in 1981 — a Yash Chopra production directed by Ramesh Talwar, written with Gulzar and G. R. Kamat, and scored by R. D. Burman. The film turns on a wife's mental illness and the sister who takes her place in the household, and it is among the more emotionally complicated romantic films of Shashi Kapoor's later career, supplying one of the more ambivalent rows in this workbook's Romances sheet. No Wikipedia article exists for her under this name or any variant attempted during research, and no other biographical source was located. The entry is graded Low.</t>
        </is>
      </c>
      <c r="T211" s="5" t="inlineStr">
        <is>
          <t>SOURCE-083</t>
        </is>
      </c>
      <c r="U211" s="5" t="inlineStr">
        <is>
          <t>Low</t>
        </is>
      </c>
    </row>
    <row r="212" ht="154" customHeight="1">
      <c r="A212" s="15" t="inlineStr">
        <is>
          <t>PERSON-211</t>
        </is>
      </c>
      <c r="B212" s="5" t="inlineStr">
        <is>
          <t>Lekh Tandon</t>
        </is>
      </c>
      <c r="C212" s="5" t="inlineStr">
        <is>
          <t>Director; Producer</t>
        </is>
      </c>
      <c r="D212" s="17" t="n">
        <v>1929</v>
      </c>
      <c r="E212" s="17" t="n">
        <v>2017</v>
      </c>
      <c r="F212" s="5" t="inlineStr">
        <is>
          <t>1947–2017</t>
        </is>
      </c>
      <c r="G212" s="5" t="inlineStr">
        <is>
          <t>Hindi cinema and television</t>
        </is>
      </c>
      <c r="H212" s="5" t="inlineStr">
        <is>
          <t>Born 13 February 1929; died 15 October 2017. A filmmaker and actor who directed numerous Hindi films and television serials, beginning as an assistant director in the 1950s. He was the brother of the Urdu playwright Yograj Tandon.</t>
        </is>
      </c>
      <c r="I212" s="5" t="inlineStr">
        <is>
          <t>Professor (1962) was his first film as director.</t>
        </is>
      </c>
      <c r="J212" s="5" t="inlineStr">
        <is>
          <t>With Kapoor: Jahan Pyar Mile (1970), which he directed and produced. Elsewhere: Professor (1962), Amrapali, Prince (1969), Jhuk Gaya Aasman, Ek Baar Kaho and Agar Tum Na Hote; later he acted in Swades, Rang De Basanti and Chennai Express.</t>
        </is>
      </c>
      <c r="K212" s="19" t="inlineStr">
        <is>
          <t>Romantic comedy and historical romance; in his later career, television and character acting.</t>
        </is>
      </c>
      <c r="L212" s="19" t="inlineStr">
        <is>
          <t>A commercial director of the 1960s whose films, including the unsuccessful Jhuk Gaya Aasman, have since been reassessed as classics.</t>
        </is>
      </c>
      <c r="M212" s="5" t="n"/>
      <c r="N212" s="19" t="inlineStr">
        <is>
          <t>The director of Professor and Amrapali, and a working presence in Indian film and television across seven decades.</t>
        </is>
      </c>
      <c r="O212" s="19" t="inlineStr">
        <is>
          <t>One film, Jahan Pyar Mile (1970), which he directed and produced, scored by Shankar–Jaikishan (PERSON-008). The workbook notes a title and dating question on this film: the article gives it as Jahan Pyar Miley, released 30 October 1970, against the filmography table's own rendering. His article does not mention Kapoor.</t>
        </is>
      </c>
      <c r="P212" s="17" t="n">
        <v>1</v>
      </c>
      <c r="Q212" s="5" t="inlineStr">
        <is>
          <t>FILM-035</t>
        </is>
      </c>
      <c r="R212" s="5" t="inlineStr">
        <is>
          <t>Jahan Pyar Mile (1970), his only film with Kapoor</t>
        </is>
      </c>
      <c r="S212" s="5" t="inlineStr">
        <is>
          <t>Lekh Tandon directed and produced Jahan Pyar Mile in 1970, his only film with Shashi Kapoor, with a Shankar–Jaikishan score — one of the credits issued under the joint name around the time of Jaikishan's death. This workbook notes a title and dating question on the film: the article gives it as Jahan Pyar Miley, released 30 October 1970, against the filmography table's own rendering, and the row records the discrepancy. Tandon had made his name eight years earlier with Professor and went on to Amrapali, Prince, Ek Baar Kaho and Agar Tum Na Hote; Jhuk Gaya Aasman, with Rajendra Kumar and Saira Banu, failed commercially but is now considered a classic, as is Amrapali. Born in 1929, he began as an assistant director in the 1950s and worked for nearly seventy years, directing television serials as well as films and, after 2000, appearing as a character actor in Swades, Rang De Basanti, Chennai Express and Chaarfutiya Chhokare. He was the brother of the Urdu playwright Yograj Tandon, and died in 2017.</t>
        </is>
      </c>
      <c r="T212" s="5" t="inlineStr">
        <is>
          <t>SOURCE-248</t>
        </is>
      </c>
      <c r="U212" s="5" t="inlineStr">
        <is>
          <t>High</t>
        </is>
      </c>
    </row>
    <row r="213" ht="109" customHeight="1">
      <c r="A213" s="15" t="inlineStr">
        <is>
          <t>PERSON-212</t>
        </is>
      </c>
      <c r="B213" s="5" t="inlineStr">
        <is>
          <t>Lekhraj Khosla</t>
        </is>
      </c>
      <c r="C213" s="5" t="inlineStr">
        <is>
          <t>Producer</t>
        </is>
      </c>
      <c r="D213" s="18" t="n"/>
      <c r="E213" s="18" t="n"/>
      <c r="F213" s="5" t="n"/>
      <c r="G213" s="5" t="inlineStr">
        <is>
          <t>Hindi cinema</t>
        </is>
      </c>
      <c r="H213" s="5" t="inlineStr">
        <is>
          <t>No Wikipedia article exists for him, and none was found under any variant spelling. Everything here rests on the credit of the single film.</t>
        </is>
      </c>
      <c r="I213" s="5" t="n"/>
      <c r="J213" s="5" t="inlineStr">
        <is>
          <t>With Kapoor: Prem Kahani (1975).</t>
        </is>
      </c>
      <c r="K213" s="19" t="inlineStr">
        <is>
          <t>Not established from a single credit.</t>
        </is>
      </c>
      <c r="L213" s="19" t="inlineStr">
        <is>
          <t>Not applicable; no biographical source was located.</t>
        </is>
      </c>
      <c r="M213" s="5" t="n"/>
      <c r="N213" s="19" t="inlineStr">
        <is>
          <t>Not established.</t>
        </is>
      </c>
      <c r="O213" s="19" t="inlineStr">
        <is>
          <t>One producing credit, on Prem Kahani (1975), made with Bolu Khosla (PERSON-129) under the Khosla Enterprises banner (PERSON-201) and scored by Laxmikant–Pyarelal (PERSON-001). The three Khosla credits on a single film indicate a family concern, recorded here as an inference.</t>
        </is>
      </c>
      <c r="P213" s="17" t="n">
        <v>1</v>
      </c>
      <c r="Q213" s="5" t="inlineStr">
        <is>
          <t>FILM-053</t>
        </is>
      </c>
      <c r="R213" s="5" t="inlineStr">
        <is>
          <t>Prem Kahani (1975), his only film with Kapoor</t>
        </is>
      </c>
      <c r="S213" s="5" t="inlineStr">
        <is>
          <t>Lekhraj Khosla produced Prem Kahani in 1975, working with Bolu Khosla under the Khosla Enterprises banner — three Khosla credits on one film, which makes a family production concern the obvious reading, though no source confirms it and it is recorded here as an inference from the credits. The film comes from the strongest year of Shashi Kapoor's commercial career, alongside Deewaar, and carries a Laxmikant–Pyarelal score. No Wikipedia article exists for him under this name or any variant attempted during research, and no other biographical source was located. The entry is graded Low.</t>
        </is>
      </c>
      <c r="T213" s="5" t="inlineStr">
        <is>
          <t>SOURCE-042</t>
        </is>
      </c>
      <c r="U213" s="5" t="inlineStr">
        <is>
          <t>Low</t>
        </is>
      </c>
    </row>
    <row r="214" ht="154" customHeight="1">
      <c r="A214" s="15" t="inlineStr">
        <is>
          <t>PERSON-213</t>
        </is>
      </c>
      <c r="B214" s="5" t="inlineStr">
        <is>
          <t>Louis Banks</t>
        </is>
      </c>
      <c r="C214" s="5" t="inlineStr">
        <is>
          <t>Song composer</t>
        </is>
      </c>
      <c r="D214" s="17" t="n">
        <v>1941</v>
      </c>
      <c r="E214" s="18" t="n"/>
      <c r="F214" s="5" t="inlineStr">
        <is>
          <t>1982–present</t>
        </is>
      </c>
      <c r="G214" s="5" t="inlineStr">
        <is>
          <t>Indian jazz, advertising and film music</t>
        </is>
      </c>
      <c r="H214" s="5" t="inlineStr">
        <is>
          <t>Born Dambar Bahadur Budaprithi on 11 February 1941. A composer, record producer, keyboardist and singer, frequently described as the godfather of Indian jazz.</t>
        </is>
      </c>
      <c r="I214" s="5" t="inlineStr">
        <is>
          <t>Composing for film and recording from the early 1980s.</t>
        </is>
      </c>
      <c r="J214" s="5" t="inlineStr">
        <is>
          <t>With Kapoor: New Delhi Times (1986). Elsewhere: the 2008 album Miles from India, a tribute to Miles Davis, on which he was co-producer, arranger and keyboardist.</t>
        </is>
      </c>
      <c r="K214" s="19" t="inlineStr">
        <is>
          <t>Jazz, world music and Indian pop; the fusion of Indian idioms with jazz harmony.</t>
        </is>
      </c>
      <c r="L214" s="19" t="inlineStr">
        <is>
          <t>A jazz pianist and arranger bringing a jazz sensibility to Indian film and commercial music.</t>
        </is>
      </c>
      <c r="M214" s="5" t="inlineStr">
        <is>
          <t>Miles from India was nominated for a Grammy Award in 2008 in the Best Contemporary Jazz Album category.</t>
        </is>
      </c>
      <c r="N214" s="19" t="inlineStr">
        <is>
          <t>The central figure in the development of Indian jazz and a defining presence in Indian commercial and film music from the 1980s.</t>
        </is>
      </c>
      <c r="O214" s="19" t="inlineStr">
        <is>
          <t>One film, New Delhi Times (1986), directed by Ramesh Sharma (PERSON-080) and written by Gulzar (PERSON-031), for which Kapoor won the National Film Award for Best Actor. Banks's spare jazz-inflected scoring suits the film's political register and is quite unlike the songs of Kapoor's commercial work. His article does not mention Kapoor.</t>
        </is>
      </c>
      <c r="P214" s="17" t="n">
        <v>1</v>
      </c>
      <c r="Q214" s="5" t="inlineStr">
        <is>
          <t>FILM-120</t>
        </is>
      </c>
      <c r="R214" s="5" t="inlineStr">
        <is>
          <t>New Delhi Times (1986), his only film with Kapoor</t>
        </is>
      </c>
      <c r="S214" s="5" t="inlineStr">
        <is>
          <t>Louis Banks wrote the music for New Delhi Times, the 1986 political drama directed by Ramesh Sharma and written by Gulzar in which Shashi Kapoor plays a newspaper editor pursuing a political murder through a system that gradually closes around him — the performance that won him the National Film Award for Best Actor and the high point of his late career. Banks's contribution matters to the film's tone: his spare, jazz-inflected scoring is entirely unlike the song-driven music of Kapoor's commercial pictures, and it suits the film's restrained political register. Born Dambar Bahadur Budaprithi on 11 February 1941, he is widely called the godfather of Indian jazz, and has worked as composer, record producer, keyboardist and singer across jazz, world music and Indian pop since the early 1980s. His 2008 collaboration on Miles from India, a tribute album to Miles Davis on which he was co-producer, arranger and pianist, was nominated for a Grammy Award. His article does not mention Kapoor.</t>
        </is>
      </c>
      <c r="T214" s="5" t="inlineStr">
        <is>
          <t>SOURCE-249</t>
        </is>
      </c>
      <c r="U214" s="5" t="inlineStr">
        <is>
          <t>High</t>
        </is>
      </c>
    </row>
    <row r="215" ht="139" customHeight="1">
      <c r="A215" s="15" t="inlineStr">
        <is>
          <t>PERSON-214</t>
        </is>
      </c>
      <c r="B215" s="5" t="inlineStr">
        <is>
          <t>Lynn Nottage</t>
        </is>
      </c>
      <c r="C215" s="5" t="inlineStr">
        <is>
          <t>Writer</t>
        </is>
      </c>
      <c r="D215" s="17" t="n">
        <v>1964</v>
      </c>
      <c r="E215" s="18" t="n"/>
      <c r="F215" s="5" t="n"/>
      <c r="G215" s="5" t="inlineStr">
        <is>
          <t>American theatre and cinema</t>
        </is>
      </c>
      <c r="H215" s="5" t="inlineStr">
        <is>
          <t>Born 2 November 1964. An American playwright whose work focuses on the experience of working-class people, particularly those who are Black. She is a professor of playwriting at Columbia University and an artist-in-residence at the Park Avenue Armory.</t>
        </is>
      </c>
      <c r="I215" s="5" t="inlineStr">
        <is>
          <t>Her plays date from the 1990s; Crumbs from the Table of Joy (1995) is among the earliest.</t>
        </is>
      </c>
      <c r="J215" s="5" t="inlineStr">
        <is>
          <t>With Kapoor: Side Streets (1998). Elsewhere: Intimate Apparel (2003), Fabulation (2004), Ruined (2008), By the Way, Meet Vera Stark (2011), Sweat (2015) and Clyde's.</t>
        </is>
      </c>
      <c r="K215" s="19" t="inlineStr">
        <is>
          <t>Work and its loss; race and class in America; women's labour, both waged and unwaged.</t>
        </is>
      </c>
      <c r="L215" s="19" t="inlineStr">
        <is>
          <t>A dramatist of documentary attentiveness, building plays from extensive interview and research.</t>
        </is>
      </c>
      <c r="M215" s="5" t="inlineStr">
        <is>
          <t>The Pulitzer Prize for Drama twice — in 2009 for Ruined and in 2017 for Sweat — making her the first and still the only woman to win it twice; a MacArthur Fellowship in 2007; the Susan Smith Blackburn Prize; three Obie Awards; and inclusion in Time magazine's 2019 list of the 100 most influential people.</t>
        </is>
      </c>
      <c r="N215" s="19" t="inlineStr">
        <is>
          <t>One of the most decorated American playwrights of her generation.</t>
        </is>
      </c>
      <c r="O215" s="19" t="inlineStr">
        <is>
          <t>One writing credit, on Side Streets (1998), the American independent film directed by Tony Gerber in which Kapoor appears — one of the last three credits of his career. The film is an ensemble piece about immigrant lives in New York, a subject entirely consistent with Nottage's later work, and it came a decade before her first Pulitzer.</t>
        </is>
      </c>
      <c r="P215" s="17" t="n">
        <v>1</v>
      </c>
      <c r="Q215" s="5" t="inlineStr">
        <is>
          <t>FILM-154</t>
        </is>
      </c>
      <c r="R215" s="5" t="inlineStr">
        <is>
          <t>Side Streets (1998), her only film with Kapoor</t>
        </is>
      </c>
      <c r="S215" s="5" t="inlineStr">
        <is>
          <t>Lynn Nottage wrote Side Streets, the 1998 New York ensemble film directed by Tony Gerber that is among the last three credits of Shashi Kapoor's acting career. The subject — immigrant lives across a single city — fits squarely with the work that would make her reputation, though the film came a decade before it: Nottage went on to win the Pulitzer Prize for Drama twice, for Ruined in 2009 and Sweat in 2017, the first and only woman to do so, alongside a MacArthur Fellowship and three Obie Awards. Born in 1964, she teaches playwriting at Columbia. That Kapoor's filmography ends with a credit from a writer of this standing is one of its stranger symmetries. Her article does not mention him.</t>
        </is>
      </c>
      <c r="T215" s="5" t="inlineStr">
        <is>
          <t>SOURCE-250</t>
        </is>
      </c>
      <c r="U215" s="5" t="inlineStr">
        <is>
          <t>High</t>
        </is>
      </c>
    </row>
    <row r="216" ht="124" customHeight="1">
      <c r="A216" s="15" t="inlineStr">
        <is>
          <t>PERSON-215</t>
        </is>
      </c>
      <c r="B216" s="5" t="inlineStr">
        <is>
          <t>M. G. Hashmat</t>
        </is>
      </c>
      <c r="C216" s="5" t="inlineStr">
        <is>
          <t>Writer</t>
        </is>
      </c>
      <c r="D216" s="18" t="n"/>
      <c r="E216" s="18" t="n"/>
      <c r="F216" s="5" t="n"/>
      <c r="G216" s="5" t="inlineStr">
        <is>
          <t>Hindi cinema</t>
        </is>
      </c>
      <c r="H216" s="5" t="inlineStr">
        <is>
          <t>A lyricist and script writer in Indian films, working mostly as a songwriter. His article gives no dates. He wrote 202 film songs across fifty-one Hindi films and also worked as a dialogue writer, in a style his article describes as using simple words close to daily life.</t>
        </is>
      </c>
      <c r="I216" s="5" t="inlineStr">
        <is>
          <t>Not recorded in the article; his best-known work dates from the mid-1970s.</t>
        </is>
      </c>
      <c r="J216" s="5" t="inlineStr">
        <is>
          <t>With Kapoor: Trishna (1978). Elsewhere: Kora Kagaz (1974), for whose song 'Mera Jeevan Kora Kagaz' he won a BFJA Award, and whose dialogue he also wrote.</t>
        </is>
      </c>
      <c r="K216" s="19" t="inlineStr">
        <is>
          <t>Plain-spoken lyrics and dialogue built from everyday language.</t>
        </is>
      </c>
      <c r="L216" s="19" t="inlineStr">
        <is>
          <t>A lyricist who wrote in deliberately simple diction, and who moved between songwriting and dialogue.</t>
        </is>
      </c>
      <c r="M216" s="5" t="inlineStr">
        <is>
          <t>The BFJA Award for Best Lyricist in 1975, and a Filmfare Award nomination for Best Lyricist the same year, both for 'Mera Jeevan Kora Kagaz' from Kora Kagaz.</t>
        </is>
      </c>
      <c r="N216" s="19" t="inlineStr">
        <is>
          <t>The author of one of the best-known Hindi film songs of the 1970s.</t>
        </is>
      </c>
      <c r="O216" s="19" t="inlineStr">
        <is>
          <t>One writing credit, on Trishna (1978), directed by Anil Ganguly (PERSON-052) and written with Sachin Bhowmick (PERSON-012) and Amarjeet (PERSON-095). The connection is neat: Hashmat's award-winning song came from Kora Kagaz, also an Anil Ganguly film, so the director brought him along to this one. His article does not mention Kapoor.</t>
        </is>
      </c>
      <c r="P216" s="17" t="n">
        <v>1</v>
      </c>
      <c r="Q216" s="5" t="inlineStr">
        <is>
          <t>FILM-072</t>
        </is>
      </c>
      <c r="R216" s="5" t="inlineStr">
        <is>
          <t>Trishna (1978), his only film with Kapoor</t>
        </is>
      </c>
      <c r="S216" s="5" t="inlineStr">
        <is>
          <t>M. G. Hashmat shares a writing credit on Trishna, the 1978 Anil Ganguly melodrama pairing Shashi Kapoor with Raakhee. The association runs through the director: Hashmat had written the lyrics for Ganguly's Kora Kagaz in 1974, including 'Mera Jeevan Kora Kagaz', which won him the BFJA Award for Best Lyricist and a Filmfare nomination, and he wrote that film's dialogue too. Across his career he produced 202 songs for fifty-one Hindi films in a deliberately plain idiom, close, as his article puts it, to daily speech. It gives no dates for him and does not mention Kapoor, so this entry rests on it together with the single credit.</t>
        </is>
      </c>
      <c r="T216" s="5" t="inlineStr">
        <is>
          <t>SOURCE-251</t>
        </is>
      </c>
      <c r="U216" s="5" t="inlineStr">
        <is>
          <t>Medium</t>
        </is>
      </c>
    </row>
    <row r="217" ht="94" customHeight="1">
      <c r="A217" s="15" t="inlineStr">
        <is>
          <t>PERSON-216</t>
        </is>
      </c>
      <c r="B217" s="5" t="inlineStr">
        <is>
          <t>M. L. Jain</t>
        </is>
      </c>
      <c r="C217" s="5" t="inlineStr">
        <is>
          <t>Producer</t>
        </is>
      </c>
      <c r="D217" s="18" t="n"/>
      <c r="E217" s="18" t="n"/>
      <c r="F217" s="5" t="n"/>
      <c r="G217" s="5" t="inlineStr">
        <is>
          <t>Hindi cinema</t>
        </is>
      </c>
      <c r="H217" s="5" t="inlineStr">
        <is>
          <t>No Wikipedia article exists for him, and none was found under any variant spelling. Everything here rests on the credit of the single film.</t>
        </is>
      </c>
      <c r="I217" s="5" t="n"/>
      <c r="J217" s="5" t="inlineStr">
        <is>
          <t>With Kapoor: Ghar Bazar (1998).</t>
        </is>
      </c>
      <c r="K217" s="19" t="inlineStr">
        <is>
          <t>Not established from a single credit.</t>
        </is>
      </c>
      <c r="L217" s="19" t="inlineStr">
        <is>
          <t>Not applicable; no biographical source was located.</t>
        </is>
      </c>
      <c r="M217" s="5" t="n"/>
      <c r="N217" s="19" t="inlineStr">
        <is>
          <t>Not established.</t>
        </is>
      </c>
      <c r="O217" s="19" t="inlineStr">
        <is>
          <t>One producing credit, and it closes the filmography: Ghar Bazar, long delayed and released in 1998, is the last film of Kapoor's acting career, directed by D. S. Azad (PERSON-146) and scored by Usha Khanna (PERSON-047).</t>
        </is>
      </c>
      <c r="P217" s="17" t="n">
        <v>1</v>
      </c>
      <c r="Q217" s="5" t="inlineStr">
        <is>
          <t>FILM-151</t>
        </is>
      </c>
      <c r="R217" s="5" t="inlineStr">
        <is>
          <t>Ghar Bazar (1998), the last film of Kapoor's career</t>
        </is>
      </c>
      <c r="S217" s="5" t="inlineStr">
        <is>
          <t>M. L. Jain produced Ghar Bazar, the final film of Shashi Kapoor's acting career — a long-delayed picture released in 1998, directed by D. S. Azad with songs by Usha Khanna, after which he stopped acting. Neither the producer nor the director has any surviving biographical record: no Wikipedia article exists for Jain under this name or any variant attempted during research, and none was found for Azad either. That a fifty-year career beginning with Raj Kapoor's Aag should end with a film whose principal credits are undocumented is worth recording as a fact about the filmography itself. The entry is graded Low.</t>
        </is>
      </c>
      <c r="T217" s="5" t="inlineStr">
        <is>
          <t>SOURCE-126</t>
        </is>
      </c>
      <c r="U217" s="5" t="inlineStr">
        <is>
          <t>Low</t>
        </is>
      </c>
    </row>
    <row r="218" ht="94" customHeight="1">
      <c r="A218" s="15" t="inlineStr">
        <is>
          <t>PERSON-217</t>
        </is>
      </c>
      <c r="B218" s="5" t="inlineStr">
        <is>
          <t>M. R. Productions</t>
        </is>
      </c>
      <c r="C218" s="5" t="inlineStr">
        <is>
          <t>Production banner</t>
        </is>
      </c>
      <c r="D218" s="18" t="n"/>
      <c r="E218" s="18" t="n"/>
      <c r="F218" s="5" t="n"/>
      <c r="G218" s="5" t="inlineStr">
        <is>
          <t>Hindi cinema</t>
        </is>
      </c>
      <c r="H218" s="5" t="inlineStr">
        <is>
          <t>No Wikipedia article exists for this banner, whose initials make searching unreliable. Everything here rests on the credit of the single film.</t>
        </is>
      </c>
      <c r="I218" s="5" t="n"/>
      <c r="J218" s="5" t="inlineStr">
        <is>
          <t>With Kapoor: Commando (1988).</t>
        </is>
      </c>
      <c r="K218" s="19" t="inlineStr">
        <is>
          <t>Not established from a single credit.</t>
        </is>
      </c>
      <c r="L218" s="19" t="inlineStr">
        <is>
          <t>Not applicable.</t>
        </is>
      </c>
      <c r="M218" s="5" t="n"/>
      <c r="N218" s="19" t="inlineStr">
        <is>
          <t>Not established.</t>
        </is>
      </c>
      <c r="O218" s="19" t="inlineStr">
        <is>
          <t>One banner credit, on Commando (1988), directed and written by B. Subhash (PERSON-027), produced by Mushir-Riaz (PERSON-074), written also by Rahi Masoom Reza (PERSON-035) and scored by Bappi Lahiri (PERSON-004).</t>
        </is>
      </c>
      <c r="P218" s="17" t="n">
        <v>1</v>
      </c>
      <c r="Q218" s="5" t="inlineStr">
        <is>
          <t>FILM-134</t>
        </is>
      </c>
      <c r="R218" s="5" t="inlineStr">
        <is>
          <t>Commando (1988), its only film with Kapoor</t>
        </is>
      </c>
      <c r="S218" s="5" t="inlineStr">
        <is>
          <t>M. R. Productions is the banner on Commando, released in 1988 — a late action picture directed and co-written by B. Subhash, produced by the Mushir-Riaz partnership, with dialogue by the Urdu novelist Rahi Masoom Reza and songs by Bappi Lahiri. Shashi Kapoor appears in a supporting capacity, as he did in most of his work by that date. No Wikipedia article exists for the banner, and its initials make any search unreliable, so nothing could be established about its ownership or other productions. The entry is recorded because this workbook lists every credited banner, and it is graded Low.</t>
        </is>
      </c>
      <c r="T218" s="5" t="inlineStr">
        <is>
          <t>SOURCE-111</t>
        </is>
      </c>
      <c r="U218" s="5" t="inlineStr">
        <is>
          <t>Low</t>
        </is>
      </c>
    </row>
    <row r="219" ht="139" customHeight="1">
      <c r="A219" s="15" t="inlineStr">
        <is>
          <t>PERSON-218</t>
        </is>
      </c>
      <c r="B219" s="5" t="inlineStr">
        <is>
          <t>Madan Mohan</t>
        </is>
      </c>
      <c r="C219" s="5" t="inlineStr">
        <is>
          <t>Song composer</t>
        </is>
      </c>
      <c r="D219" s="17" t="n">
        <v>1924</v>
      </c>
      <c r="E219" s="17" t="n">
        <v>1975</v>
      </c>
      <c r="F219" s="5" t="inlineStr">
        <is>
          <t>1950–1975</t>
        </is>
      </c>
      <c r="G219" s="5" t="inlineStr">
        <is>
          <t>Hindi cinema</t>
        </is>
      </c>
      <c r="H219" s="5" t="inlineStr">
        <is>
          <t>Born Madan Mohan Kohli on 25 June 1924; died 14 July 1975. A music director of the 1950s, 1960s and 1970s, considered one of the most melodious and skilled composers of the Hindi film industry and particularly remembered for the ghazals he wrote for films. He worked most often with Lata Mangeshkar, Mohammed Rafi and Talat Mahmood.</t>
        </is>
      </c>
      <c r="I219" s="5" t="inlineStr">
        <is>
          <t>Composing from 1950.</t>
        </is>
      </c>
      <c r="J219" s="5" t="inlineStr">
        <is>
          <t>With Kapoor: Neend Hamari Khwab Tumhare (1966). Elsewhere: Adalat, Anpadh, Dulhan Ek Raat Ki, Mera Saya, Dastak, Hanste Zakhm, Heer Raanjha, Maharaja and Mausam.</t>
        </is>
      </c>
      <c r="K219" s="19" t="inlineStr">
        <is>
          <t>The film ghazal, raised to a level of refinement that has kept his reputation growing since his death.</t>
        </is>
      </c>
      <c r="L219" s="19" t="inlineStr">
        <is>
          <t>A composer of unusual melodic subtlety, whose settings of Urdu verse are generally regarded as the finest in Hindi cinema.</t>
        </is>
      </c>
      <c r="M219" s="5" t="inlineStr">
        <is>
          <t>The National Film Award for Best Music Direction in 1971 for Dastak.</t>
        </is>
      </c>
      <c r="N219" s="19" t="inlineStr">
        <is>
          <t>Widely regarded as the greatest composer of film ghazals in Hindi cinema.</t>
        </is>
      </c>
      <c r="O219" s="19" t="inlineStr">
        <is>
          <t>One film, Neend Hamari Khwab Tumhare (1966), produced by Hans Choudhary (PERSON-177), from the year after Kapoor's rise to stardom. It is the only meeting between them, which is itself striking given that Madan Mohan was at the height of his powers through exactly the decade in which Kapoor established his romantic persona. His article does not mention Kapoor.</t>
        </is>
      </c>
      <c r="P219" s="17" t="n">
        <v>1</v>
      </c>
      <c r="Q219" s="5" t="inlineStr">
        <is>
          <t>FILM-020</t>
        </is>
      </c>
      <c r="R219" s="5" t="inlineStr">
        <is>
          <t>Neend Hamari Khwab Tumhare (1966), his only film with Kapoor</t>
        </is>
      </c>
      <c r="S219" s="5" t="inlineStr">
        <is>
          <t>Madan Mohan scored one Shashi Kapoor film, Neend Hamari Khwab Tumhare, in 1966 — a single meeting that is worth noting precisely because it is single. Madan Mohan was at the peak of his powers through the 1960s, the decade in which Kapoor's romantic persona was formed, and he is generally regarded as the finest composer of ghazals Hindi cinema has produced; that the two crossed only once, on a film whose director, producer, writer and banner are all otherwise undocumented, is one of the odder gaps in this filmography. Born Madan Mohan Kohli in 1924, he composed from 1950 until his death in 1975, writing for Adalat, Anpadh, Dulhan Ek Raat Ki, Mera Saya, Dastak, Hanste Zakhm, Heer Raanjha, Maharaja and Mausam, and working most often with Lata Mangeshkar, Mohammed Rafi and Talat Mahmood. He won the National Film Award for Best Music Direction for Dastak in 1971. He died at fifty-one, and his reputation has risen steadily since.</t>
        </is>
      </c>
      <c r="T219" s="5" t="inlineStr">
        <is>
          <t>SOURCE-252</t>
        </is>
      </c>
      <c r="U219" s="5" t="inlineStr">
        <is>
          <t>High</t>
        </is>
      </c>
    </row>
    <row r="220" ht="94" customHeight="1">
      <c r="A220" s="15" t="inlineStr">
        <is>
          <t>PERSON-219</t>
        </is>
      </c>
      <c r="B220" s="5" t="inlineStr">
        <is>
          <t>Mahender Dehlvi</t>
        </is>
      </c>
      <c r="C220" s="5" t="inlineStr">
        <is>
          <t>Writer</t>
        </is>
      </c>
      <c r="D220" s="18" t="n"/>
      <c r="E220" s="18" t="n"/>
      <c r="F220" s="5" t="n"/>
      <c r="G220" s="5" t="inlineStr">
        <is>
          <t>Hindi cinema</t>
        </is>
      </c>
      <c r="H220" s="5" t="inlineStr">
        <is>
          <t>No Wikipedia article exists for him, and none was found under any variant spelling. Everything here rests on the credit of the single film.</t>
        </is>
      </c>
      <c r="I220" s="5" t="n"/>
      <c r="J220" s="5" t="inlineStr">
        <is>
          <t>With Kapoor: Maa Beti (1986).</t>
        </is>
      </c>
      <c r="K220" s="19" t="inlineStr">
        <is>
          <t>Not established from a single credit.</t>
        </is>
      </c>
      <c r="L220" s="19" t="inlineStr">
        <is>
          <t>Not established; no biographical source was located.</t>
        </is>
      </c>
      <c r="M220" s="5" t="n"/>
      <c r="N220" s="19" t="inlineStr">
        <is>
          <t>Not established.</t>
        </is>
      </c>
      <c r="O220" s="19" t="inlineStr">
        <is>
          <t>One writing credit, on Maa Beti (1986), directed by Kalpataru (PERSON-195) and written with K. B. Pathak (PERSON-068) and Keshav Rathod (PERSON-200), none of whom has a biographical record either.</t>
        </is>
      </c>
      <c r="P220" s="17" t="n">
        <v>1</v>
      </c>
      <c r="Q220" s="5" t="inlineStr">
        <is>
          <t>FILM-125</t>
        </is>
      </c>
      <c r="R220" s="5" t="inlineStr">
        <is>
          <t>Maa Beti (1986), his only film with Kapoor</t>
        </is>
      </c>
      <c r="S220" s="5" t="inlineStr">
        <is>
          <t>Mahender Dehlvi shares a writing credit on Maa Beti, released in 1986 — a family melodrama directed by Kalpataru, written with K. B. Pathak and Keshav Rathod, and scored by Anand–Milind two years before their breakthrough. All three of the film's credited writers are undocumented, which says something about how little of the writing side of commercial Hindi cinema at this level has been recorded. No Wikipedia article exists for Dehlvi under this name or any variant attempted during research, and no other biographical source was located. The entry is graded Low and rests on the single film credit.</t>
        </is>
      </c>
      <c r="T220" s="5" t="inlineStr">
        <is>
          <t>SOURCE-103</t>
        </is>
      </c>
      <c r="U220" s="5" t="inlineStr">
        <is>
          <t>Low</t>
        </is>
      </c>
    </row>
    <row r="221" ht="94" customHeight="1">
      <c r="A221" s="15" t="inlineStr">
        <is>
          <t>PERSON-220</t>
        </is>
      </c>
      <c r="B221" s="5" t="inlineStr">
        <is>
          <t>Manoj Kaytee</t>
        </is>
      </c>
      <c r="C221" s="5" t="inlineStr">
        <is>
          <t>Producer</t>
        </is>
      </c>
      <c r="D221" s="18" t="n"/>
      <c r="E221" s="18" t="n"/>
      <c r="F221" s="5" t="n"/>
      <c r="G221" s="5" t="inlineStr">
        <is>
          <t>Hindi cinema</t>
        </is>
      </c>
      <c r="H221" s="5" t="inlineStr">
        <is>
          <t>No Wikipedia article exists for him, and none was found under any variant spelling. Everything here rests on the credit of the single film.</t>
        </is>
      </c>
      <c r="I221" s="5" t="n"/>
      <c r="J221" s="5" t="inlineStr">
        <is>
          <t>With Kapoor: Neeyat (1980).</t>
        </is>
      </c>
      <c r="K221" s="19" t="inlineStr">
        <is>
          <t>Not established from a single credit.</t>
        </is>
      </c>
      <c r="L221" s="19" t="inlineStr">
        <is>
          <t>Not applicable; no biographical source was located.</t>
        </is>
      </c>
      <c r="M221" s="5" t="n"/>
      <c r="N221" s="19" t="inlineStr">
        <is>
          <t>Not established.</t>
        </is>
      </c>
      <c r="O221" s="19" t="inlineStr">
        <is>
          <t>One producing credit, on Neeyat (1980), directed by Anil Ganguly (PERSON-052), written by Madan Joshi (PERSON-071), K. A. Narayan (PERSON-032), Indeevar (PERSON-180) and Ranjan Bose, and scored by Kalyanji–Anandji (PERSON-002).</t>
        </is>
      </c>
      <c r="P221" s="17" t="n">
        <v>1</v>
      </c>
      <c r="Q221" s="5" t="inlineStr">
        <is>
          <t>FILM-093</t>
        </is>
      </c>
      <c r="R221" s="5" t="inlineStr">
        <is>
          <t>Neeyat (1980), his only film with Kapoor</t>
        </is>
      </c>
      <c r="S221" s="5" t="inlineStr">
        <is>
          <t>Manoj Kaytee produced Neeyat in 1980, his only credit in this filmography — an Anil Ganguly film with an unusually crowded writing credit, listing Madan Joshi, K. A. Narayan, the lyricist Indeevar and Ranjan Bose, and scored by Kalyanji–Anandji. It belongs to the turn of the decade, when Shashi Kapoor was still working constantly but his run of major commercial successes was nearing its end. No Wikipedia article exists for Kaytee under this name or any variant attempted during research, and no other biographical source was located. The entry is graded Low.</t>
        </is>
      </c>
      <c r="T221" s="5" t="inlineStr">
        <is>
          <t>SOURCE-077</t>
        </is>
      </c>
      <c r="U221" s="5" t="inlineStr">
        <is>
          <t>Low</t>
        </is>
      </c>
    </row>
    <row r="222" ht="109" customHeight="1">
      <c r="A222" s="15" t="inlineStr">
        <is>
          <t>PERSON-221</t>
        </is>
      </c>
      <c r="B222" s="5" t="inlineStr">
        <is>
          <t>Manu Ahuja</t>
        </is>
      </c>
      <c r="C222" s="5" t="inlineStr">
        <is>
          <t>Producer</t>
        </is>
      </c>
      <c r="D222" s="18" t="n"/>
      <c r="E222" s="18" t="n"/>
      <c r="F222" s="5" t="n"/>
      <c r="G222" s="5" t="inlineStr">
        <is>
          <t>Hindi cinema</t>
        </is>
      </c>
      <c r="H222" s="5" t="inlineStr">
        <is>
          <t>No Wikipedia article exists for him, and none was found under any variant spelling. Everything here rests on the credit of the single film.</t>
        </is>
      </c>
      <c r="I222" s="5" t="n"/>
      <c r="J222" s="5" t="inlineStr">
        <is>
          <t>With Kapoor: Touhean (1992).</t>
        </is>
      </c>
      <c r="K222" s="19" t="inlineStr">
        <is>
          <t>Not established from a single credit.</t>
        </is>
      </c>
      <c r="L222" s="19" t="inlineStr">
        <is>
          <t>Not applicable; no biographical source was located.</t>
        </is>
      </c>
      <c r="M222" s="5" t="n"/>
      <c r="N222" s="19" t="inlineStr">
        <is>
          <t>Not established.</t>
        </is>
      </c>
      <c r="O222" s="19" t="inlineStr">
        <is>
          <t>One producing credit, on Touhean, directed by Madan Joshi (PERSON-071) and scored by Bappi Lahiri (PERSON-004). The film was completed in 1987 but not released until 20 November 1992, one of several delayed releases that complicate the chronology at the end of Kapoor's career.</t>
        </is>
      </c>
      <c r="P222" s="17" t="n">
        <v>1</v>
      </c>
      <c r="Q222" s="5" t="inlineStr">
        <is>
          <t>FILM-147</t>
        </is>
      </c>
      <c r="R222" s="5" t="inlineStr">
        <is>
          <t>Touhean (1992), his only film with Kapoor</t>
        </is>
      </c>
      <c r="S222" s="5" t="inlineStr">
        <is>
          <t>Manu Ahuja produced Touhean, a film completed in 1987 and held back until its release on 20 November 1992. It belongs to the cluster of long-delayed pictures that make the end of Shashi Kapoor's filmography difficult to order, where completion and release years can differ by five years and the sequence depends on which is used; this workbook notes the discrepancy on the film's row. Madan Joshi directed and Bappi Lahiri scored it. No Wikipedia article exists for Ahuja under this name or any variant attempted during research, and no other biographical source was located. The entry is graded Low.</t>
        </is>
      </c>
      <c r="T222" s="5" t="inlineStr">
        <is>
          <t>SOURCE-118</t>
        </is>
      </c>
      <c r="U222" s="5" t="inlineStr">
        <is>
          <t>Low</t>
        </is>
      </c>
    </row>
    <row r="223" ht="109" customHeight="1">
      <c r="A223" s="15" t="inlineStr">
        <is>
          <t>PERSON-222</t>
        </is>
      </c>
      <c r="B223" s="5" t="inlineStr">
        <is>
          <t>Michael Csányi-Wills</t>
        </is>
      </c>
      <c r="C223" s="5" t="inlineStr">
        <is>
          <t>Song composer</t>
        </is>
      </c>
      <c r="D223" s="18" t="n"/>
      <c r="E223" s="18" t="n"/>
      <c r="F223" s="5" t="n"/>
      <c r="G223" s="5" t="inlineStr">
        <is>
          <t>British concert and film music</t>
        </is>
      </c>
      <c r="H223" s="5" t="inlineStr">
        <is>
          <t>No Wikipedia article exists for him, and none was found under any variant spelling; the hyphenated surname was searched in several forms. Everything here rests on the credit of the single film.</t>
        </is>
      </c>
      <c r="I223" s="5" t="n"/>
      <c r="J223" s="5" t="inlineStr">
        <is>
          <t>With Kapoor: Jinnah (1998).</t>
        </is>
      </c>
      <c r="K223" s="19" t="inlineStr">
        <is>
          <t>Not established from a single credit.</t>
        </is>
      </c>
      <c r="L223" s="19" t="inlineStr">
        <is>
          <t>Not established; no biographical source was located.</t>
        </is>
      </c>
      <c r="M223" s="5" t="n"/>
      <c r="N223" s="19" t="inlineStr">
        <is>
          <t>Not established.</t>
        </is>
      </c>
      <c r="O223" s="19" t="inlineStr">
        <is>
          <t>One song-composing credit, on Jinnah (1998), directed, produced and written by Jamil Dehlavi (PERSON-186) with Akbar S. Ahmed (PERSON-092), and scored alongside Nigel Clarke (PERSON-242). Kapoor is the film's narrator, and it is one of the last three credits of his career.</t>
        </is>
      </c>
      <c r="P223" s="17" t="n">
        <v>1</v>
      </c>
      <c r="Q223" s="5" t="inlineStr">
        <is>
          <t>FILM-153</t>
        </is>
      </c>
      <c r="R223" s="5" t="inlineStr">
        <is>
          <t>Jinnah (1998), his only film with Kapoor</t>
        </is>
      </c>
      <c r="S223" s="5" t="inlineStr">
        <is>
          <t>Michael Csányi-Wills is credited with music for Jinnah, released in 1998 — Jamil Dehlavi's film about the founder of Pakistan, for which Shashi Kapoor provided the narration in one of the last three credits of his acting career. He shares the scoring credit with Nigel Clarke, who does have a Wikipedia article identifying him as a British composer, which makes it likely that the two worked as a writing partnership on the film. No article was found for Csányi-Wills himself under any of the spellings attempted during research, so nothing further can be established. The entry is graded Low and rests on the single film credit.</t>
        </is>
      </c>
      <c r="T223" s="5" t="inlineStr">
        <is>
          <t>SOURCE-123</t>
        </is>
      </c>
      <c r="U223" s="5" t="inlineStr">
        <is>
          <t>Low</t>
        </is>
      </c>
    </row>
    <row r="224" ht="124" customHeight="1">
      <c r="A224" s="15" t="inlineStr">
        <is>
          <t>PERSON-223</t>
        </is>
      </c>
      <c r="B224" s="5" t="inlineStr">
        <is>
          <t>Michael Hirst</t>
        </is>
      </c>
      <c r="C224" s="5" t="inlineStr">
        <is>
          <t>Writer</t>
        </is>
      </c>
      <c r="D224" s="17" t="n">
        <v>1952</v>
      </c>
      <c r="E224" s="18" t="n"/>
      <c r="F224" s="5" t="n"/>
      <c r="G224" s="5" t="inlineStr">
        <is>
          <t>British cinema and television</t>
        </is>
      </c>
      <c r="H224" s="5" t="inlineStr">
        <is>
          <t>Born 21 September 1952 and educated at the University of Nottingham. An English screenwriter and producer working in historical fiction, principally on the history of England. He launched his production company, Green Pavilion Entertainment, in December 2017.</t>
        </is>
      </c>
      <c r="I224" s="5" t="inlineStr">
        <is>
          <t>Screenwriting from the 1980s; The Deceivers (1988) is an early credit.</t>
        </is>
      </c>
      <c r="J224" s="5" t="inlineStr">
        <is>
          <t>With Kapoor: The Deceivers (1988). Elsewhere: Elizabeth (1998) and Elizabeth: The Golden Age (2007), and the television series The Tudors (2007–10) and Vikings (2013–20).</t>
        </is>
      </c>
      <c r="K224" s="19" t="inlineStr">
        <is>
          <t>Historical fiction; power, dynasty and religious conflict.</t>
        </is>
      </c>
      <c r="L224" s="19" t="inlineStr">
        <is>
          <t>A writer of large-canvas historical drama, increasingly for long-form television.</t>
        </is>
      </c>
      <c r="M224" s="5" t="n"/>
      <c r="N224" s="19" t="inlineStr">
        <is>
          <t>One of the most successful writers of historical drama in British film and television, and the creator of The Tudors and Vikings.</t>
        </is>
      </c>
      <c r="O224" s="19" t="inlineStr">
        <is>
          <t>One writing credit, on The Deceivers (1988), the Merchant Ivory production directed by Nicholas Meyer and scored by John Scott (PERSON-188), in which Kapoor appears. It is an early credit for Hirst, a decade before Elizabeth established him, and one of the seven Ismail Merchant (PERSON-006) productions in this filmography.</t>
        </is>
      </c>
      <c r="P224" s="17" t="n">
        <v>1</v>
      </c>
      <c r="Q224" s="5" t="inlineStr">
        <is>
          <t>FILM-136</t>
        </is>
      </c>
      <c r="R224" s="5" t="inlineStr">
        <is>
          <t>The Deceivers (1988), his only film with Kapoor</t>
        </is>
      </c>
      <c r="S224" s="5" t="inlineStr">
        <is>
          <t>Michael Hirst wrote The Deceivers, the 1988 Merchant Ivory production directed by Nicholas Meyer in which Shashi Kapoor appeared — one of seven films he made under Ismail Merchant's production across thirty-five years. The credit is an early one for Hirst: born in 1952, he would not reach prominence until Elizabeth in 1998, followed by Elizabeth: The Golden Age and then the television series that made his name, The Tudors and Vikings, which between them ran for more than a decade. He founded his own production company in 2017. His article, which concentrates on that later work, does not mention The Deceivers or Kapoor; the entry rests on it together with the film credit.</t>
        </is>
      </c>
      <c r="T224" s="5" t="inlineStr">
        <is>
          <t>SOURCE-253</t>
        </is>
      </c>
      <c r="U224" s="5" t="inlineStr">
        <is>
          <t>High</t>
        </is>
      </c>
    </row>
    <row r="225" ht="154" customHeight="1">
      <c r="A225" s="15" t="inlineStr">
        <is>
          <t>PERSON-224</t>
        </is>
      </c>
      <c r="B225" s="5" t="inlineStr">
        <is>
          <t>Michel Legrand</t>
        </is>
      </c>
      <c r="C225" s="5" t="inlineStr">
        <is>
          <t>Song composer</t>
        </is>
      </c>
      <c r="D225" s="17" t="n">
        <v>1932</v>
      </c>
      <c r="E225" s="17" t="n">
        <v>2019</v>
      </c>
      <c r="F225" s="5" t="inlineStr">
        <is>
          <t>1946–2019</t>
        </is>
      </c>
      <c r="G225" s="5" t="inlineStr">
        <is>
          <t>French and international cinema</t>
        </is>
      </c>
      <c r="H225" s="5" t="inlineStr">
        <is>
          <t>Born Michel Jean Legrand on 24 February 1932; died 26 January 2019. A French composer, arranger, conductor, jazz pianist and singer who wrote more than two hundred film and television scores as well as many songs.</t>
        </is>
      </c>
      <c r="I225" s="5" t="inlineStr">
        <is>
          <t>Working from 1946; his international reputation was made with the Jacques Demy films of the 1960s.</t>
        </is>
      </c>
      <c r="J225" s="5" t="inlineStr">
        <is>
          <t>With Kapoor: Pretty Polly (1967). Elsewhere: The Umbrellas of Cherbourg (1964) and The Young Girls of Rochefort (1967) for Jacques Demy, The Thomas Crown Affair (1968), Summer of '42 (1971) and Yentl (1983).</t>
        </is>
      </c>
      <c r="K225" s="19" t="inlineStr">
        <is>
          <t>Jazz harmony inside popular song; the through-sung film musical.</t>
        </is>
      </c>
      <c r="L225" s="19" t="inlineStr">
        <is>
          <t>A jazz pianist's harmonic sophistication applied to film melody, with an unusual gift for the memorable tune.</t>
        </is>
      </c>
      <c r="M225" s="5" t="inlineStr">
        <is>
          <t>Three Academy Awards — for the song 'The Windmills of Your Mind' from The Thomas Crown Affair (1968), and for the scores of Summer of '42 (1971) and Yentl (1983) — following his first nominations for the Demy films.</t>
        </is>
      </c>
      <c r="N225" s="19" t="inlineStr">
        <is>
          <t>One of the most celebrated film composers of the twentieth century, and a central figure of the French New Wave's musical side.</t>
        </is>
      </c>
      <c r="O225" s="19" t="inlineStr">
        <is>
          <t>One film, Pretty Polly (1967), directed by Guy Green (PERSON-173) and written by Keith Waterhouse (PERSON-198), in which Kapoor appears opposite Hayley Mills. Legrand scored it in the same year as The Young Girls of Rochefort and a year before his first Oscar — so Kapoor's British film carries music by a composer then at the height of his international standing.</t>
        </is>
      </c>
      <c r="P225" s="17" t="n">
        <v>1</v>
      </c>
      <c r="Q225" s="5" t="inlineStr">
        <is>
          <t>FILM-024</t>
        </is>
      </c>
      <c r="R225" s="5" t="inlineStr">
        <is>
          <t>Pretty Polly (1967), his only film with Kapoor</t>
        </is>
      </c>
      <c r="S225" s="5" t="inlineStr">
        <is>
          <t>Michel Legrand wrote the music for Pretty Polly, the 1967 British film in which Shashi Kapoor appeared opposite Hayley Mills under Guy Green's direction, from a screenplay by Keith Waterhouse and Willis Hall. The timing is worth dwelling on: Legrand scored it in the same year as The Young Girls of Rochefort and a year before 'The Windmills of Your Mind' won him his first Academy Award, so Kapoor's English-language work of this period placed him alongside a composer then at the height of international reputation — as it also did with an Oscar-winning director and Britain's most prolific writing partnership. Born in 1932, Legrand was a composer, arranger, conductor, jazz pianist and singer who wrote more than two hundred film and television scores; his work for Jacques Demy on The Umbrellas of Cherbourg brought his first nominations, and he went on to win three Oscars, for The Thomas Crown Affair, Summer of '42 and Yentl. He worked until his death in 2019. His article does not mention Kapoor or this film.</t>
        </is>
      </c>
      <c r="T225" s="5" t="inlineStr">
        <is>
          <t>SOURCE-254</t>
        </is>
      </c>
      <c r="U225" s="5" t="inlineStr">
        <is>
          <t>High</t>
        </is>
      </c>
    </row>
    <row r="226" ht="109" customHeight="1">
      <c r="A226" s="15" t="inlineStr">
        <is>
          <t>PERSON-225</t>
        </is>
      </c>
      <c r="B226" s="5" t="inlineStr">
        <is>
          <t>Mohan Junior</t>
        </is>
      </c>
      <c r="C226" s="5" t="inlineStr">
        <is>
          <t>Song composer</t>
        </is>
      </c>
      <c r="D226" s="18" t="n"/>
      <c r="E226" s="18" t="n"/>
      <c r="F226" s="5" t="n"/>
      <c r="G226" s="5" t="inlineStr">
        <is>
          <t>Hindi cinema</t>
        </is>
      </c>
      <c r="H226" s="5" t="inlineStr">
        <is>
          <t>No Wikipedia article exists for him, and none was found under any variant spelling. Everything here rests on the credit of the single film.</t>
        </is>
      </c>
      <c r="I226" s="5" t="n"/>
      <c r="J226" s="5" t="inlineStr">
        <is>
          <t>With Kapoor: Daana Paani (1953).</t>
        </is>
      </c>
      <c r="K226" s="19" t="inlineStr">
        <is>
          <t>Not established from a single credit.</t>
        </is>
      </c>
      <c r="L226" s="19" t="inlineStr">
        <is>
          <t>Not established; no biographical source was located.</t>
        </is>
      </c>
      <c r="M226" s="5" t="n"/>
      <c r="N226" s="19" t="inlineStr">
        <is>
          <t>Not established.</t>
        </is>
      </c>
      <c r="O226" s="19" t="inlineStr">
        <is>
          <t>One song-composing credit, on Daana Paani (1953), directed by V. M. Vyas and starring Meena Kumari and Bharat Bhushan, in which Kapoor appears as a child billed Master Shashiraj. It is the last of his child-actor films before he left the screen for nearly a decade.</t>
        </is>
      </c>
      <c r="P226" s="17" t="n">
        <v>1</v>
      </c>
      <c r="Q226" s="5" t="inlineStr">
        <is>
          <t>FILM-005</t>
        </is>
      </c>
      <c r="R226" s="5" t="inlineStr">
        <is>
          <t>Daana Paani (1953), his only film with Kapoor</t>
        </is>
      </c>
      <c r="S226" s="5" t="inlineStr">
        <is>
          <t>Mohan Junior composed the songs for Daana Paani, released in 1953 — the last of Shashi Kapoor's child-actor films, in which he appears as Master Shashiraj alongside Meena Kumari and Bharat Bhushan under the direction of V. M. Vyas. After it he left the screen for nearly a decade, returning as an adult lead in Dharmputra in 1961. No Wikipedia article exists for the composer under this name or any variant attempted during research, and no other biographical source was located, so nothing can be said about his wider output. The entry is graded Low and rests on the single film credit.</t>
        </is>
      </c>
      <c r="T226" s="5" t="inlineStr">
        <is>
          <t>SOURCE-005</t>
        </is>
      </c>
      <c r="U226" s="5" t="inlineStr">
        <is>
          <t>Low</t>
        </is>
      </c>
    </row>
    <row r="227" ht="79" customHeight="1">
      <c r="A227" s="15" t="inlineStr">
        <is>
          <t>PERSON-226</t>
        </is>
      </c>
      <c r="B227" s="5" t="inlineStr">
        <is>
          <t>Mohan Kumar</t>
        </is>
      </c>
      <c r="C227" s="5" t="inlineStr">
        <is>
          <t>Director; Producer</t>
        </is>
      </c>
      <c r="D227" s="18" t="n"/>
      <c r="E227" s="18" t="n"/>
      <c r="F227" s="5" t="n"/>
      <c r="G227" s="5" t="inlineStr">
        <is>
          <t>Hindi cinema</t>
        </is>
      </c>
      <c r="H227" s="5" t="inlineStr">
        <is>
          <t>No Wikipedia article exists for this filmmaker. The page reached from the name is a disambiguation listing of unrelated people and was rejected during research. Everything here rests on the credit of the single film.</t>
        </is>
      </c>
      <c r="I227" s="5" t="n"/>
      <c r="J227" s="5" t="inlineStr">
        <is>
          <t>With Kapoor: Aap Beati (1976), which he both directed and produced.</t>
        </is>
      </c>
      <c r="K227" s="19" t="inlineStr">
        <is>
          <t>Not established from a single credit.</t>
        </is>
      </c>
      <c r="L227" s="19" t="inlineStr">
        <is>
          <t>Not established; no biographical source was located.</t>
        </is>
      </c>
      <c r="M227" s="5" t="n"/>
      <c r="N227" s="19" t="inlineStr">
        <is>
          <t>Not established.</t>
        </is>
      </c>
      <c r="O227" s="19" t="inlineStr">
        <is>
          <t>One film, Aap Beati (1976), which he directed and produced, scored by Laxmikant–Pyarelal (PERSON-001), from the middle of Kapoor's busiest commercial stretch.</t>
        </is>
      </c>
      <c r="P227" s="17" t="n">
        <v>1</v>
      </c>
      <c r="Q227" s="5" t="inlineStr">
        <is>
          <t>FILM-059</t>
        </is>
      </c>
      <c r="R227" s="5" t="inlineStr">
        <is>
          <t>Aap Beati (1976), his only film with Kapoor</t>
        </is>
      </c>
      <c r="S227" s="5" t="inlineStr">
        <is>
          <t>Mohan Kumar directed and produced Aap Beati in 1976, his only credit in this filmography — a commercial picture scored by Laxmikant–Pyarelal from the middle of Shashi Kapoor's most crowded working years. No Wikipedia biography of him was found: the article reached from his name is a disambiguation page listing unrelated individuals, rejected during research, and no alternative surfaced under any variant spelling. The entry is graded Low and rests on the single film credit.</t>
        </is>
      </c>
      <c r="T227" s="5" t="inlineStr">
        <is>
          <t>SOURCE-051</t>
        </is>
      </c>
      <c r="U227" s="5" t="inlineStr">
        <is>
          <t>Low</t>
        </is>
      </c>
    </row>
    <row r="228" ht="139" customHeight="1">
      <c r="A228" s="15" t="inlineStr">
        <is>
          <t>PERSON-227</t>
        </is>
      </c>
      <c r="B228" s="5" t="inlineStr">
        <is>
          <t>Mohan Segal</t>
        </is>
      </c>
      <c r="C228" s="5" t="inlineStr">
        <is>
          <t>Director</t>
        </is>
      </c>
      <c r="D228" s="17" t="n">
        <v>1921</v>
      </c>
      <c r="E228" s="17" t="n">
        <v>2005</v>
      </c>
      <c r="F228" s="5" t="inlineStr">
        <is>
          <t>1950s–1970s</t>
        </is>
      </c>
      <c r="G228" s="5" t="inlineStr">
        <is>
          <t>Hindi cinema</t>
        </is>
      </c>
      <c r="H228" s="5" t="inlineStr">
        <is>
          <t>Born 1 December 1921; died 19 October 2005. A film director and producer working primarily in Hindi cinema, active mainly during the 1950s and 1960s, remembered for several commercially successful films and for introducing or mentoring actors who later became prominent.</t>
        </is>
      </c>
      <c r="I228" s="5" t="inlineStr">
        <is>
          <t>Directing from the 1950s.</t>
        </is>
      </c>
      <c r="J228" s="5" t="inlineStr">
        <is>
          <t>With Kapoor: Kanyadaan (1968).</t>
        </is>
      </c>
      <c r="K228" s="19" t="inlineStr">
        <is>
          <t>Not established in detail from the article; Kanyadaan is a social melodrama about marriage.</t>
        </is>
      </c>
      <c r="L228" s="19" t="inlineStr">
        <is>
          <t>Not assessed in the article beyond a record of commercial success.</t>
        </is>
      </c>
      <c r="M228" s="5" t="inlineStr">
        <is>
          <t>A Certificate of Merit at the 6th National Film Awards.</t>
        </is>
      </c>
      <c r="N228" s="19" t="inlineStr">
        <is>
          <t>A commercially reliable director of the 1950s and 1960s with a record of bringing on new performers.</t>
        </is>
      </c>
      <c r="O228" s="19" t="inlineStr">
        <is>
          <t>One film, Kanyadaan (1968), produced by Rajendra Bhatia (PERSON-272) under the Kiron Productions banner (PERSON-203) and scored by Shankar–Jaikishan (PERSON-008). It was among the substantial successes of Kapoor's early star period, in the years when he was building on Jab Jab Phool Khile. His article does not mention Kapoor.</t>
        </is>
      </c>
      <c r="P228" s="17" t="n">
        <v>1</v>
      </c>
      <c r="Q228" s="5" t="inlineStr">
        <is>
          <t>FILM-026</t>
        </is>
      </c>
      <c r="R228" s="5" t="inlineStr">
        <is>
          <t>Kanyadaan (1968), his only film with Kapoor</t>
        </is>
      </c>
      <c r="S228" s="5" t="inlineStr">
        <is>
          <t>Mohan Segal directed Kanyadaan in 1968, his only film with Shashi Kapoor and one of the more substantial successes of the actor's early years as a star, when he was consolidating the position that Jab Jab Phool Khile had won him three years earlier. Rajendra Bhatia produced under the Kiron Productions banner, R. A. Baqueri wrote it and Shankar–Jaikishan scored it — the composers whose association with Kapoor reached back to his child role in Awaara. Segal, born on 1 December 1921, worked primarily in Hindi cinema and was active mainly through the 1950s and 1960s, a period in which his article says he directed several commercially successful films. It also credits him with introducing or mentoring actors who later became prominent in the industry, which was the aspect of his career most often remarked on. He received a Certificate of Merit at the 6th National Film Awards. He died on 19 October 2005. His article does not mention Kapoor.</t>
        </is>
      </c>
      <c r="T228" s="5" t="inlineStr">
        <is>
          <t>SOURCE-255</t>
        </is>
      </c>
      <c r="U228" s="5" t="inlineStr">
        <is>
          <t>High</t>
        </is>
      </c>
    </row>
    <row r="229" ht="124" customHeight="1">
      <c r="A229" s="15" t="inlineStr">
        <is>
          <t>PERSON-228</t>
        </is>
      </c>
      <c r="B229" s="5" t="inlineStr">
        <is>
          <t>Mohan Studios</t>
        </is>
      </c>
      <c r="C229" s="5" t="inlineStr">
        <is>
          <t>Production banner (studio facility)</t>
        </is>
      </c>
      <c r="D229" s="18" t="n"/>
      <c r="E229" s="18" t="n"/>
      <c r="F229" s="5" t="n"/>
      <c r="G229" s="5" t="inlineStr">
        <is>
          <t>Hindi cinema</t>
        </is>
      </c>
      <c r="H229" s="5" t="inlineStr">
        <is>
          <t>No Wikipedia article exists for this studio. Everything here rests on the credit of the single film.</t>
        </is>
      </c>
      <c r="I229" s="5" t="n"/>
      <c r="J229" s="5" t="inlineStr">
        <is>
          <t>With Kapoor: Roti Kapda Aur Makaan (1974).</t>
        </is>
      </c>
      <c r="K229" s="19" t="inlineStr">
        <is>
          <t>Not applicable; a facility credit.</t>
        </is>
      </c>
      <c r="L229" s="19" t="inlineStr">
        <is>
          <t>Not applicable.</t>
        </is>
      </c>
      <c r="M229" s="5" t="n"/>
      <c r="N229" s="19" t="inlineStr">
        <is>
          <t>Not established.</t>
        </is>
      </c>
      <c r="O229" s="19" t="inlineStr">
        <is>
          <t>One banner credit, on Roti Kapda Aur Makaan (1974) — one of several studio credits on that film, alongside Filmistan (PERSON-013), R. K. Studios (PERSON-034), Rajkamal Kalamandir (PERSON-079) and Chandivali Studio (PERSON-057). The film was among the top box-office releases of its year and central to Kapoor's rise to full commercial stardom.</t>
        </is>
      </c>
      <c r="P229" s="17" t="n">
        <v>1</v>
      </c>
      <c r="Q229" s="5" t="inlineStr">
        <is>
          <t>FILM-050</t>
        </is>
      </c>
      <c r="R229" s="5" t="inlineStr">
        <is>
          <t>Roti Kapda Aur Makaan (1974), its only film with Kapoor</t>
        </is>
      </c>
      <c r="S229" s="5" t="inlineStr">
        <is>
          <t>Mohan Studios appears on Roti Kapda Aur Makaan, released in 1974, as one of five studio credits on a single film — with Filmistan, R. K. Studios, Rajkamal Kalamandir and Chandivali Studio also named. Manoj Kumar directed, produced and wrote the picture, which took one of the top box-office places of its year and, with Chor Machaye Shor, made Shashi Kapoor one of the most saleable stars of the decade; the studio names record where it was shot rather than who made it. No Wikipedia article exists for Mohan Studios and no other source was located. The entry is graded Low.</t>
        </is>
      </c>
      <c r="T229" s="5" t="inlineStr">
        <is>
          <t>SOURCE-037</t>
        </is>
      </c>
      <c r="U229" s="5" t="inlineStr">
        <is>
          <t>Low</t>
        </is>
      </c>
    </row>
    <row r="230" ht="94" customHeight="1">
      <c r="A230" s="15" t="inlineStr">
        <is>
          <t>PERSON-229</t>
        </is>
      </c>
      <c r="B230" s="5" t="inlineStr">
        <is>
          <t>Mohanji Prasad</t>
        </is>
      </c>
      <c r="C230" s="5" t="inlineStr">
        <is>
          <t>Producer</t>
        </is>
      </c>
      <c r="D230" s="18" t="n"/>
      <c r="E230" s="18" t="n"/>
      <c r="F230" s="5" t="n"/>
      <c r="G230" s="5" t="inlineStr">
        <is>
          <t>Hindi cinema</t>
        </is>
      </c>
      <c r="H230" s="5" t="inlineStr">
        <is>
          <t>No Wikipedia article exists for him, and none was found under any variant spelling. Everything here rests on the credit of the single film.</t>
        </is>
      </c>
      <c r="I230" s="5" t="n"/>
      <c r="J230" s="5" t="inlineStr">
        <is>
          <t>With Kapoor: Maa Beti (1986).</t>
        </is>
      </c>
      <c r="K230" s="19" t="inlineStr">
        <is>
          <t>Not established from a single credit.</t>
        </is>
      </c>
      <c r="L230" s="19" t="inlineStr">
        <is>
          <t>Not applicable; no biographical source was located.</t>
        </is>
      </c>
      <c r="M230" s="5" t="n"/>
      <c r="N230" s="19" t="inlineStr">
        <is>
          <t>Not established.</t>
        </is>
      </c>
      <c r="O230" s="19" t="inlineStr">
        <is>
          <t>One producing credit, on Maa Beti (1986), directed by Kalpataru (PERSON-195), written by three undocumented writers and scored by Anand–Milind (PERSON-101) two years before their breakthrough.</t>
        </is>
      </c>
      <c r="P230" s="17" t="n">
        <v>1</v>
      </c>
      <c r="Q230" s="5" t="inlineStr">
        <is>
          <t>FILM-125</t>
        </is>
      </c>
      <c r="R230" s="5" t="inlineStr">
        <is>
          <t>Maa Beti (1986), his only film with Kapoor</t>
        </is>
      </c>
      <c r="S230" s="5" t="inlineStr">
        <is>
          <t>Mohanji Prasad produced Maa Beti in 1986, his only credit in this filmography — a family melodrama directed by Kalpataru, a specialist in exactly that register, with an early score by Anand–Milind. The film is unusually thinly documented even by the standards of this sheet: its three credited writers and its producer all lack biographical records, leaving only the director and composers traceable. No Wikipedia article exists for Prasad under this name or any variant attempted during research, and no other source was located. The entry is graded Low.</t>
        </is>
      </c>
      <c r="T230" s="5" t="inlineStr">
        <is>
          <t>SOURCE-103</t>
        </is>
      </c>
      <c r="U230" s="5" t="inlineStr">
        <is>
          <t>Low</t>
        </is>
      </c>
    </row>
    <row r="231" ht="79" customHeight="1">
      <c r="A231" s="15" t="inlineStr">
        <is>
          <t>PERSON-230</t>
        </is>
      </c>
      <c r="B231" s="5" t="inlineStr">
        <is>
          <t>Mohd Ilyas</t>
        </is>
      </c>
      <c r="C231" s="5" t="inlineStr">
        <is>
          <t>Producer</t>
        </is>
      </c>
      <c r="D231" s="18" t="n"/>
      <c r="E231" s="18" t="n"/>
      <c r="F231" s="5" t="n"/>
      <c r="G231" s="5" t="inlineStr">
        <is>
          <t>Hindi cinema</t>
        </is>
      </c>
      <c r="H231" s="5" t="inlineStr">
        <is>
          <t>No Wikipedia article exists for him, and none was found under any variant spelling. Everything here rests on the credit of the single film.</t>
        </is>
      </c>
      <c r="I231" s="5" t="n"/>
      <c r="J231" s="5" t="inlineStr">
        <is>
          <t>With Kapoor: Farishta Ya Qatil (1977).</t>
        </is>
      </c>
      <c r="K231" s="19" t="inlineStr">
        <is>
          <t>Not established from a single credit.</t>
        </is>
      </c>
      <c r="L231" s="19" t="inlineStr">
        <is>
          <t>Not applicable; no biographical source was located.</t>
        </is>
      </c>
      <c r="M231" s="5" t="n"/>
      <c r="N231" s="19" t="inlineStr">
        <is>
          <t>Not established.</t>
        </is>
      </c>
      <c r="O231" s="19" t="inlineStr">
        <is>
          <t>One producing credit, on Farishta Ya Qatil (1977), the one film in this filmography that S. M. Abbas (PERSON-011) both wrote and directed, scored by Kalyanji–Anandji (PERSON-002).</t>
        </is>
      </c>
      <c r="P231" s="17" t="n">
        <v>1</v>
      </c>
      <c r="Q231" s="5" t="inlineStr">
        <is>
          <t>FILM-064</t>
        </is>
      </c>
      <c r="R231" s="5" t="inlineStr">
        <is>
          <t>Farishta Ya Qatil (1977), his only film with Kapoor</t>
        </is>
      </c>
      <c r="S231" s="5" t="inlineStr">
        <is>
          <t>Mohd Ilyas produced Farishta Ya Qatil in 1977, his only credit in this filmography. The film has a small distinction: of the five S. M. Abbas films in this filmography, it is the only one he both wrote and directed, the other four being writing credits alone. Kalyanji–Anandji scored it, and it belongs to the crowded late-1970s stretch of Shashi Kapoor's career. No Wikipedia article exists for the producer under this name or any variant attempted during research, and no other biographical source was located. The entry is graded Low.</t>
        </is>
      </c>
      <c r="T231" s="5" t="inlineStr">
        <is>
          <t>SOURCE-056</t>
        </is>
      </c>
      <c r="U231" s="5" t="inlineStr">
        <is>
          <t>Low</t>
        </is>
      </c>
    </row>
    <row r="232" ht="139" customHeight="1">
      <c r="A232" s="15" t="inlineStr">
        <is>
          <t>PERSON-231</t>
        </is>
      </c>
      <c r="B232" s="5" t="inlineStr">
        <is>
          <t>Moin-ud-din</t>
        </is>
      </c>
      <c r="C232" s="5" t="inlineStr">
        <is>
          <t>Writer</t>
        </is>
      </c>
      <c r="D232" s="18" t="n"/>
      <c r="E232" s="18" t="n"/>
      <c r="F232" s="5" t="n"/>
      <c r="G232" s="5" t="inlineStr">
        <is>
          <t>Hindi cinema</t>
        </is>
      </c>
      <c r="H232" s="5" t="inlineStr">
        <is>
          <t>No Wikipedia article exists for him, and none was found under any variant spelling. Everything here rests on the credit of the single film.</t>
        </is>
      </c>
      <c r="I232" s="5" t="n"/>
      <c r="J232" s="5" t="inlineStr">
        <is>
          <t>With Kapoor: Pighalta Aasman (1985), where the film's own credit gives him story, screenplay and dialogue.</t>
        </is>
      </c>
      <c r="K232" s="19" t="inlineStr">
        <is>
          <t>Not established from a single credit.</t>
        </is>
      </c>
      <c r="L232" s="19" t="inlineStr">
        <is>
          <t>Not established; no biographical source was located.</t>
        </is>
      </c>
      <c r="M232" s="5" t="n"/>
      <c r="N232" s="19" t="inlineStr">
        <is>
          <t>Not established.</t>
        </is>
      </c>
      <c r="O232" s="19" t="inlineStr">
        <is>
          <t>One writing credit, and the film's wikitext shows he was its sole writer, credited with story, screenplay and dialogue together: Pighalta Aasman (1985), directed and produced by Shammi (PERSON-310) and scored by Kalyanji–Anandji (PERSON-002). This workbook normalises such role qualifiers out of its name fields, so the detail is recorded here instead.</t>
        </is>
      </c>
      <c r="P232" s="17" t="n">
        <v>1</v>
      </c>
      <c r="Q232" s="5" t="inlineStr">
        <is>
          <t>FILM-115</t>
        </is>
      </c>
      <c r="R232" s="5" t="inlineStr">
        <is>
          <t>Pighalta Aasman (1985), his only film with Kapoor</t>
        </is>
      </c>
      <c r="S232" s="5" t="inlineStr">
        <is>
          <t>Moin-ud-din wrote Pighalta Aasman, released in 1985, and was its sole writer: the film's own credit assigns him story, screenplay and dialogue together, an unusually complete authorship for a commercial Hindi picture of the period, where those functions were routinely split between three or four people. This workbook strips such qualifiers from its name fields to keep the collaborator roster consistent, so the detail is preserved in this entry instead. The film was directed and produced by the actress Shammi and scored by Kalyanji–Anandji. No Wikipedia article exists for the writer under this name or any variant attempted during research. The entry is graded Low.</t>
        </is>
      </c>
      <c r="T232" s="5" t="inlineStr">
        <is>
          <t>SOURCE-096</t>
        </is>
      </c>
      <c r="U232" s="5" t="inlineStr">
        <is>
          <t>Low</t>
        </is>
      </c>
    </row>
    <row r="233" ht="94" customHeight="1">
      <c r="A233" s="15" t="inlineStr">
        <is>
          <t>PERSON-232</t>
        </is>
      </c>
      <c r="B233" s="5" t="inlineStr">
        <is>
          <t>Moosa Kaleem</t>
        </is>
      </c>
      <c r="C233" s="5" t="inlineStr">
        <is>
          <t>Writer</t>
        </is>
      </c>
      <c r="D233" s="18" t="n"/>
      <c r="E233" s="18" t="n"/>
      <c r="F233" s="5" t="n"/>
      <c r="G233" s="5" t="inlineStr">
        <is>
          <t>Hindi cinema</t>
        </is>
      </c>
      <c r="H233" s="5" t="inlineStr">
        <is>
          <t>No Wikipedia article exists for him, and none was found under any variant spelling. Everything here rests on the credit of the single film.</t>
        </is>
      </c>
      <c r="I233" s="5" t="n"/>
      <c r="J233" s="5" t="inlineStr">
        <is>
          <t>With Kapoor: Hira Aur Patthar (1977).</t>
        </is>
      </c>
      <c r="K233" s="19" t="inlineStr">
        <is>
          <t>Not established from a single credit.</t>
        </is>
      </c>
      <c r="L233" s="19" t="inlineStr">
        <is>
          <t>Not established; no biographical source was located.</t>
        </is>
      </c>
      <c r="M233" s="5" t="n"/>
      <c r="N233" s="19" t="inlineStr">
        <is>
          <t>Not established.</t>
        </is>
      </c>
      <c r="O233" s="19" t="inlineStr">
        <is>
          <t>One writing credit, on Hira Aur Patthar (1977), written with Satyadev Dubey (PERSON-022) and Arun Bhatt (PERSON-107), produced by Bhatt and Kishore Vyas (PERSON-204), and scored by Kalyanji–Anandji (PERSON-002).</t>
        </is>
      </c>
      <c r="P233" s="17" t="n">
        <v>1</v>
      </c>
      <c r="Q233" s="5" t="inlineStr">
        <is>
          <t>FILM-063</t>
        </is>
      </c>
      <c r="R233" s="5" t="inlineStr">
        <is>
          <t>Hira Aur Patthar (1977), his only film with Kapoor</t>
        </is>
      </c>
      <c r="S233" s="5" t="inlineStr">
        <is>
          <t>Moosa Kaleem shares a writing credit on Hira Aur Patthar, released in 1977 — a commercial picture whose script also carried the name of Satyadev Dubey, the theatre director who would go on to write the parallel-cinema films Shashi Kapoor financed himself. Arun Bhatt and Kishore Vyas produced. No Wikipedia article exists for Kaleem under this name or any variant attempted during research, and no other biographical source was located, so nothing further can be said about his career or dates. The entry is graded Low and rests on the single film credit.</t>
        </is>
      </c>
      <c r="T233" s="5" t="inlineStr">
        <is>
          <t>SOURCE-053</t>
        </is>
      </c>
      <c r="U233" s="5" t="inlineStr">
        <is>
          <t>Low</t>
        </is>
      </c>
    </row>
    <row r="234" ht="124" customHeight="1">
      <c r="A234" s="15" t="inlineStr">
        <is>
          <t>PERSON-233</t>
        </is>
      </c>
      <c r="B234" s="5" t="inlineStr">
        <is>
          <t>Mrs. Gita Azad</t>
        </is>
      </c>
      <c r="C234" s="5" t="inlineStr">
        <is>
          <t>Producer</t>
        </is>
      </c>
      <c r="D234" s="18" t="n"/>
      <c r="E234" s="18" t="n"/>
      <c r="F234" s="5" t="n"/>
      <c r="G234" s="5" t="inlineStr">
        <is>
          <t>Hindi cinema</t>
        </is>
      </c>
      <c r="H234" s="5" t="inlineStr">
        <is>
          <t>No Wikipedia article exists for her, and none was found under any variant spelling. The honorific appears in the credit as the source data records it. Everything here rests on the credit of the single film.</t>
        </is>
      </c>
      <c r="I234" s="5" t="n"/>
      <c r="J234" s="5" t="inlineStr">
        <is>
          <t>With Kapoor: Ghar Bazar (1998).</t>
        </is>
      </c>
      <c r="K234" s="19" t="inlineStr">
        <is>
          <t>Not established from a single credit.</t>
        </is>
      </c>
      <c r="L234" s="19" t="inlineStr">
        <is>
          <t>Not applicable; no biographical source was located.</t>
        </is>
      </c>
      <c r="M234" s="5" t="n"/>
      <c r="N234" s="19" t="inlineStr">
        <is>
          <t>Not established.</t>
        </is>
      </c>
      <c r="O234" s="19" t="inlineStr">
        <is>
          <t>One producing credit, and it closes the filmography: Ghar Bazar, long delayed and released in 1998, is the last film of Kapoor's acting career. She shares a surname with its director, D. S. Azad (PERSON-146), which suggests a family production, though no source confirms it. M. L. Jain (PERSON-216) is also credited as producer.</t>
        </is>
      </c>
      <c r="P234" s="17" t="n">
        <v>1</v>
      </c>
      <c r="Q234" s="5" t="inlineStr">
        <is>
          <t>FILM-151</t>
        </is>
      </c>
      <c r="R234" s="5" t="inlineStr">
        <is>
          <t>Ghar Bazar (1998), the last film of Kapoor's career</t>
        </is>
      </c>
      <c r="S234" s="5" t="inlineStr">
        <is>
          <t>Mrs. Gita Azad is credited as a producer of Ghar Bazar, the final film of Shashi Kapoor's acting career — long delayed, released in 1998, and directed by D. S. Azad, with whom she shares a surname and, in all likelihood, a family connection, though nothing found in research confirms it. M. L. Jain is credited alongside her. None of the three has any surviving biographical record: no Wikipedia article exists under this name or any variant attempted, and the same is true of her fellow producer and the director. A career that began with Raj Kapoor's Aag ends with a film whose entire production team is undocumented. The entry is graded Low.</t>
        </is>
      </c>
      <c r="T234" s="5" t="inlineStr">
        <is>
          <t>SOURCE-126</t>
        </is>
      </c>
      <c r="U234" s="5" t="inlineStr">
        <is>
          <t>Low</t>
        </is>
      </c>
    </row>
    <row r="235" ht="154" customHeight="1">
      <c r="A235" s="15" t="inlineStr">
        <is>
          <t>PERSON-234</t>
        </is>
      </c>
      <c r="B235" s="5" t="inlineStr">
        <is>
          <t>N. Dutta</t>
        </is>
      </c>
      <c r="C235" s="5" t="inlineStr">
        <is>
          <t>Song composer</t>
        </is>
      </c>
      <c r="D235" s="17" t="n">
        <v>1927</v>
      </c>
      <c r="E235" s="17" t="n">
        <v>1987</v>
      </c>
      <c r="F235" s="5" t="inlineStr">
        <is>
          <t>1955–1987</t>
        </is>
      </c>
      <c r="G235" s="5" t="inlineStr">
        <is>
          <t>Hindi cinema</t>
        </is>
      </c>
      <c r="H235" s="5" t="inlineStr">
        <is>
          <t>Born Datta Naik on 12 December 1927; died 30 December 1987. Also credited as N. Datta, he was a music director in Hindi films across three decades.</t>
        </is>
      </c>
      <c r="I235" s="5" t="inlineStr">
        <is>
          <t>Composing from 1955.</t>
        </is>
      </c>
      <c r="J235" s="5" t="inlineStr">
        <is>
          <t>With Kapoor: Dharmputra (1961).</t>
        </is>
      </c>
      <c r="K235" s="19" t="inlineStr">
        <is>
          <t>Film scores in the melodic idiom of the late 1950s and 1960s.</t>
        </is>
      </c>
      <c r="L235" s="19" t="inlineStr">
        <is>
          <t>Not assessed in the article, which is very short.</t>
        </is>
      </c>
      <c r="M235" s="5" t="n"/>
      <c r="N235" s="19" t="inlineStr">
        <is>
          <t>Not established in detail from the available source.</t>
        </is>
      </c>
      <c r="O235" s="19" t="inlineStr">
        <is>
          <t>One film, Dharmputra (1961) — Kapoor's first adult leading role, directed by Yash Chopra (PERSON-005), produced by B. R. Chopra (PERSON-055) and written by Akhtar-ul-Iman (PERSON-051). The film was a commercial failure but is historically significant as a partition drama and as the start of Kapoor's adult career; its songs are Dutta's only contribution to this filmography. His article does not mention Kapoor.</t>
        </is>
      </c>
      <c r="P235" s="17" t="n">
        <v>1</v>
      </c>
      <c r="Q235" s="5" t="inlineStr">
        <is>
          <t>FILM-007</t>
        </is>
      </c>
      <c r="R235" s="5" t="inlineStr">
        <is>
          <t>Dharmputra (1961), his only film with Kapoor</t>
        </is>
      </c>
      <c r="S235" s="5" t="inlineStr">
        <is>
          <t>N. Dutta composed the songs for Dharmputra, released in 1961 and the film in which Shashi Kapoor took his first adult leading role — a B. R. Chopra production directed by Yash Chopra, from a script by Akhtar-ul-Iman that won a Filmfare Award for its dialogue and a story credited to the B. R. Films Story Department. The film failed commercially, and Kapoor's career as a leading man took four more years and two 1965 hits to establish; but it remains historically significant as one of the few Hindi films to address communal identity and partition directly, its protagonist a Hindu nationalist who discovers he was born Muslim. Born Datta Naik on 12 December 1927 and also credited as N. Datta, the composer worked in Hindi films from 1955 until his death on 30 December 1987. His Wikipedia article runs to two lines, gives no account of his style or his other films, and does not mention Kapoor, so this entry is graded Medium.</t>
        </is>
      </c>
      <c r="T235" s="5" t="inlineStr">
        <is>
          <t>SOURCE-256</t>
        </is>
      </c>
      <c r="U235" s="5" t="inlineStr">
        <is>
          <t>Medium</t>
        </is>
      </c>
    </row>
    <row r="236" ht="139" customHeight="1">
      <c r="A236" s="15" t="inlineStr">
        <is>
          <t>PERSON-235</t>
        </is>
      </c>
      <c r="B236" s="5" t="inlineStr">
        <is>
          <t>Nabendu Ghosh</t>
        </is>
      </c>
      <c r="C236" s="5" t="inlineStr">
        <is>
          <t>Writer</t>
        </is>
      </c>
      <c r="D236" s="17" t="n">
        <v>1917</v>
      </c>
      <c r="E236" s="17" t="n">
        <v>2007</v>
      </c>
      <c r="F236" s="5" t="n"/>
      <c r="G236" s="5" t="inlineStr">
        <is>
          <t>Bengali literature and Hindi cinema</t>
        </is>
      </c>
      <c r="H236" s="5" t="inlineStr">
        <is>
          <t>Born 27 March 1917; died 15 December 2007. An author in Bengali literature and a screenwriter, who also acted briefly and directed four films late in his career. His daughter Ratnottama Sengupta is a film festival curator, author and former film journalist; his autobiography, Eka Naukar Jatri, was published in March 2008.</t>
        </is>
      </c>
      <c r="I236" s="5" t="inlineStr">
        <is>
          <t>Screenwriting from the 1950s, in the circle around Bimal Roy (PERSON-124).</t>
        </is>
      </c>
      <c r="J236" s="5" t="inlineStr">
        <is>
          <t>With Kapoor: Krodhi (1981). Elsewhere, screenplays for Sujata, Bandini, Devdas, Majhli Didi, Abhimaan and Teesri Kasam, and stories for Baap Beti, Shatranj and Raja Jani. He acted briefly in Do Bigha Zameen, Teesri Kasam and Lukochuri.</t>
        </is>
      </c>
      <c r="K236" s="19" t="inlineStr">
        <is>
          <t>Caste, social constraint and interior suffering; the Bengali literary sensibility carried into Hindi screenwriting.</t>
        </is>
      </c>
      <c r="L236" s="19" t="inlineStr">
        <is>
          <t>A novelist who wrote screenplays of unusual psychological density, and the principal writer of the Bimal Roy school.</t>
        </is>
      </c>
      <c r="M236" s="5" t="n"/>
      <c r="N236" s="19" t="inlineStr">
        <is>
          <t>One of the most important screenwriters of Hindi cinema's golden age, responsible for the scripts of several of its defining films.</t>
        </is>
      </c>
      <c r="O236" s="19" t="inlineStr">
        <is>
          <t>One writing credit, on Krodhi (1981), directed by Subhash Ghai (PERSON-084) and scored by Laxmikant–Pyarelal (PERSON-001) — a late and incongruous assignment for the writer of Sujata and Bandini. Kapoor had worked with Ghosh's own milieu two decades earlier in Bimal Roy's Prem Patra, which Ghosh did not write. His article does not mention Kapoor.</t>
        </is>
      </c>
      <c r="P236" s="17" t="n">
        <v>1</v>
      </c>
      <c r="Q236" s="5" t="inlineStr">
        <is>
          <t>FILM-098</t>
        </is>
      </c>
      <c r="R236" s="5" t="inlineStr">
        <is>
          <t>Krodhi (1981), his only film with Kapoor</t>
        </is>
      </c>
      <c r="S236" s="5" t="inlineStr">
        <is>
          <t>Nabendu Ghosh wrote Krodhi, a 1981 Subhash Ghai commercial picture — a strange late credit for the man who had written Sujata, Bandini, Devdas, Majhli Didi and Teesri Kasam, and who was the principal screenwriter of the Bimal Roy school. Born in 1917, Ghosh was a significant Bengali novelist as well as a screenwriter, brought his literary sensibility to Hindi cinema's most serious films of the 1950s and 1960s, acted briefly in Do Bigha Zameen and Teesri Kasam, and directed four films himself. He died in 2007, and his autobiography appeared the following year; his daughter Ratnottama Sengupta became a film journalist and curator. Shashi Kapoor had worked within the same circle in 1962 on Bimal Roy's Prem Patra, though Ghosh did not write that film.</t>
        </is>
      </c>
      <c r="T236" s="5" t="inlineStr">
        <is>
          <t>SOURCE-257</t>
        </is>
      </c>
      <c r="U236" s="5" t="inlineStr">
        <is>
          <t>High</t>
        </is>
      </c>
    </row>
    <row r="237" ht="109" customHeight="1">
      <c r="A237" s="15" t="inlineStr">
        <is>
          <t>PERSON-236</t>
        </is>
      </c>
      <c r="B237" s="5" t="inlineStr">
        <is>
          <t>Naresh Malhotra</t>
        </is>
      </c>
      <c r="C237" s="5" t="inlineStr">
        <is>
          <t>Producer</t>
        </is>
      </c>
      <c r="D237" s="18" t="n"/>
      <c r="E237" s="18" t="n"/>
      <c r="F237" s="5" t="n"/>
      <c r="G237" s="5" t="inlineStr">
        <is>
          <t>Hindi cinema</t>
        </is>
      </c>
      <c r="H237" s="5" t="inlineStr">
        <is>
          <t>No Wikipedia article exists for him, and none was found under any variant spelling. Everything here rests on the credit of the single film.</t>
        </is>
      </c>
      <c r="I237" s="5" t="n"/>
      <c r="J237" s="5" t="inlineStr">
        <is>
          <t>With Kapoor: Duniya Meri Jeb Mein (1979).</t>
        </is>
      </c>
      <c r="K237" s="19" t="inlineStr">
        <is>
          <t>Not established from a single credit.</t>
        </is>
      </c>
      <c r="L237" s="19" t="inlineStr">
        <is>
          <t>Not applicable; no biographical source was located.</t>
        </is>
      </c>
      <c r="M237" s="5" t="n"/>
      <c r="N237" s="19" t="inlineStr">
        <is>
          <t>Not established.</t>
        </is>
      </c>
      <c r="O237" s="19" t="inlineStr">
        <is>
          <t>One producing credit, on Duniya Meri Jeb Mein (1979), made with Bittu Anand (PERSON-128), written by Inder Raj Anand (PERSON-014) and scored by Rajesh Roshan (PERSON-017) — the film on which Inder Raj Anand and his son worked together, thirty-one years after Anand had written Kapoor's first film.</t>
        </is>
      </c>
      <c r="P237" s="17" t="n">
        <v>1</v>
      </c>
      <c r="Q237" s="5" t="inlineStr">
        <is>
          <t>FILM-086</t>
        </is>
      </c>
      <c r="R237" s="5" t="inlineStr">
        <is>
          <t>Duniya Meri Jeb Mein (1979), his only film with Kapoor</t>
        </is>
      </c>
      <c r="S237" s="5" t="inlineStr">
        <is>
          <t>Naresh Malhotra produced Duniya Meri Jeb Mein in 1979 with Bittu Anand, his only credit in this filmography. The film's interest lies in its writing credit: Inder Raj Anand, who had written Aag in 1948, the film in which the nine-year-old Shashi Kapoor first appeared, wrote this one too, produced by his own son — thirty-one years separating the two Kapoor films. Rajesh Roshan scored it. No Wikipedia article exists for Malhotra under this name or any variant attempted during research, and no other biographical source was located. The entry is graded Low.</t>
        </is>
      </c>
      <c r="T237" s="5" t="inlineStr">
        <is>
          <t>SOURCE-072</t>
        </is>
      </c>
      <c r="U237" s="5" t="inlineStr">
        <is>
          <t>Low</t>
        </is>
      </c>
    </row>
    <row r="238" ht="109" customHeight="1">
      <c r="A238" s="15" t="inlineStr">
        <is>
          <t>PERSON-237</t>
        </is>
      </c>
      <c r="B238" s="5" t="inlineStr">
        <is>
          <t>Nasir Husain Films Pvt. Ltd.</t>
        </is>
      </c>
      <c r="C238" s="5" t="inlineStr">
        <is>
          <t>Production banner</t>
        </is>
      </c>
      <c r="D238" s="18" t="n"/>
      <c r="E238" s="18" t="n"/>
      <c r="F238" s="5" t="n"/>
      <c r="G238" s="5" t="inlineStr">
        <is>
          <t>Hindi cinema</t>
        </is>
      </c>
      <c r="H238" s="5" t="inlineStr">
        <is>
          <t>The production company of the filmmaker Nasir Hussain (PERSON-238), who appears separately in this sheet. No Wikipedia article exists for the company itself; the credit's spelling of the surname differs from that used in his own article.</t>
        </is>
      </c>
      <c r="I238" s="5" t="n"/>
      <c r="J238" s="5" t="inlineStr">
        <is>
          <t>With Kapoor: Pyar Ka Mausam (1969).</t>
        </is>
      </c>
      <c r="K238" s="19" t="inlineStr">
        <is>
          <t>The musical romance and, later, the masala film — the two forms Hussain is credited with shaping.</t>
        </is>
      </c>
      <c r="L238" s="19" t="inlineStr">
        <is>
          <t>Not applicable; a company, and in practice the instrument of its founder's own filmmaking.</t>
        </is>
      </c>
      <c r="M238" s="5" t="n"/>
      <c r="N238" s="19" t="inlineStr">
        <is>
          <t>The banner through which Nasir Hussain produced the films that, his article argues, set the template for two successive eras of Hindi cinema.</t>
        </is>
      </c>
      <c r="O238" s="19" t="inlineStr">
        <is>
          <t>One banner credit, on Pyar Ka Mausam (1969), which Hussain directed, produced and wrote, with a score by R. D. Burman (PERSON-003). The banner credit and the personal credits describe the same relationship and should not be counted as two collaborations.</t>
        </is>
      </c>
      <c r="P238" s="17" t="n">
        <v>1</v>
      </c>
      <c r="Q238" s="5" t="inlineStr">
        <is>
          <t>FILM-028</t>
        </is>
      </c>
      <c r="R238" s="5" t="inlineStr">
        <is>
          <t>Pyar Ka Mausam (1969), its only film with Kapoor</t>
        </is>
      </c>
      <c r="S238" s="5" t="inlineStr">
        <is>
          <t>Nasir Husain Films Pvt. Ltd. is the banner on Pyar Ka Mausam, released in 1969 — a film Nasir Hussain directed, produced and wrote himself, with an early R. D. Burman score. The banner and its founder therefore record one relationship seen twice, and this workbook keeps them as separate rows only because the source credits do. Hussain's company produced the films on which his considerable reputation rests, including Yaadon Ki Baraat and, much later, Qayamat Se Qayamat Tak. No Wikipedia article exists for the company as such, and the credit spells the surname differently from his own article. The entry is graded Low and rests on the film credit.</t>
        </is>
      </c>
      <c r="T238" s="5" t="inlineStr">
        <is>
          <t>SOURCE-021</t>
        </is>
      </c>
      <c r="U238" s="5" t="inlineStr">
        <is>
          <t>Low</t>
        </is>
      </c>
    </row>
    <row r="239" ht="154" customHeight="1">
      <c r="A239" s="15" t="inlineStr">
        <is>
          <t>PERSON-238</t>
        </is>
      </c>
      <c r="B239" s="5" t="inlineStr">
        <is>
          <t>Nasir Hussain</t>
        </is>
      </c>
      <c r="C239" s="5" t="inlineStr">
        <is>
          <t>Director; Producer; Writer</t>
        </is>
      </c>
      <c r="D239" s="17" t="n">
        <v>1926</v>
      </c>
      <c r="E239" s="17" t="n">
        <v>2002</v>
      </c>
      <c r="F239" s="5" t="inlineStr">
        <is>
          <t>1948–1996</t>
        </is>
      </c>
      <c r="G239" s="5" t="inlineStr">
        <is>
          <t>Hindi cinema</t>
        </is>
      </c>
      <c r="H239" s="5" t="inlineStr">
        <is>
          <t>Born Mohammad Nasir Hussain Khan on 16 November 1926; died 13 March 2002. A producer, director and screenwriter with a career spanning decades, credited as a major trendsetter in Hindi cinema. He began as a writer at Filmistan (PERSON-013) in 1948.</t>
        </is>
      </c>
      <c r="I239" s="5" t="inlineStr">
        <is>
          <t>Writing from 1948 for Filmistan, on films including Anarkali, Munimji and Paying Guest; he turned to directing with Tumsa Nahin Dekha.</t>
        </is>
      </c>
      <c r="J239" s="5" t="inlineStr">
        <is>
          <t>With Kapoor: Pyar Ka Mausam (1969), which he directed, produced and wrote. Elsewhere: Yaadon Ki Baraat (1973) and Qayamat Se Qayamat Tak (1988), which he wrote and produced.</t>
        </is>
      </c>
      <c r="K239" s="19" t="inlineStr">
        <is>
          <t>The musical romance; lost-and-found families; youth, music and modernity.</t>
        </is>
      </c>
      <c r="L239" s="19" t="inlineStr">
        <is>
          <t>A filmmaker who built pictures around music and youthful energy, and whose structures were widely copied.</t>
        </is>
      </c>
      <c r="M239" s="5" t="inlineStr">
        <is>
          <t>A special Filmfare Award in 1996 for his contribution to Hindi cinema, and Filmfare Awards for Best Movie and Best Screenplay for Qayamat Se Qayamat Tak.</t>
        </is>
      </c>
      <c r="N239" s="19" t="inlineStr">
        <is>
          <t>His article credits him with creating the masala film genre through Yaadon Ki Baraat and, fifteen years later, the musical-romance template of the 1990s through Qayamat Se Qayamat Tak. Javed Akhtar rates him the most underrated producer-director of his generation and credits him with changing the career trajectories of Shammi Kapoor and Dev Anand.</t>
        </is>
      </c>
      <c r="O239" s="19" t="inlineStr">
        <is>
          <t>One film, Pyar Ka Mausam (1969), which he directed, produced and wrote, with an R. D. Burman (PERSON-003) score. It is a single meeting with a filmmaker who shaped the two commercial forms Kapoor worked inside for the rest of his career — the masala multi-starrer of the 1970s, which Yaadon Ki Baraat helped define, and whose logic governs most of his peak-period films. His article does not mention Kapoor.</t>
        </is>
      </c>
      <c r="P239" s="17" t="n">
        <v>1</v>
      </c>
      <c r="Q239" s="5" t="inlineStr">
        <is>
          <t>FILM-028</t>
        </is>
      </c>
      <c r="R239" s="5" t="inlineStr">
        <is>
          <t>Pyar Ka Mausam (1969), his only film with Kapoor</t>
        </is>
      </c>
      <c r="S239" s="5" t="inlineStr">
        <is>
          <t>Nasir Hussain directed, produced and wrote Pyar Ka Mausam in 1969, the only film he made with Shashi Kapoor, with an early R. D. Burman score. The single credit understates his importance to this filmography, because Hussain shaped the form Kapoor spent his peak years working inside: Yaadon Ki Baraat in 1973 is generally credited with creating the masala film, the genre that dominated the decade in which Kapoor became one of its most saleable stars, and whose lost-and-found logic governs a great many of the films recorded here. Born Mohammad Nasir Hussain Khan in 1926, he began as a writer at Filmistan in 1948 on Anarkali, Munimji and Paying Guest, turned to directing with Tumsa Nahin Dekha, and fifteen years after Yaadon Ki Baraat wrote and produced Qayamat Se Qayamat Tak, which reset the Hindi musical romance for the 1990s. Javed Akhtar rates him the most underrated producer-director of his generation and credits him with changing the careers of Shammi Kapoor and Dev Anand. He received a special Filmfare Award in 1996 and died in 2002.</t>
        </is>
      </c>
      <c r="T239" s="5" t="inlineStr">
        <is>
          <t>SOURCE-258</t>
        </is>
      </c>
      <c r="U239" s="5" t="inlineStr">
        <is>
          <t>High</t>
        </is>
      </c>
    </row>
    <row r="240" ht="94" customHeight="1">
      <c r="A240" s="15" t="inlineStr">
        <is>
          <t>PERSON-239</t>
        </is>
      </c>
      <c r="B240" s="5" t="inlineStr">
        <is>
          <t>Natasha Ullman</t>
        </is>
      </c>
      <c r="C240" s="5" t="inlineStr">
        <is>
          <t>Writer</t>
        </is>
      </c>
      <c r="D240" s="18" t="n"/>
      <c r="E240" s="18" t="n"/>
      <c r="F240" s="5" t="n"/>
      <c r="G240" s="5" t="inlineStr">
        <is>
          <t>American independent cinema</t>
        </is>
      </c>
      <c r="H240" s="5" t="inlineStr">
        <is>
          <t>No Wikipedia article exists for her, and none was found under any variant spelling. Everything here rests on the credit of the single film.</t>
        </is>
      </c>
      <c r="I240" s="5" t="n"/>
      <c r="J240" s="5" t="inlineStr">
        <is>
          <t>With Kapoor: Siddhartha (1972).</t>
        </is>
      </c>
      <c r="K240" s="19" t="inlineStr">
        <is>
          <t>Not established from a single credit.</t>
        </is>
      </c>
      <c r="L240" s="19" t="inlineStr">
        <is>
          <t>Not established; no biographical source was located.</t>
        </is>
      </c>
      <c r="M240" s="5" t="n"/>
      <c r="N240" s="19" t="inlineStr">
        <is>
          <t>Not established.</t>
        </is>
      </c>
      <c r="O240" s="19" t="inlineStr">
        <is>
          <t>One writing credit, on Siddhartha (1972), Conrad Rooks's (PERSON-144) adaptation of Hermann Hesse in which Kapoor plays the title role, with Paul Mayersberg (PERSON-250) also credited as a writer and Hemant Kumar (PERSON-179) composing.</t>
        </is>
      </c>
      <c r="P240" s="17" t="n">
        <v>1</v>
      </c>
      <c r="Q240" s="5" t="inlineStr">
        <is>
          <t>FILM-041</t>
        </is>
      </c>
      <c r="R240" s="5" t="inlineStr">
        <is>
          <t>Siddhartha (1972), her only film with Kapoor</t>
        </is>
      </c>
      <c r="S240" s="5" t="inlineStr">
        <is>
          <t>Natasha Ullman shares a writing credit on Siddhartha, released in 1972 — Conrad Rooks's adaptation of Hermann Hesse's novel, in which Shashi Kapoor takes the title role of the young Brahmin seeking enlightenment. The film belongs to the English-language strand of his career that ran alongside the Hindi one, and carried an unusual creative mix: an American director, the English writer Paul Mayersberg, and the Bengali composer Hemant Kumar. No Wikipedia article exists for Ullman under this name or any variant attempted during research, and no other biographical source was located. The entry is graded Low.</t>
        </is>
      </c>
      <c r="T240" s="5" t="inlineStr">
        <is>
          <t>SOURCE-031</t>
        </is>
      </c>
      <c r="U240" s="5" t="inlineStr">
        <is>
          <t>Low</t>
        </is>
      </c>
    </row>
    <row r="241" ht="109" customHeight="1">
      <c r="A241" s="15" t="inlineStr">
        <is>
          <t>PERSON-240</t>
        </is>
      </c>
      <c r="B241" s="5" t="inlineStr">
        <is>
          <t>Natraj Studios</t>
        </is>
      </c>
      <c r="C241" s="5" t="inlineStr">
        <is>
          <t>Production banner (studio facility)</t>
        </is>
      </c>
      <c r="D241" s="18" t="n"/>
      <c r="E241" s="18" t="n"/>
      <c r="F241" s="5" t="n"/>
      <c r="G241" s="5" t="inlineStr">
        <is>
          <t>Hindi cinema</t>
        </is>
      </c>
      <c r="H241" s="5" t="inlineStr">
        <is>
          <t>No Wikipedia article exists for this studio. Everything here rests on the credit of the single film.</t>
        </is>
      </c>
      <c r="I241" s="5" t="n"/>
      <c r="J241" s="5" t="inlineStr">
        <is>
          <t>With Kapoor: Mukti (1977).</t>
        </is>
      </c>
      <c r="K241" s="19" t="inlineStr">
        <is>
          <t>Not applicable; a facility credit.</t>
        </is>
      </c>
      <c r="L241" s="19" t="inlineStr">
        <is>
          <t>Not applicable.</t>
        </is>
      </c>
      <c r="M241" s="5" t="n"/>
      <c r="N241" s="19" t="inlineStr">
        <is>
          <t>Not established.</t>
        </is>
      </c>
      <c r="O241" s="19" t="inlineStr">
        <is>
          <t>One banner credit, on Mukti (1977), one of five studio credits on that film alongside Essel Studios (PERSON-157), Famous Cine Studios (PERSON-160), R. K. Studios (PERSON-034) and Rajkamal Kalamandir (PERSON-079). The film was directed and produced by Raj Tilak (PERSON-269).</t>
        </is>
      </c>
      <c r="P241" s="17" t="n">
        <v>1</v>
      </c>
      <c r="Q241" s="5" t="inlineStr">
        <is>
          <t>FILM-068</t>
        </is>
      </c>
      <c r="R241" s="5" t="inlineStr">
        <is>
          <t>Mukti (1977), its only film with Kapoor</t>
        </is>
      </c>
      <c r="S241" s="5" t="inlineStr">
        <is>
          <t>Natraj Studios is one of five studio names carried by Mukti, released in 1977 — with Essel Studios, Famous Cine Studios, R. K. Studios and Rajkamal Kalamandir also credited, and Raj Tilak directing and producing. No single film in this filmography illustrates the nature of the production-banner field more clearly: five facilities recorded where none of them made the picture, because a production of this period commonly moved between rented stages and each was named in the credits. This workbook keeps such facility credits distinct from production ones so that collaboration counts reflect creative involvement. No Wikipedia article exists for Natraj Studios; the entry is graded Low.</t>
        </is>
      </c>
      <c r="T241" s="5" t="inlineStr">
        <is>
          <t>SOURCE-054</t>
        </is>
      </c>
      <c r="U241" s="5" t="inlineStr">
        <is>
          <t>Low</t>
        </is>
      </c>
    </row>
    <row r="242" ht="154" customHeight="1">
      <c r="A242" s="15" t="inlineStr">
        <is>
          <t>PERSON-241</t>
        </is>
      </c>
      <c r="B242" s="5" t="inlineStr">
        <is>
          <t>Nicholas Meyer</t>
        </is>
      </c>
      <c r="C242" s="5" t="inlineStr">
        <is>
          <t>Director</t>
        </is>
      </c>
      <c r="D242" s="17" t="n">
        <v>1945</v>
      </c>
      <c r="E242" s="18" t="n"/>
      <c r="F242" s="5" t="n"/>
      <c r="G242" s="5" t="inlineStr">
        <is>
          <t>American cinema and television</t>
        </is>
      </c>
      <c r="H242" s="5" t="inlineStr">
        <is>
          <t>Born 24 December 1945. An American screenwriter, director, producer and novelist, known for his best-selling novel The Seven-Per-Cent Solution and for a varied directing career across film and television.</t>
        </is>
      </c>
      <c r="I242" s="5" t="inlineStr">
        <is>
          <t>Writing from the 1970s; his first major success was the novel and screenplay of The Seven-Per-Cent Solution.</t>
        </is>
      </c>
      <c r="J242" s="5" t="inlineStr">
        <is>
          <t>With Kapoor: The Deceivers (1988). Elsewhere: Time After Time, two of the Star Trek feature films, the 1983 television film The Day After, and the 1999 HBO film Vendetta.</t>
        </is>
      </c>
      <c r="K242" s="19" t="inlineStr">
        <is>
          <t>Historical and literary pastiche; moral consequence played out on a large canvas.</t>
        </is>
      </c>
      <c r="L242" s="19" t="inlineStr">
        <is>
          <t>A novelist-director with a taste for period reconstruction and for genre material treated seriously.</t>
        </is>
      </c>
      <c r="M242" s="5" t="inlineStr">
        <is>
          <t>An Academy Award nomination for Best Adapted Screenplay for The Seven-Per-Cent Solution (1976), adapting his own novel; nominations for a Satellite Award and three Emmy Awards; four Saturn Awards.</t>
        </is>
      </c>
      <c r="N242" s="19" t="inlineStr">
        <is>
          <t>The director of The Day After, among the most widely watched and politically consequential American television films ever made, and of two of the most admired Star Trek features.</t>
        </is>
      </c>
      <c r="O242" s="19" t="inlineStr">
        <is>
          <t>One film, The Deceivers (1988), a Merchant Ivory production written by Michael Hirst (PERSON-223) and scored by John Scott (PERSON-188), in which Kapoor appears — one of the seven Ismail Merchant (PERSON-006) productions in this filmography. It is an unusual assignment for Meyer, whose work otherwise lies well outside that company's orbit. His article does not mention Kapoor.</t>
        </is>
      </c>
      <c r="P242" s="17" t="n">
        <v>1</v>
      </c>
      <c r="Q242" s="5" t="inlineStr">
        <is>
          <t>FILM-136</t>
        </is>
      </c>
      <c r="R242" s="5" t="inlineStr">
        <is>
          <t>The Deceivers (1988), his only film with Kapoor</t>
        </is>
      </c>
      <c r="S242" s="5" t="inlineStr">
        <is>
          <t>Nicholas Meyer directed The Deceivers in 1988, the Merchant Ivory production about the Thuggee cult in which Shashi Kapoor appeared — one of seven films he made under Ismail Merchant's production across thirty-five years, and an unusual assignment for a director whose work otherwise lay far from that company's orbit. Michael Hirst wrote it, a decade before Elizabeth made his name, and John Scott scored it. Born in New York in 1945, Meyer is a novelist as much as a filmmaker: he was nominated for an Academy Award for Best Adapted Screenplay for The Seven-Per-Cent Solution in 1976, adapting his own best-selling Sherlock Holmes novel, and went on to direct Time After Time and two of the Star Trek features, generally reckoned the best of them. His most widely seen work was for television: The Day After in 1983, about nuclear war, drew an enormous American audience and is credited with shifting public debate. He has won four Saturn Awards and been nominated for three Emmys.</t>
        </is>
      </c>
      <c r="T242" s="5" t="inlineStr">
        <is>
          <t>SOURCE-259</t>
        </is>
      </c>
      <c r="U242" s="5" t="inlineStr">
        <is>
          <t>High</t>
        </is>
      </c>
    </row>
    <row r="243" ht="184" customHeight="1">
      <c r="A243" s="15" t="inlineStr">
        <is>
          <t>PERSON-242</t>
        </is>
      </c>
      <c r="B243" s="5" t="inlineStr">
        <is>
          <t>Nigel Clarke</t>
        </is>
      </c>
      <c r="C243" s="5" t="inlineStr">
        <is>
          <t>Song composer</t>
        </is>
      </c>
      <c r="D243" s="17" t="n">
        <v>1960</v>
      </c>
      <c r="E243" s="18" t="n"/>
      <c r="F243" s="5" t="n"/>
      <c r="G243" s="5" t="inlineStr">
        <is>
          <t>British concert and film music</t>
        </is>
      </c>
      <c r="H243" s="5" t="inlineStr">
        <is>
          <t>Born in 1960. A British composer and musician and a former head of composition and contemporary music at the London College of Music and Media. He began his career as a military bandsman, then studied composition at the Royal Academy of Music with Paul Patterson, where he was awarded the Queen's Commendation for Excellence. He has been Young Composer in Residence at the Hong Kong Academy for Performing Arts and Associate Composer to the Black Dyke Mills Band, the Band of the Grenadier Guards and the Marine Band of the Royal Netherlands Navy.</t>
        </is>
      </c>
      <c r="I243" s="5" t="inlineStr">
        <is>
          <t>Composing from the 1980s, principally in the concert and wind-band repertoire.</t>
        </is>
      </c>
      <c r="J243" s="5" t="inlineStr">
        <is>
          <t>With Kapoor: Jinnah (1998). Elsewhere: The Thief Lord, and the concert works Mysteries of the Horizon and A Richer Dust.</t>
        </is>
      </c>
      <c r="K243" s="19" t="inlineStr">
        <is>
          <t>Wind-band and brass writing alongside film and concert composition.</t>
        </is>
      </c>
      <c r="L243" s="19" t="inlineStr">
        <is>
          <t>A concert composer of the British band tradition who also writes for film.</t>
        </is>
      </c>
      <c r="M243" s="5" t="inlineStr">
        <is>
          <t>Co-nominee for Discovery of the Year at the 2006 World Soundtrack Awards for The Thief Lord; winner of a BASCA British Composer Award in 2013 for Mysteries of the Horizon — a prize his article records that he asked to have withdrawn — and a nominee again in 2016 for A Richer Dust.</t>
        </is>
      </c>
      <c r="N243" s="19" t="inlineStr">
        <is>
          <t>A significant figure in British wind-band and brass composition, and a teacher of composition at several conservatoires.</t>
        </is>
      </c>
      <c r="O243" s="19" t="inlineStr">
        <is>
          <t>One film, Jinnah (1998), directed, produced and written by Jamil Dehlavi (PERSON-186) with Akbar S. Ahmed (PERSON-092), on which he shares the music credit with Michael Csányi-Wills (PERSON-222). Kapoor is the film's narrator, and it is among the last three credits of his career.</t>
        </is>
      </c>
      <c r="P243" s="17" t="n">
        <v>1</v>
      </c>
      <c r="Q243" s="5" t="inlineStr">
        <is>
          <t>FILM-153</t>
        </is>
      </c>
      <c r="R243" s="5" t="inlineStr">
        <is>
          <t>Jinnah (1998), his only film with Kapoor</t>
        </is>
      </c>
      <c r="S243" s="5" t="inlineStr">
        <is>
          <t>Nigel Clarke wrote the music for Jinnah, Jamil Dehlavi's 1998 film about the founder of Pakistan, sharing the credit with Michael Csányi-Wills; Shashi Kapoor provided the narration, in one of the last three credits of his acting career. Clarke's own career lies mainly in the concert hall and the band tradition. Born in 1960, he began as a military bandsman, then studied composition at the Royal Academy of Music under Paul Patterson, where he was awarded the Queen's Commendation for Excellence, and went on to head composition and contemporary music at the London College of Music and Media. He has been Young Composer in Residence at the Hong Kong Academy for Performing Arts and associate composer to the Black Dyke Mills Band, the Band of the Grenadier Guards and the Marine Band of the Royal Netherlands Navy. He was co-nominated for Discovery of the Year at the 2006 World Soundtrack Awards for The Thief Lord, and won a BASCA British Composer Award in 2013 for Mysteries of the Horizon — a prize his article records that he asked to have withdrawn.</t>
        </is>
      </c>
      <c r="T243" s="5" t="inlineStr">
        <is>
          <t>SOURCE-260</t>
        </is>
      </c>
      <c r="U243" s="5" t="inlineStr">
        <is>
          <t>High</t>
        </is>
      </c>
    </row>
    <row r="244" ht="109" customHeight="1">
      <c r="A244" s="15" t="inlineStr">
        <is>
          <t>PERSON-243</t>
        </is>
      </c>
      <c r="B244" s="5" t="inlineStr">
        <is>
          <t>Nitan Bhattacharya</t>
        </is>
      </c>
      <c r="C244" s="5" t="inlineStr">
        <is>
          <t>Writer</t>
        </is>
      </c>
      <c r="D244" s="18" t="n"/>
      <c r="E244" s="18" t="n"/>
      <c r="F244" s="5" t="n"/>
      <c r="G244" s="5" t="inlineStr">
        <is>
          <t>Hindi and Bengali cinema</t>
        </is>
      </c>
      <c r="H244" s="5" t="inlineStr">
        <is>
          <t>No Wikipedia article exists for him, and none was found under any variant spelling. Everything here rests on the credit of the single film.</t>
        </is>
      </c>
      <c r="I244" s="5" t="n"/>
      <c r="J244" s="5" t="inlineStr">
        <is>
          <t>With Kapoor: Prem Patra (1962).</t>
        </is>
      </c>
      <c r="K244" s="19" t="inlineStr">
        <is>
          <t>Not established from a single credit.</t>
        </is>
      </c>
      <c r="L244" s="19" t="inlineStr">
        <is>
          <t>Not established; no biographical source was located.</t>
        </is>
      </c>
      <c r="M244" s="5" t="n"/>
      <c r="N244" s="19" t="inlineStr">
        <is>
          <t>Not established.</t>
        </is>
      </c>
      <c r="O244" s="19" t="inlineStr">
        <is>
          <t>One writing credit, on Prem Patra (1962), directed and produced by Bimal Roy (PERSON-124) and written with Debabrata Sengupta (PERSON-149), Salil Chowdhury (PERSON-042) and Rajinder Krishan (PERSON-274) — four credited writers on one of the most distinguished films of Kapoor's early career.</t>
        </is>
      </c>
      <c r="P244" s="17" t="n">
        <v>1</v>
      </c>
      <c r="Q244" s="5" t="inlineStr">
        <is>
          <t>FILM-008</t>
        </is>
      </c>
      <c r="R244" s="5" t="inlineStr">
        <is>
          <t>Prem Patra (1962), his only film with Kapoor</t>
        </is>
      </c>
      <c r="S244" s="5" t="inlineStr">
        <is>
          <t>Nitan Bhattacharya is one of four credited writers on Prem Patra, released in 1962 — the Bimal Roy film that gave Shashi Kapoor the most distinguished director of his early years, when Dharmputra had failed and his standing as a leading man was unsettled. Debabrata Sengupta, Salil Chowdhury and Rajinder Krishan share the writing credit. The Bengali name suggests a writer from Roy's Calcutta circle, which is how he habitually staffed his films, but nothing found in research confirms it. No Wikipedia article exists under this name or any variant attempted, and no other biographical source was located. The entry is graded Low.</t>
        </is>
      </c>
      <c r="T244" s="5" t="inlineStr">
        <is>
          <t>SOURCE-007</t>
        </is>
      </c>
      <c r="U244" s="5" t="inlineStr">
        <is>
          <t>Low</t>
        </is>
      </c>
    </row>
    <row r="245" ht="94" customHeight="1">
      <c r="A245" s="15" t="inlineStr">
        <is>
          <t>PERSON-244</t>
        </is>
      </c>
      <c r="B245" s="5" t="inlineStr">
        <is>
          <t>P. K. Luthra</t>
        </is>
      </c>
      <c r="C245" s="5" t="inlineStr">
        <is>
          <t>Producer</t>
        </is>
      </c>
      <c r="D245" s="18" t="n"/>
      <c r="E245" s="18" t="n"/>
      <c r="F245" s="5" t="n"/>
      <c r="G245" s="5" t="inlineStr">
        <is>
          <t>Hindi cinema</t>
        </is>
      </c>
      <c r="H245" s="5" t="inlineStr">
        <is>
          <t>No Wikipedia article exists for him, and none was found under any variant spelling. Everything here rests on the credit of the single film.</t>
        </is>
      </c>
      <c r="I245" s="5" t="n"/>
      <c r="J245" s="5" t="inlineStr">
        <is>
          <t>With Kapoor: Vakil Babu (1982).</t>
        </is>
      </c>
      <c r="K245" s="19" t="inlineStr">
        <is>
          <t>Not established from a single credit.</t>
        </is>
      </c>
      <c r="L245" s="19" t="inlineStr">
        <is>
          <t>Not applicable; no biographical source was located.</t>
        </is>
      </c>
      <c r="M245" s="5" t="n"/>
      <c r="N245" s="19" t="inlineStr">
        <is>
          <t>Not established.</t>
        </is>
      </c>
      <c r="O245" s="19" t="inlineStr">
        <is>
          <t>One producing credit, on Vakil Babu (1982), made with Jawahar Kapoor (PERSON-187), directed by Asit Sen (PERSON-054), written by Inder Raj Anand (PERSON-014) and scored by Laxmikant–Pyarelal (PERSON-001).</t>
        </is>
      </c>
      <c r="P245" s="17" t="n">
        <v>1</v>
      </c>
      <c r="Q245" s="5" t="inlineStr">
        <is>
          <t>FILM-104</t>
        </is>
      </c>
      <c r="R245" s="5" t="inlineStr">
        <is>
          <t>Vakil Babu (1982), his only film with Kapoor</t>
        </is>
      </c>
      <c r="S245" s="5" t="inlineStr">
        <is>
          <t>P. K. Luthra produced Vakil Babu in 1982 with Jawahar Kapoor, his only credit in this filmography. The film was directed by Asit Sen, whose reputation had been made in Bengali art melodrama two decades earlier, written by Inder Raj Anand and scored by Laxmikant–Pyarelal, and it comes from the point at which Shashi Kapoor's run as a commercial lead was giving way to character work. No Wikipedia article exists for Luthra under this name or any variant attempted during research, and no other biographical source was located. The entry is graded Low.</t>
        </is>
      </c>
      <c r="T245" s="5" t="inlineStr">
        <is>
          <t>SOURCE-085</t>
        </is>
      </c>
      <c r="U245" s="5" t="inlineStr">
        <is>
          <t>Low</t>
        </is>
      </c>
    </row>
    <row r="246" ht="124" customHeight="1">
      <c r="A246" s="15" t="inlineStr">
        <is>
          <t>PERSON-245</t>
        </is>
      </c>
      <c r="B246" s="5" t="inlineStr">
        <is>
          <t>P. K. Tiwari</t>
        </is>
      </c>
      <c r="C246" s="5" t="inlineStr">
        <is>
          <t>Producer</t>
        </is>
      </c>
      <c r="D246" s="18" t="n"/>
      <c r="E246" s="18" t="n"/>
      <c r="F246" s="5" t="n"/>
      <c r="G246" s="5" t="inlineStr">
        <is>
          <t>Hindi cinema</t>
        </is>
      </c>
      <c r="H246" s="5" t="inlineStr">
        <is>
          <t>No Wikipedia article exists for him, and none was found under any variant spelling. Everything here rests on the credit of the single film — a notable gap, given what that film achieved.</t>
        </is>
      </c>
      <c r="I246" s="5" t="n"/>
      <c r="J246" s="5" t="inlineStr">
        <is>
          <t>With Kapoor: New Delhi Times (1986).</t>
        </is>
      </c>
      <c r="K246" s="19" t="inlineStr">
        <is>
          <t>Not established from a single credit.</t>
        </is>
      </c>
      <c r="L246" s="19" t="inlineStr">
        <is>
          <t>Not applicable; no biographical source was located.</t>
        </is>
      </c>
      <c r="M246" s="5" t="n"/>
      <c r="N246" s="19" t="inlineStr">
        <is>
          <t>Not established, despite having produced one of the most honoured Hindi films of the 1980s.</t>
        </is>
      </c>
      <c r="O246" s="19" t="inlineStr">
        <is>
          <t>One producing credit, on New Delhi Times (1986), directed by Ramesh Sharma (PERSON-080), written by Gulzar (PERSON-031) and scored by Louis Banks (PERSON-213) — the political drama for which Kapoor won the National Film Award for Best Actor. Neither its producer nor its director has any biographical record.</t>
        </is>
      </c>
      <c r="P246" s="17" t="n">
        <v>1</v>
      </c>
      <c r="Q246" s="5" t="inlineStr">
        <is>
          <t>FILM-120</t>
        </is>
      </c>
      <c r="R246" s="5" t="inlineStr">
        <is>
          <t>New Delhi Times (1986), his only film with Kapoor</t>
        </is>
      </c>
      <c r="S246" s="5" t="inlineStr">
        <is>
          <t>P. K. Tiwari produced New Delhi Times, the 1986 political drama that won Shashi Kapoor the National Film Award for Best Actor — a film about a newspaper editor pursuing a political murder through a system that closes around him, written by Gulzar, directed by Ramesh Sharma and scored by Louis Banks. It is the high point of the actor's late career, and neither the man who financed it nor the man who directed it has a surviving biographical record: no Wikipedia article exists for Tiwari under this name or any variant attempted in research, and none was found for Sharma either. The entry is graded Low, and the gap is a real one rather than a failure of searching.</t>
        </is>
      </c>
      <c r="T246" s="5" t="inlineStr">
        <is>
          <t>SOURCE-104</t>
        </is>
      </c>
      <c r="U246" s="5" t="inlineStr">
        <is>
          <t>Low</t>
        </is>
      </c>
    </row>
    <row r="247" ht="124" customHeight="1">
      <c r="A247" s="15" t="inlineStr">
        <is>
          <t>PERSON-246</t>
        </is>
      </c>
      <c r="B247" s="5" t="inlineStr">
        <is>
          <t>Pamela Chopra</t>
        </is>
      </c>
      <c r="C247" s="5" t="inlineStr">
        <is>
          <t>Writer</t>
        </is>
      </c>
      <c r="D247" s="17" t="n">
        <v>1948</v>
      </c>
      <c r="E247" s="17" t="n">
        <v>2023</v>
      </c>
      <c r="F247" s="5" t="n"/>
      <c r="G247" s="5" t="inlineStr">
        <is>
          <t>Hindi cinema</t>
        </is>
      </c>
      <c r="H247" s="5" t="inlineStr">
        <is>
          <t>Born Pamela Singh on 29 July 1948; died 20 April 2023. An Indian playback singer who was also a film writer and producer in her own right, and the wife of the director Yash Chopra (PERSON-005).</t>
        </is>
      </c>
      <c r="I247" s="5" t="inlineStr">
        <is>
          <t>Her screen work belongs to the Yash Raj Films (PERSON-025) period from the 1970s.</t>
        </is>
      </c>
      <c r="J247" s="5" t="inlineStr">
        <is>
          <t>With Kapoor: Kabhi Kabhie (1976).</t>
        </is>
      </c>
      <c r="K247" s="19" t="inlineStr">
        <is>
          <t>The romantic drama of the Yash Chopra house style.</t>
        </is>
      </c>
      <c r="L247" s="19" t="inlineStr">
        <is>
          <t>Not assessed in her article, which is brief.</t>
        </is>
      </c>
      <c r="M247" s="5" t="n"/>
      <c r="N247" s="19" t="inlineStr">
        <is>
          <t>A figure within the Yash Raj Films establishment as singer, writer and producer, at a time when few women held such roles.</t>
        </is>
      </c>
      <c r="O247" s="19" t="inlineStr">
        <is>
          <t>One writing credit, on Kabhi Kabhie (1976), directed and produced by her husband, written also by Sagar Sarhadi (PERSON-020), scored by Khayyam (PERSON-016) and released under the Yash Raj Films banner. It is among the most romantically serious films of Kapoor's later career and one of the defining productions of the Chopra house style.</t>
        </is>
      </c>
      <c r="P247" s="17" t="n">
        <v>1</v>
      </c>
      <c r="Q247" s="5" t="inlineStr">
        <is>
          <t>FILM-060</t>
        </is>
      </c>
      <c r="R247" s="5" t="inlineStr">
        <is>
          <t>Kabhi Kabhie (1976), her only film with Kapoor</t>
        </is>
      </c>
      <c r="S247" s="5" t="inlineStr">
        <is>
          <t>Pamela Chopra shares a writing credit on Kabhi Kabhie, the 1976 romantic drama her husband Yash Chopra directed and produced, written with Sagar Sarhadi and scored by Khayyam, whose Filmfare-winning music remains among the best known in Hindi cinema. It is one of the most emotionally serious films of Shashi Kapoor's later career. Born Pamela Singh in 1948, she was a playback singer who worked as writer and producer within Yash Raj Films at a period when very few women held such positions in the industry, and she remained a presence in the company until her death in April 2023. Her article is brief and does not mention Kapoor.</t>
        </is>
      </c>
      <c r="T247" s="5" t="inlineStr">
        <is>
          <t>SOURCE-261</t>
        </is>
      </c>
      <c r="U247" s="5" t="inlineStr">
        <is>
          <t>High</t>
        </is>
      </c>
    </row>
    <row r="248" ht="79" customHeight="1">
      <c r="A248" s="15" t="inlineStr">
        <is>
          <t>PERSON-247</t>
        </is>
      </c>
      <c r="B248" s="5" t="inlineStr">
        <is>
          <t>Parvesh C Mehra</t>
        </is>
      </c>
      <c r="C248" s="5" t="inlineStr">
        <is>
          <t>Producer</t>
        </is>
      </c>
      <c r="D248" s="18" t="n"/>
      <c r="E248" s="18" t="n"/>
      <c r="F248" s="5" t="n"/>
      <c r="G248" s="5" t="inlineStr">
        <is>
          <t>Hindi cinema</t>
        </is>
      </c>
      <c r="H248" s="5" t="inlineStr">
        <is>
          <t>No Wikipedia article exists for him, and none was found under any variant spelling. Everything here rests on the credit of the single film.</t>
        </is>
      </c>
      <c r="I248" s="5" t="n"/>
      <c r="J248" s="5" t="inlineStr">
        <is>
          <t>With Kapoor: Salaakhen (1975).</t>
        </is>
      </c>
      <c r="K248" s="19" t="inlineStr">
        <is>
          <t>Not established from a single credit.</t>
        </is>
      </c>
      <c r="L248" s="19" t="inlineStr">
        <is>
          <t>Not applicable; no biographical source was located.</t>
        </is>
      </c>
      <c r="M248" s="5" t="n"/>
      <c r="N248" s="19" t="inlineStr">
        <is>
          <t>Not established.</t>
        </is>
      </c>
      <c r="O248" s="19" t="inlineStr">
        <is>
          <t>One producing credit, on Salaakhen (1975), directed by A. Salaam (PERSON-088) and scored by Ravindra Jain (PERSON-018), from the strongest year of Kapoor's commercial career.</t>
        </is>
      </c>
      <c r="P248" s="17" t="n">
        <v>1</v>
      </c>
      <c r="Q248" s="5" t="inlineStr">
        <is>
          <t>FILM-055</t>
        </is>
      </c>
      <c r="R248" s="5" t="inlineStr">
        <is>
          <t>Salaakhen (1975), his only film with Kapoor</t>
        </is>
      </c>
      <c r="S248" s="5" t="inlineStr">
        <is>
          <t>Parvesh C Mehra produced Salaakhen in 1975, his only credit in this filmography — a commercial picture directed by A. Salaam with songs by Ravindra Jain, released in the year of Deewaar and Prem Kahani, the strongest of Shashi Kapoor's career. Neither the producer nor the director has a surviving biographical record: no Wikipedia article exists for Mehra under this name or any variant attempted during research, and none was found for Salaam either. The entry is graded Low and rests on the single film credit.</t>
        </is>
      </c>
      <c r="T248" s="5" t="inlineStr">
        <is>
          <t>SOURCE-044</t>
        </is>
      </c>
      <c r="U248" s="5" t="inlineStr">
        <is>
          <t>Low</t>
        </is>
      </c>
    </row>
    <row r="249" ht="109" customHeight="1">
      <c r="A249" s="15" t="inlineStr">
        <is>
          <t>PERSON-248</t>
        </is>
      </c>
      <c r="B249" s="5" t="inlineStr">
        <is>
          <t>Parvez Mehdi</t>
        </is>
      </c>
      <c r="C249" s="5" t="inlineStr">
        <is>
          <t>Writer</t>
        </is>
      </c>
      <c r="D249" s="18" t="n"/>
      <c r="E249" s="18" t="n"/>
      <c r="F249" s="5" t="n"/>
      <c r="G249" s="5" t="inlineStr">
        <is>
          <t>Hindi cinema</t>
        </is>
      </c>
      <c r="H249" s="5" t="inlineStr">
        <is>
          <t>No Wikipedia article exists for this writer. The article reached from the name is about a Pakistani ghazal singer (1947–2005) and was rejected during research as almost certainly a different person, since the credit here is for screen writing on a Hindi commercial film. Everything else rests on the credit of the single film.</t>
        </is>
      </c>
      <c r="I249" s="5" t="n"/>
      <c r="J249" s="5" t="inlineStr">
        <is>
          <t>With Kapoor: Oonch Neech Beech (1989).</t>
        </is>
      </c>
      <c r="K249" s="19" t="inlineStr">
        <is>
          <t>Not established from a single credit.</t>
        </is>
      </c>
      <c r="L249" s="19" t="inlineStr">
        <is>
          <t>Not established; no biographical source was located.</t>
        </is>
      </c>
      <c r="M249" s="5" t="n"/>
      <c r="N249" s="19" t="inlineStr">
        <is>
          <t>Not established.</t>
        </is>
      </c>
      <c r="O249" s="19" t="inlineStr">
        <is>
          <t>One writing credit, on Oonch Neech Beech (1989), produced by Jagdish Varma (PERSON-065) and Satpal Varma (PERSON-082) under the J. V. Films banner (PERSON-064) — the second of the two Varma family productions in this filmography, fifteen years after the first.</t>
        </is>
      </c>
      <c r="P249" s="17" t="n">
        <v>1</v>
      </c>
      <c r="Q249" s="5" t="inlineStr">
        <is>
          <t>FILM-144</t>
        </is>
      </c>
      <c r="R249" s="5" t="inlineStr">
        <is>
          <t>Oonch Neech Beech (1989), his only film with Kapoor</t>
        </is>
      </c>
      <c r="S249" s="5" t="inlineStr">
        <is>
          <t>Parvez Mehdi is credited as a writer on Oonch Neech Beech, released in 1989 — the second of the two films the Varma family produced with Shashi Kapoor under the J. V. Films banner, fifteen years after Insaaniyat. No biography of the writer was found. A search of the name reaches an article about a Pakistani ghazal singer who died in 2005, which was rejected during research as almost certainly the wrong man: a celebrated classical vocalist writing a late Hindi commercial film is implausible, and nothing in that article connects him to screen work. No alternative was located under any variant. The entry is graded Low and rests on the film credit alone.</t>
        </is>
      </c>
      <c r="T249" s="5" t="inlineStr">
        <is>
          <t>SOURCE-119</t>
        </is>
      </c>
      <c r="U249" s="5" t="inlineStr">
        <is>
          <t>Low</t>
        </is>
      </c>
    </row>
    <row r="250" ht="109" customHeight="1">
      <c r="A250" s="15" t="inlineStr">
        <is>
          <t>PERSON-249</t>
        </is>
      </c>
      <c r="B250" s="5" t="inlineStr">
        <is>
          <t>Paul Bradley</t>
        </is>
      </c>
      <c r="C250" s="5" t="inlineStr">
        <is>
          <t>Producer</t>
        </is>
      </c>
      <c r="D250" s="18" t="n"/>
      <c r="E250" s="18" t="n"/>
      <c r="F250" s="5" t="n"/>
      <c r="G250" s="5" t="inlineStr">
        <is>
          <t>English-language international cinema</t>
        </is>
      </c>
      <c r="H250" s="5" t="inlineStr">
        <is>
          <t>No Wikipedia article exists for this producer. The name reaches a disambiguation page and an article about an English actor, both rejected during research as the wrong subject. The source data records his credit as executive producer; role qualifiers have been normalised out of the name fields across this workbook.</t>
        </is>
      </c>
      <c r="I250" s="5" t="n"/>
      <c r="J250" s="5" t="inlineStr">
        <is>
          <t>With Kapoor: In Custody (1993).</t>
        </is>
      </c>
      <c r="K250" s="19" t="inlineStr">
        <is>
          <t>Not established from a single credit.</t>
        </is>
      </c>
      <c r="L250" s="19" t="inlineStr">
        <is>
          <t>Not applicable; no biographical source was located.</t>
        </is>
      </c>
      <c r="M250" s="5" t="n"/>
      <c r="N250" s="19" t="inlineStr">
        <is>
          <t>Not established.</t>
        </is>
      </c>
      <c r="O250" s="19" t="inlineStr">
        <is>
          <t>One producing credit, on In Custody (1993), Ismail Merchant's (PERSON-006) directorial debut, produced with Wahid Chowhan and Donald Rosenfeld (PERSON-156), in which Kapoor plays the failing Urdu poet Nur — among the most admired performances of his late career.</t>
        </is>
      </c>
      <c r="P250" s="17" t="n">
        <v>1</v>
      </c>
      <c r="Q250" s="5" t="inlineStr">
        <is>
          <t>FILM-148</t>
        </is>
      </c>
      <c r="R250" s="5" t="inlineStr">
        <is>
          <t>In Custody (1993), his only film with Kapoor</t>
        </is>
      </c>
      <c r="S250" s="5" t="inlineStr">
        <is>
          <t>Paul Bradley is credited as an executive producer of In Custody, the 1993 film in which Shashi Kapoor gave one of the finest performances of his later years as a dissipated Urdu poet, and which brought him National Film Award recognition; Ismail Merchant directed, with Donald Rosenfeld and Wahid Chowhan also producing. No biography of Bradley was found: the name reaches a disambiguation page and an article about an English actor, both rejected during research as the wrong subject, and no alternative surfaced. This workbook normalises role qualifiers such as executive producer out of its name fields, so the qualifier is recorded here instead. The entry is graded Low.</t>
        </is>
      </c>
      <c r="T250" s="5" t="inlineStr">
        <is>
          <t>SOURCE-122</t>
        </is>
      </c>
      <c r="U250" s="5" t="inlineStr">
        <is>
          <t>Low</t>
        </is>
      </c>
    </row>
    <row r="251" ht="139" customHeight="1">
      <c r="A251" s="15" t="inlineStr">
        <is>
          <t>PERSON-250</t>
        </is>
      </c>
      <c r="B251" s="5" t="inlineStr">
        <is>
          <t>Paul Mayersberg</t>
        </is>
      </c>
      <c r="C251" s="5" t="inlineStr">
        <is>
          <t>Writer</t>
        </is>
      </c>
      <c r="D251" s="17" t="n">
        <v>1941</v>
      </c>
      <c r="E251" s="18" t="n"/>
      <c r="F251" s="5" t="n"/>
      <c r="G251" s="5" t="inlineStr">
        <is>
          <t>British cinema</t>
        </is>
      </c>
      <c r="H251" s="5" t="inlineStr">
        <is>
          <t>Born 18 June 1941. An English writer and director who was the film critic for Movie magazine in the early 1960s and the author of the 1968 book Hollywood, The Haunted House. He wrote several films for Nicolas Roeg before directing his own, beginning with Captive.</t>
        </is>
      </c>
      <c r="I251" s="5" t="inlineStr">
        <is>
          <t>Criticism from the early 1960s; screenwriting from the 1970s.</t>
        </is>
      </c>
      <c r="J251" s="5" t="inlineStr">
        <is>
          <t>With Kapoor: Siddhartha (1972). Elsewhere: screenplays for Nicolas Roeg, and Croupier.</t>
        </is>
      </c>
      <c r="K251" s="19" t="inlineStr">
        <is>
          <t>Dislocation and identity; the outsider in an unfamiliar system.</t>
        </is>
      </c>
      <c r="L251" s="19" t="inlineStr">
        <is>
          <t>A critic-turned-screenwriter with a taste for elliptical structure, formed in the same milieu as Roeg's cinema.</t>
        </is>
      </c>
      <c r="M251" s="5" t="inlineStr">
        <is>
          <t>A nomination for Best Motion Picture at the 2001 Edgar Awards for Croupier.</t>
        </is>
      </c>
      <c r="N251" s="19" t="inlineStr">
        <is>
          <t>A significant figure in British film criticism of the 1960s and subsequently a screenwriter associated with Nicolas Roeg's most distinctive work.</t>
        </is>
      </c>
      <c r="O251" s="19" t="inlineStr">
        <is>
          <t>One writing credit, on Siddhartha (1972), Conrad Rooks's (PERSON-144) adaptation of Hermann Hesse in which Kapoor plays the title role, written with Natasha Ullman (PERSON-239) and scored by Hemant Kumar (PERSON-179). The film is among the most distinctive entries in the English-language half of his career. His article does not mention Kapoor.</t>
        </is>
      </c>
      <c r="P251" s="17" t="n">
        <v>1</v>
      </c>
      <c r="Q251" s="5" t="inlineStr">
        <is>
          <t>FILM-041</t>
        </is>
      </c>
      <c r="R251" s="5" t="inlineStr">
        <is>
          <t>Siddhartha (1972), his only film with Kapoor</t>
        </is>
      </c>
      <c r="S251" s="5" t="inlineStr">
        <is>
          <t>Paul Mayersberg shares the writing credit on Siddhartha, Conrad Rooks's 1972 adaptation of Hermann Hesse, in which Shashi Kapoor plays the young Brahmin of the title — a leading role in a Western art film taken at the height of his Hindi commercial output. Mayersberg, born in 1941, had come to screenwriting from criticism: he wrote for Movie magazine in the early 1960s and published Hollywood, The Haunted House in 1968, before writing several films for Nicolas Roeg and eventually directing his own, beginning with Captive. Croupier brought him an Edgar Award nomination in 2001. His article does not mention Kapoor or Siddhartha specifically; the entry rests on it together with the film credit.</t>
        </is>
      </c>
      <c r="T251" s="5" t="inlineStr">
        <is>
          <t>SOURCE-262</t>
        </is>
      </c>
      <c r="U251" s="5" t="inlineStr">
        <is>
          <t>High</t>
        </is>
      </c>
    </row>
    <row r="252" ht="94" customHeight="1">
      <c r="A252" s="15" t="inlineStr">
        <is>
          <t>PERSON-251</t>
        </is>
      </c>
      <c r="B252" s="5" t="inlineStr">
        <is>
          <t>Pooja Kapoor</t>
        </is>
      </c>
      <c r="C252" s="5" t="inlineStr">
        <is>
          <t>Producer</t>
        </is>
      </c>
      <c r="D252" s="18" t="n"/>
      <c r="E252" s="18" t="n"/>
      <c r="F252" s="5" t="n"/>
      <c r="G252" s="5" t="inlineStr">
        <is>
          <t>Hindi cinema</t>
        </is>
      </c>
      <c r="H252" s="5" t="inlineStr">
        <is>
          <t>No Wikipedia article exists for her, and none was found under any variant spelling. She is not known to be related to the Kapoor film family. Everything here rests on the credit of the single film.</t>
        </is>
      </c>
      <c r="I252" s="5" t="n"/>
      <c r="J252" s="5" t="inlineStr">
        <is>
          <t>With Kapoor: Raiszaada (1991).</t>
        </is>
      </c>
      <c r="K252" s="19" t="inlineStr">
        <is>
          <t>Not established from a single credit.</t>
        </is>
      </c>
      <c r="L252" s="19" t="inlineStr">
        <is>
          <t>Not applicable; no biographical source was located.</t>
        </is>
      </c>
      <c r="M252" s="5" t="n"/>
      <c r="N252" s="19" t="inlineStr">
        <is>
          <t>Not established.</t>
        </is>
      </c>
      <c r="O252" s="19" t="inlineStr">
        <is>
          <t>One producing credit, on Raiszaada (1991), directed by Bharat Kapoor (PERSON-121) and scored by Bappi Lahiri (PERSON-004) — one of the last commercial films in which Kapoor appeared.</t>
        </is>
      </c>
      <c r="P252" s="17" t="n">
        <v>1</v>
      </c>
      <c r="Q252" s="5" t="inlineStr">
        <is>
          <t>FILM-145</t>
        </is>
      </c>
      <c r="R252" s="5" t="inlineStr">
        <is>
          <t>Raiszaada (1991), her only film with Kapoor</t>
        </is>
      </c>
      <c r="S252" s="5" t="inlineStr">
        <is>
          <t>Pooja Kapoor produced Raiszaada in 1991, her only credit in this filmography — a late commercial picture directed by Bharat Kapoor with songs by Bappi Lahiri, from the years in which Shashi Kapoor's screen appearances were becoming occasional. No Wikipedia article exists for her under this name or any variant attempted during research, and despite the surname she is not known to be connected to the Kapoor film family; the film's director shares it too, and is equally undocumented. The entry is graded Low and rests on the single film credit.</t>
        </is>
      </c>
      <c r="T252" s="5" t="inlineStr">
        <is>
          <t>SOURCE-121</t>
        </is>
      </c>
      <c r="U252" s="5" t="inlineStr">
        <is>
          <t>Low</t>
        </is>
      </c>
    </row>
    <row r="253" ht="94" customHeight="1">
      <c r="A253" s="15" t="inlineStr">
        <is>
          <t>PERSON-252</t>
        </is>
      </c>
      <c r="B253" s="5" t="inlineStr">
        <is>
          <t>Pradeep Sharma</t>
        </is>
      </c>
      <c r="C253" s="5" t="inlineStr">
        <is>
          <t>Producer</t>
        </is>
      </c>
      <c r="D253" s="18" t="n"/>
      <c r="E253" s="18" t="n"/>
      <c r="F253" s="5" t="n"/>
      <c r="G253" s="5" t="inlineStr">
        <is>
          <t>Hindi cinema</t>
        </is>
      </c>
      <c r="H253" s="5" t="inlineStr">
        <is>
          <t>No Wikipedia article exists for this producer. The name reaches a disambiguation page listing unrelated people, rejected during research. Everything here rests on the credit of the single film.</t>
        </is>
      </c>
      <c r="I253" s="5" t="n"/>
      <c r="J253" s="5" t="inlineStr">
        <is>
          <t>With Kapoor: Neeyat (1980).</t>
        </is>
      </c>
      <c r="K253" s="19" t="inlineStr">
        <is>
          <t>Not established from a single credit.</t>
        </is>
      </c>
      <c r="L253" s="19" t="inlineStr">
        <is>
          <t>Not applicable; no biographical source was located.</t>
        </is>
      </c>
      <c r="M253" s="5" t="n"/>
      <c r="N253" s="19" t="inlineStr">
        <is>
          <t>Not established.</t>
        </is>
      </c>
      <c r="O253" s="19" t="inlineStr">
        <is>
          <t>One producing credit, on Neeyat (1980), made with Manoj Kaytee (PERSON-220), directed by Anil Ganguly (PERSON-052) and scored by Kalyanji–Anandji (PERSON-002).</t>
        </is>
      </c>
      <c r="P253" s="17" t="n">
        <v>1</v>
      </c>
      <c r="Q253" s="5" t="inlineStr">
        <is>
          <t>FILM-093</t>
        </is>
      </c>
      <c r="R253" s="5" t="inlineStr">
        <is>
          <t>Neeyat (1980), his only film with Kapoor</t>
        </is>
      </c>
      <c r="S253" s="5" t="inlineStr">
        <is>
          <t>Pradeep Sharma produced Neeyat in 1980 with Manoj Kaytee, his only credit in this filmography — an Anil Ganguly film with an unusually crowded writing credit and a Kalyanji–Anandji score, from the turn of the decade when Shashi Kapoor was still working constantly but his run of major successes was ending. No biography was found: the name reaches only a disambiguation page listing unrelated individuals, which was rejected during research, and no alternative surfaced under any variant. The entry is graded Low and rests on the single film credit.</t>
        </is>
      </c>
      <c r="T253" s="5" t="inlineStr">
        <is>
          <t>SOURCE-077</t>
        </is>
      </c>
      <c r="U253" s="5" t="inlineStr">
        <is>
          <t>Low</t>
        </is>
      </c>
    </row>
    <row r="254" ht="109" customHeight="1">
      <c r="A254" s="15" t="inlineStr">
        <is>
          <t>PERSON-253</t>
        </is>
      </c>
      <c r="B254" s="5" t="inlineStr">
        <is>
          <t>Prafulla Roy</t>
        </is>
      </c>
      <c r="C254" s="5" t="inlineStr">
        <is>
          <t>Writer</t>
        </is>
      </c>
      <c r="D254" s="17" t="n">
        <v>1934</v>
      </c>
      <c r="E254" s="17" t="n">
        <v>2025</v>
      </c>
      <c r="F254" s="5" t="n"/>
      <c r="G254" s="5" t="inlineStr">
        <is>
          <t>Bengali literature and Hindi cinema</t>
        </is>
      </c>
      <c r="H254" s="5" t="inlineStr">
        <is>
          <t>Born 11 September 1934 in Atpara, Bikrampur District, Bengal Presidency; died 19 June 2025 in Kolkata. An Indian Bengali author who lived in West Bengal, honoured for his literary contribution in Bengali.</t>
        </is>
      </c>
      <c r="I254" s="5" t="inlineStr">
        <is>
          <t>Established as a novelist; his screen credits are occasional.</t>
        </is>
      </c>
      <c r="J254" s="5" t="inlineStr">
        <is>
          <t>With Kapoor: Atithee (1978). Elsewhere: the novel Keya Patar Nouko and Krantikal, for which he won the Sahitya Akademi Award in 2003.</t>
        </is>
      </c>
      <c r="K254" s="19" t="inlineStr">
        <is>
          <t>Displacement and partition; the lives of the rural and dispossessed of eastern India.</t>
        </is>
      </c>
      <c r="L254" s="19" t="inlineStr">
        <is>
          <t>A Bengali novelist of social realism whose work occasionally reached the Hindi screen.</t>
        </is>
      </c>
      <c r="M254" s="5" t="inlineStr">
        <is>
          <t>The Bankim Puraskar and the Sahitya Akademi Award, the latter in 2003 for his novel Krantikal.</t>
        </is>
      </c>
      <c r="N254" s="19" t="inlineStr">
        <is>
          <t>A significant Bengali novelist of the post-independence generation.</t>
        </is>
      </c>
      <c r="O254" s="19" t="inlineStr">
        <is>
          <t>One writing credit, on Atithee (1978), directed by Aravind Sen (PERSON-106) and scored by Kalyanji–Anandji (PERSON-002). As elsewhere in this filmography, a writer of serious literary standing appears on an otherwise routine commercial picture. His article does not mention Kapoor or the film.</t>
        </is>
      </c>
      <c r="P254" s="17" t="n">
        <v>1</v>
      </c>
      <c r="Q254" s="5" t="inlineStr">
        <is>
          <t>FILM-079</t>
        </is>
      </c>
      <c r="R254" s="5" t="inlineStr">
        <is>
          <t>Atithee (1978), his only film with Kapoor</t>
        </is>
      </c>
      <c r="S254" s="5" t="inlineStr">
        <is>
          <t>Prafulla Roy has a writing credit on Atithee, released in 1978 — a routine commercial picture directed by Aravind Sen with a Kalyanji–Anandji score, and another instance of the pattern this sheet records repeatedly, in which writers of real literary standing turn up on unremarkable Hindi films. Roy, born in 1934 in what is now Bangladesh, was a substantial Bengali novelist whose subject was displacement and the lives of the dispossessed; he received the Bankim Puraskar and, in 2003, the Sahitya Akademi Award for his novel Krantikal, and his Keya Patar Nouko is among his best-known books. He died in Kolkata in June 2025. His article does not mention Kapoor.</t>
        </is>
      </c>
      <c r="T254" s="5" t="inlineStr">
        <is>
          <t>SOURCE-263</t>
        </is>
      </c>
      <c r="U254" s="5" t="inlineStr">
        <is>
          <t>Medium</t>
        </is>
      </c>
    </row>
    <row r="255" ht="124" customHeight="1">
      <c r="A255" s="15" t="inlineStr">
        <is>
          <t>PERSON-254</t>
        </is>
      </c>
      <c r="B255" s="5" t="inlineStr">
        <is>
          <t>Prakash Trehan</t>
        </is>
      </c>
      <c r="C255" s="5" t="inlineStr">
        <is>
          <t>Producer</t>
        </is>
      </c>
      <c r="D255" s="18" t="n"/>
      <c r="E255" s="18" t="n"/>
      <c r="F255" s="5" t="n"/>
      <c r="G255" s="5" t="inlineStr">
        <is>
          <t>Hindi cinema</t>
        </is>
      </c>
      <c r="H255" s="5" t="inlineStr">
        <is>
          <t>No Wikipedia article exists for him, and none was found under any variant spelling. Everything here rests on the credit of the single film.</t>
        </is>
      </c>
      <c r="I255" s="5" t="n"/>
      <c r="J255" s="5" t="inlineStr">
        <is>
          <t>With Kapoor: Suhaag (1979).</t>
        </is>
      </c>
      <c r="K255" s="19" t="inlineStr">
        <is>
          <t>Not established from a single credit.</t>
        </is>
      </c>
      <c r="L255" s="19" t="inlineStr">
        <is>
          <t>Not applicable; no biographical source was located.</t>
        </is>
      </c>
      <c r="M255" s="5" t="n"/>
      <c r="N255" s="19" t="inlineStr">
        <is>
          <t>Not established, despite a credit on one of the largest hits of Kapoor's career.</t>
        </is>
      </c>
      <c r="O255" s="19" t="inlineStr">
        <is>
          <t>One producing credit, on Suhaag (1979) — among the biggest commercial successes of Kapoor's career — made with Ramesh Sharma (PERSON-080) and Rajinder Kumar Sharma (PERSON-275), directed by Manmohan Desai (PERSON-072) and written by Prayag Raj (PERSON-009), Kader Khan (PERSON-007) and K. K. Shukla (PERSON-191).</t>
        </is>
      </c>
      <c r="P255" s="17" t="n">
        <v>1</v>
      </c>
      <c r="Q255" s="5" t="inlineStr">
        <is>
          <t>FILM-087</t>
        </is>
      </c>
      <c r="R255" s="5" t="inlineStr">
        <is>
          <t>Suhaag (1979), his only film with Kapoor</t>
        </is>
      </c>
      <c r="S255" s="5" t="inlineStr">
        <is>
          <t>Prakash Trehan is one of three credited producers of Suhaag, released in 1979 and among the largest commercial successes of Shashi Kapoor's career — the Manmohan Desai lost-and-found picture in which he and Amitabh Bachchan play separated brothers. Ramesh Sharma and Rajinder Kumar Sharma share the producing credit, and none of the three has a Wikipedia article; nor does the film's principal writer, Prayag Raj. No source was located for Trehan under this name or any variant attempted during research. The entry is graded Low and rests on the single film credit.</t>
        </is>
      </c>
      <c r="T255" s="5" t="inlineStr">
        <is>
          <t>SOURCE-074</t>
        </is>
      </c>
      <c r="U255" s="5" t="inlineStr">
        <is>
          <t>Low</t>
        </is>
      </c>
    </row>
    <row r="256" ht="94" customHeight="1">
      <c r="A256" s="15" t="inlineStr">
        <is>
          <t>PERSON-255</t>
        </is>
      </c>
      <c r="B256" s="5" t="inlineStr">
        <is>
          <t>Pranlal Mehta</t>
        </is>
      </c>
      <c r="C256" s="5" t="inlineStr">
        <is>
          <t>Producer</t>
        </is>
      </c>
      <c r="D256" s="18" t="n"/>
      <c r="E256" s="18" t="n"/>
      <c r="F256" s="5" t="n"/>
      <c r="G256" s="5" t="inlineStr">
        <is>
          <t>Hindi cinema</t>
        </is>
      </c>
      <c r="H256" s="5" t="inlineStr">
        <is>
          <t>No Wikipedia article exists for him, and none was found under any variant spelling. Everything here rests on the credit of the single film.</t>
        </is>
      </c>
      <c r="I256" s="5" t="n"/>
      <c r="J256" s="5" t="inlineStr">
        <is>
          <t>With Kapoor: Bezubaan (1982).</t>
        </is>
      </c>
      <c r="K256" s="19" t="inlineStr">
        <is>
          <t>Not established from a single credit.</t>
        </is>
      </c>
      <c r="L256" s="19" t="inlineStr">
        <is>
          <t>Not applicable; no biographical source was located.</t>
        </is>
      </c>
      <c r="M256" s="5" t="n"/>
      <c r="N256" s="19" t="inlineStr">
        <is>
          <t>Not established.</t>
        </is>
      </c>
      <c r="O256" s="19" t="inlineStr">
        <is>
          <t>One producing credit, on Bezubaan (1982), directed by the Telugu filmmaker Bapu (PERSON-118), adapted from a Tamil film with a story by Ved Rahi (PERSON-086) and a screenplay by Bhushan Banmali (PERSON-123), and scored by Raamlaxman (PERSON-266).</t>
        </is>
      </c>
      <c r="P256" s="17" t="n">
        <v>1</v>
      </c>
      <c r="Q256" s="5" t="inlineStr">
        <is>
          <t>FILM-102</t>
        </is>
      </c>
      <c r="R256" s="5" t="inlineStr">
        <is>
          <t>Bezubaan (1982), his only film with Kapoor</t>
        </is>
      </c>
      <c r="S256" s="5" t="inlineStr">
        <is>
          <t>Pranlal Mehta produced Bezubaan in 1982, his only credit in this filmography — a Hindi remake of the Tamil Mayangukiral Oru Maadhu, directed by the Telugu filmmaker and illustrator Bapu, with a story by the Dogri writer Ved Rahi, a screenplay by Bhushan Banmali and songs by Raamlaxman. The mix of languages and traditions behind a single commercial picture is characteristic of how the industry worked. No Wikipedia article exists for Mehta under this name or any variant attempted during research, and no other biographical source was located. The entry is graded Low.</t>
        </is>
      </c>
      <c r="T256" s="5" t="inlineStr">
        <is>
          <t>SOURCE-089</t>
        </is>
      </c>
      <c r="U256" s="5" t="inlineStr">
        <is>
          <t>Low</t>
        </is>
      </c>
    </row>
    <row r="257" ht="139" customHeight="1">
      <c r="A257" s="15" t="inlineStr">
        <is>
          <t>PERSON-256</t>
        </is>
      </c>
      <c r="B257" s="5" t="inlineStr">
        <is>
          <t>Preeti Bedi</t>
        </is>
      </c>
      <c r="C257" s="5" t="inlineStr">
        <is>
          <t>Writer</t>
        </is>
      </c>
      <c r="D257" s="18" t="n"/>
      <c r="E257" s="18" t="n"/>
      <c r="F257" s="5" t="n"/>
      <c r="G257" s="5" t="inlineStr">
        <is>
          <t>Hindi cinema</t>
        </is>
      </c>
      <c r="H257" s="5" t="inlineStr">
        <is>
          <t>No Wikipedia article exists for her, and none was found under any variant spelling. Everything here rests on the credit of the single film.</t>
        </is>
      </c>
      <c r="I257" s="5" t="n"/>
      <c r="J257" s="5" t="inlineStr">
        <is>
          <t>With Kapoor: Silsila (1981).</t>
        </is>
      </c>
      <c r="K257" s="19" t="inlineStr">
        <is>
          <t>Not established from a single credit.</t>
        </is>
      </c>
      <c r="L257" s="19" t="inlineStr">
        <is>
          <t>Not established; no biographical source was located.</t>
        </is>
      </c>
      <c r="M257" s="5" t="n"/>
      <c r="N257" s="19" t="inlineStr">
        <is>
          <t>Not established.</t>
        </is>
      </c>
      <c r="O257" s="19" t="inlineStr">
        <is>
          <t>One writing credit, on Silsila (1981), directed, produced and co-written by Yash Chopra (PERSON-005), written also by Sagar Sarhadi (PERSON-020) and scored by Shiv–Hari, and released under the Yash Raj Films banner (PERSON-025). It is among the most discussed romantic films of Kapoor's later career, though his own part in it is the subordinate one.</t>
        </is>
      </c>
      <c r="P257" s="17" t="n">
        <v>1</v>
      </c>
      <c r="Q257" s="5" t="inlineStr">
        <is>
          <t>FILM-101</t>
        </is>
      </c>
      <c r="R257" s="5" t="inlineStr">
        <is>
          <t>Silsila (1981), her only film with Kapoor</t>
        </is>
      </c>
      <c r="S257" s="5" t="inlineStr">
        <is>
          <t>Preeti Bedi shares a writing credit on Silsila, released in 1981 — Yash Chopra's film about adultery and obligation, which he directed, produced and co-wrote with Sagar Sarhadi, with music by Shiv–Hari. It is among the most discussed romantic films of Shashi Kapoor's later career, although the romantic centre belongs to Amitabh Bachchan and Rekha and Kapoor's own role is the subordinate one — a pattern this workbook records across his Chopra ensembles. No Wikipedia article exists for Bedi under this name or any variant attempted during research, and no other biographical source was located. The entry is graded Low.</t>
        </is>
      </c>
      <c r="T257" s="5" t="inlineStr">
        <is>
          <t>SOURCE-082</t>
        </is>
      </c>
      <c r="U257" s="5" t="inlineStr">
        <is>
          <t>Low</t>
        </is>
      </c>
    </row>
    <row r="258" ht="94" customHeight="1">
      <c r="A258" s="15" t="inlineStr">
        <is>
          <t>PERSON-257</t>
        </is>
      </c>
      <c r="B258" s="5" t="inlineStr">
        <is>
          <t>Preeti Sapru</t>
        </is>
      </c>
      <c r="C258" s="5" t="inlineStr">
        <is>
          <t>Writer</t>
        </is>
      </c>
      <c r="D258" s="18" t="n"/>
      <c r="E258" s="18" t="n"/>
      <c r="F258" s="5" t="n"/>
      <c r="G258" s="5" t="inlineStr">
        <is>
          <t>Hindi cinema</t>
        </is>
      </c>
      <c r="H258" s="5" t="inlineStr">
        <is>
          <t>No Wikipedia article exists for this writer. The name reaches an article about the Indian actress Priti Sapru, which was rejected during research as probably a different person, since the credit here is for writing. Everything else rests on the credit of the single film.</t>
        </is>
      </c>
      <c r="I258" s="5" t="n"/>
      <c r="J258" s="5" t="inlineStr">
        <is>
          <t>With Kapoor: Zameen Aasmaan (1984).</t>
        </is>
      </c>
      <c r="K258" s="19" t="inlineStr">
        <is>
          <t>Not established from a single credit.</t>
        </is>
      </c>
      <c r="L258" s="19" t="inlineStr">
        <is>
          <t>Not established; no biographical source was located.</t>
        </is>
      </c>
      <c r="M258" s="5" t="n"/>
      <c r="N258" s="19" t="inlineStr">
        <is>
          <t>Not established.</t>
        </is>
      </c>
      <c r="O258" s="19" t="inlineStr">
        <is>
          <t>One writing credit, on Zameen Aasmaan (1984), directed by Bharat Rangachary (PERSON-122), written also by Sachin Bhowmick (PERSON-012) and Rahi Masoom Reza (PERSON-035), and scored by R. D. Burman (PERSON-003).</t>
        </is>
      </c>
      <c r="P258" s="17" t="n">
        <v>1</v>
      </c>
      <c r="Q258" s="5" t="inlineStr">
        <is>
          <t>FILM-113</t>
        </is>
      </c>
      <c r="R258" s="5" t="inlineStr">
        <is>
          <t>Zameen Aasmaan (1984), her only film with Kapoor</t>
        </is>
      </c>
      <c r="S258" s="5" t="inlineStr">
        <is>
          <t>Preeti Sapru shares a writing credit on Zameen Aasmaan, released in 1984 — a commercial picture with an unexpectedly strong line-up, directed by Bharat Rangachary, written with Sachin Bhowmick and the Urdu novelist Rahi Masoom Reza, and scored by R. D. Burman. No biography of the writer was established. A search of the name reaches the article on the actress Priti Sapru, which was rejected during research as probably a different person: nothing in it records screen writing, and accepting it would have attributed a writing credit to a performer on no evidence. The entry is graded Low and rests on the film credit alone.</t>
        </is>
      </c>
      <c r="T258" s="5" t="inlineStr">
        <is>
          <t>SOURCE-094</t>
        </is>
      </c>
      <c r="U258" s="5" t="inlineStr">
        <is>
          <t>Low</t>
        </is>
      </c>
    </row>
    <row r="259" ht="184" customHeight="1">
      <c r="A259" s="15" t="inlineStr">
        <is>
          <t>PERSON-258</t>
        </is>
      </c>
      <c r="B259" s="5" t="inlineStr">
        <is>
          <t>Premji</t>
        </is>
      </c>
      <c r="C259" s="5" t="inlineStr">
        <is>
          <t>Producer</t>
        </is>
      </c>
      <c r="D259" s="18" t="n"/>
      <c r="E259" s="18" t="n"/>
      <c r="F259" s="5" t="n"/>
      <c r="G259" s="5" t="inlineStr">
        <is>
          <t>Hindi cinema</t>
        </is>
      </c>
      <c r="H259" s="5" t="inlineStr">
        <is>
          <t>No biography of this producer was established. The name reaches the article on Premji — M. P. Bhattathiripad, the Kerala social reformer, writer and actor (1908–1998) who won the National Film Award for Best Actor for the Malayalam film Piravi — which was rejected during research as almost certainly a different person: a Nambudiri social reformer and Malayalam stage actor producing a Bombay masala multi-starrer in 1977 is implausible on its face, and nothing in that article records Hindi film production. Everything here rests on the credit of the single film.</t>
        </is>
      </c>
      <c r="I259" s="5" t="n"/>
      <c r="J259" s="5" t="inlineStr">
        <is>
          <t>With Kapoor: Immaan Dharam (1977).</t>
        </is>
      </c>
      <c r="K259" s="19" t="inlineStr">
        <is>
          <t>Not established from a single credit.</t>
        </is>
      </c>
      <c r="L259" s="19" t="inlineStr">
        <is>
          <t>Not applicable; no reliable biographical source was located.</t>
        </is>
      </c>
      <c r="M259" s="5" t="n"/>
      <c r="N259" s="19" t="inlineStr">
        <is>
          <t>Not established.</t>
        </is>
      </c>
      <c r="O259" s="19" t="inlineStr">
        <is>
          <t>One producing credit, on Immaan Dharam (1977), made under the Suchitra Films banner, directed by Desh Mukherjee (PERSON-151), written by Salim–Javed (PERSON-010) and scored by Laxmikant–Pyarelal (PERSON-001). It is one of the six Salim–Javed films in this filmography and part of the multi-starrer cycle at the centre of Kapoor's peak.</t>
        </is>
      </c>
      <c r="P259" s="17" t="n">
        <v>1</v>
      </c>
      <c r="Q259" s="5" t="inlineStr">
        <is>
          <t>FILM-067</t>
        </is>
      </c>
      <c r="R259" s="5" t="inlineStr">
        <is>
          <t>Immaan Dharam (1977), his only film with Kapoor</t>
        </is>
      </c>
      <c r="S259" s="5" t="inlineStr">
        <is>
          <t>Premji produced Immaan Dharam in 1977 under the Suchitra Films banner — one of the six Salim–Javed scripts in this filmography, directed by Desh Mukherjee and scored by Laxmikant–Pyarelal, and part of the multi-starrer cycle that defines Shashi Kapoor's peak years. Identifying him proved impossible. The Wikipedia article at this name belongs to M. P. Bhattathiripad, the Kerala social reformer and Malayalam stage actor who won a National Film Award for Piravi in 1989, and it was rejected during research: a Nambudiri reformer producing a Bombay masala multi-starrer is implausible, and his article records no Hindi production work. No alternative was found, so the entry rests on the film credit alone and is graded Low.</t>
        </is>
      </c>
      <c r="T259" s="5" t="inlineStr">
        <is>
          <t>SOURCE-052</t>
        </is>
      </c>
      <c r="U259" s="5" t="inlineStr">
        <is>
          <t>Low</t>
        </is>
      </c>
    </row>
    <row r="260" ht="124" customHeight="1">
      <c r="A260" s="15" t="inlineStr">
        <is>
          <t>PERSON-259</t>
        </is>
      </c>
      <c r="B260" s="5" t="inlineStr">
        <is>
          <t>Qamar Jalalabadi</t>
        </is>
      </c>
      <c r="C260" s="5" t="inlineStr">
        <is>
          <t>Writer</t>
        </is>
      </c>
      <c r="D260" s="17" t="n">
        <v>1917</v>
      </c>
      <c r="E260" s="17" t="n">
        <v>2003</v>
      </c>
      <c r="F260" s="5" t="n"/>
      <c r="G260" s="5" t="inlineStr">
        <is>
          <t>Hindi cinema</t>
        </is>
      </c>
      <c r="H260" s="5" t="inlineStr">
        <is>
          <t>Born Om Prakash Bhandari on 9 March 1917; died 9 January 2003. An Indian poet and lyricist of songs for Hindi films, who also composed the title track of the television serial Vikram Aur Betaal.</t>
        </is>
      </c>
      <c r="I260" s="5" t="inlineStr">
        <is>
          <t>Writing for films from the 1940s.</t>
        </is>
      </c>
      <c r="J260" s="5" t="inlineStr">
        <is>
          <t>With Kapoor: Samadhi (1950). Elsewhere, a long career as a film lyricist and the Vikram Aur Betaal title song.</t>
        </is>
      </c>
      <c r="K260" s="19" t="inlineStr">
        <is>
          <t>Film lyrics in the classical Urdu-Hindi tradition of the 1940s and 1950s.</t>
        </is>
      </c>
      <c r="L260" s="19" t="inlineStr">
        <is>
          <t>A lyricist of the studio era, working in the melodic idiom of the period.</t>
        </is>
      </c>
      <c r="M260" s="5" t="inlineStr">
        <is>
          <t>His article places him among Filmfare Award winners without specifying the citation.</t>
        </is>
      </c>
      <c r="N260" s="19" t="inlineStr">
        <is>
          <t>A durable lyricist of Hindi cinema's studio era whose work reached into the television age.</t>
        </is>
      </c>
      <c r="O260" s="19" t="inlineStr">
        <is>
          <t>One writing credit, on Samadhi (1950) — a Filmistan (PERSON-013) production scored by C. Ramchandra (PERSON-028) and one of Kapoor's child-actor films, made when he was twelve and billed as Shashiraj. The credit belongs to the very beginning of the filmography, two decades before his own peak. His article does not mention Kapoor.</t>
        </is>
      </c>
      <c r="P260" s="17" t="n">
        <v>1</v>
      </c>
      <c r="Q260" s="5" t="inlineStr">
        <is>
          <t>FILM-003</t>
        </is>
      </c>
      <c r="R260" s="5" t="inlineStr">
        <is>
          <t>Samadhi (1950), his only film with Kapoor</t>
        </is>
      </c>
      <c r="S260" s="5" t="inlineStr">
        <is>
          <t>Qamar Jalalabadi has a writing credit on Samadhi, released in 1950 — a Filmistan production scored by C. Ramchandra and one of the child-actor films in which the twelve-year-old Shashi Kapoor appeared as Shashiraj, playing the younger brother of Ashok Kumar's character. Born Om Prakash Bhandari in 1917, Jalalabadi was principally a lyricist, writing film songs across the studio era and beyond; late in life he composed the title track of the television serial Vikram Aur Betaal, which reached an audience far larger than most of his films. He died in 2003. His article is brief and does not mention Kapoor; this entry rests on it together with the single credit.</t>
        </is>
      </c>
      <c r="T260" s="5" t="inlineStr">
        <is>
          <t>SOURCE-265</t>
        </is>
      </c>
      <c r="U260" s="5" t="inlineStr">
        <is>
          <t>Medium</t>
        </is>
      </c>
    </row>
    <row r="261" ht="109" customHeight="1">
      <c r="A261" s="15" t="inlineStr">
        <is>
          <t>PERSON-260</t>
        </is>
      </c>
      <c r="B261" s="5" t="inlineStr">
        <is>
          <t>R. A. Baqueri</t>
        </is>
      </c>
      <c r="C261" s="5" t="inlineStr">
        <is>
          <t>Writer</t>
        </is>
      </c>
      <c r="D261" s="18" t="n"/>
      <c r="E261" s="18" t="n"/>
      <c r="F261" s="5" t="n"/>
      <c r="G261" s="5" t="inlineStr">
        <is>
          <t>Hindi cinema</t>
        </is>
      </c>
      <c r="H261" s="5" t="inlineStr">
        <is>
          <t>No Wikipedia article exists for him, and none was found under any variant spelling. Everything here rests on the credit of the single film.</t>
        </is>
      </c>
      <c r="I261" s="5" t="n"/>
      <c r="J261" s="5" t="inlineStr">
        <is>
          <t>With Kapoor: Kanyadaan (1968).</t>
        </is>
      </c>
      <c r="K261" s="19" t="inlineStr">
        <is>
          <t>Not established from a single credit.</t>
        </is>
      </c>
      <c r="L261" s="19" t="inlineStr">
        <is>
          <t>Not established; no biographical source was located.</t>
        </is>
      </c>
      <c r="M261" s="5" t="n"/>
      <c r="N261" s="19" t="inlineStr">
        <is>
          <t>Not established.</t>
        </is>
      </c>
      <c r="O261" s="19" t="inlineStr">
        <is>
          <t>One writing credit, on Kanyadaan (1968), directed by Mohan Segal (PERSON-227), produced by Rajendra Bhatia (PERSON-272) under the Kiron Productions banner (PERSON-203) and scored by Shankar–Jaikishan (PERSON-008) — a substantial success of Kapoor's early star period.</t>
        </is>
      </c>
      <c r="P261" s="17" t="n">
        <v>1</v>
      </c>
      <c r="Q261" s="5" t="inlineStr">
        <is>
          <t>FILM-026</t>
        </is>
      </c>
      <c r="R261" s="5" t="inlineStr">
        <is>
          <t>Kanyadaan (1968), his only film with Kapoor</t>
        </is>
      </c>
      <c r="S261" s="5" t="inlineStr">
        <is>
          <t>R. A. Baqueri wrote Kanyadaan, released in 1968 — a Mohan Segal film with a Shankar–Jaikishan score, and one of the more substantial successes of Shashi Kapoor's early years as a star, when he was building on the position Jab Jab Phool Khile had won him three years earlier. No Wikipedia article exists for Baqueri under this name or any variant attempted during research, and no other biographical source was located, so nothing can be said of his other work or his dates. The entry is graded Low and rests on the single film credit.</t>
        </is>
      </c>
      <c r="T261" s="5" t="inlineStr">
        <is>
          <t>SOURCE-019</t>
        </is>
      </c>
      <c r="U261" s="5" t="inlineStr">
        <is>
          <t>Low</t>
        </is>
      </c>
    </row>
    <row r="262" ht="109" customHeight="1">
      <c r="A262" s="15" t="inlineStr">
        <is>
          <t>PERSON-261</t>
        </is>
      </c>
      <c r="B262" s="5" t="inlineStr">
        <is>
          <t>R. K. Bannerjee</t>
        </is>
      </c>
      <c r="C262" s="5" t="inlineStr">
        <is>
          <t>Writer</t>
        </is>
      </c>
      <c r="D262" s="18" t="n"/>
      <c r="E262" s="18" t="n"/>
      <c r="F262" s="5" t="n"/>
      <c r="G262" s="5" t="inlineStr">
        <is>
          <t>Hindi cinema</t>
        </is>
      </c>
      <c r="H262" s="5" t="inlineStr">
        <is>
          <t>No Wikipedia article exists for him, and none was found under any variant spelling. Everything here rests on the credit of the single film.</t>
        </is>
      </c>
      <c r="I262" s="5" t="n"/>
      <c r="J262" s="5" t="inlineStr">
        <is>
          <t>With Kapoor: Fakira (1976).</t>
        </is>
      </c>
      <c r="K262" s="19" t="inlineStr">
        <is>
          <t>Not established from a single credit.</t>
        </is>
      </c>
      <c r="L262" s="19" t="inlineStr">
        <is>
          <t>Not established; no biographical source was located.</t>
        </is>
      </c>
      <c r="M262" s="5" t="n"/>
      <c r="N262" s="19" t="inlineStr">
        <is>
          <t>Not established.</t>
        </is>
      </c>
      <c r="O262" s="19" t="inlineStr">
        <is>
          <t>One writing credit, on Fakira (1976), directed by C. P. Dixit (PERSON-135), produced by N. N. Sippy (PERSON-075), written also by S. M. Abbas (PERSON-011) and Dhruva Chatterjee (PERSON-029), and scored by Ravindra Jain (PERSON-018) — largely the team that had made Chor Machaye Shor two years earlier.</t>
        </is>
      </c>
      <c r="P262" s="17" t="n">
        <v>1</v>
      </c>
      <c r="Q262" s="5" t="inlineStr">
        <is>
          <t>FILM-062</t>
        </is>
      </c>
      <c r="R262" s="5" t="inlineStr">
        <is>
          <t>Fakira (1976), his only film with Kapoor</t>
        </is>
      </c>
      <c r="S262" s="5" t="inlineStr">
        <is>
          <t>R. K. Bannerjee shares a writing credit on Fakira, released in 1976 — a film that reassembled most of the unit behind Chor Machaye Shor, the 1974 success that had transformed Shashi Kapoor's commercial standing: N. N. Sippy produced both, S. M. Abbas and Dhruva Chatterjee wrote both, and Ravindra Jain scored both, with only the director changed. No Wikipedia article exists for Bannerjee under this name or any variant attempted during research, and no other biographical source was located. The entry is graded Low and rests on the single film credit.</t>
        </is>
      </c>
      <c r="T262" s="5" t="inlineStr">
        <is>
          <t>SOURCE-047</t>
        </is>
      </c>
      <c r="U262" s="5" t="inlineStr">
        <is>
          <t>Low</t>
        </is>
      </c>
    </row>
    <row r="263" ht="94" customHeight="1">
      <c r="A263" s="15" t="inlineStr">
        <is>
          <t>PERSON-262</t>
        </is>
      </c>
      <c r="B263" s="5" t="inlineStr">
        <is>
          <t>R. K. Gupta</t>
        </is>
      </c>
      <c r="C263" s="5" t="inlineStr">
        <is>
          <t>Producer</t>
        </is>
      </c>
      <c r="D263" s="18" t="n"/>
      <c r="E263" s="18" t="n"/>
      <c r="F263" s="5" t="n"/>
      <c r="G263" s="5" t="inlineStr">
        <is>
          <t>Hindi cinema</t>
        </is>
      </c>
      <c r="H263" s="5" t="inlineStr">
        <is>
          <t>No Wikipedia article exists for him, and none was found under any variant spelling. Everything here rests on the credit of the single film.</t>
        </is>
      </c>
      <c r="I263" s="5" t="n"/>
      <c r="J263" s="5" t="inlineStr">
        <is>
          <t>With Kapoor: Ijaazat (1987).</t>
        </is>
      </c>
      <c r="K263" s="19" t="inlineStr">
        <is>
          <t>Not established from a single credit.</t>
        </is>
      </c>
      <c r="L263" s="19" t="inlineStr">
        <is>
          <t>Not applicable; no biographical source was located.</t>
        </is>
      </c>
      <c r="M263" s="5" t="n"/>
      <c r="N263" s="19" t="inlineStr">
        <is>
          <t>Not established, despite financing one of the most admired films of Kapoor's later career.</t>
        </is>
      </c>
      <c r="O263" s="19" t="inlineStr">
        <is>
          <t>One producing credit, on Ijaazat (1987), written and directed by Gulzar (PERSON-031) and scored by R. D. Burman (PERSON-003) — a three-hander on marriage and its remainder, and among the most critically admired films of Kapoor's late period.</t>
        </is>
      </c>
      <c r="P263" s="17" t="n">
        <v>1</v>
      </c>
      <c r="Q263" s="5" t="inlineStr">
        <is>
          <t>FILM-131</t>
        </is>
      </c>
      <c r="R263" s="5" t="inlineStr">
        <is>
          <t>Ijaazat (1987), his only film with Kapoor</t>
        </is>
      </c>
      <c r="S263" s="5" t="inlineStr">
        <is>
          <t>R. K. Gupta produced Ijaazat, released in 1987 — Gulzar's quiet study of a marriage reconstructed in a railway waiting room, with one of R. D. Burman's most admired late scores, and among the best-regarded films of Shashi Kapoor's later career. The romantic material in it is retrospective and unresolved rather than courtship-driven, which makes it unusual within the patterns this workbook measures. Of the man who financed it nothing could be established: no Wikipedia article exists under this name or any variant attempted during research, and no other biographical source was located. The entry is graded Low.</t>
        </is>
      </c>
      <c r="T263" s="5" t="inlineStr">
        <is>
          <t>SOURCE-106</t>
        </is>
      </c>
      <c r="U263" s="5" t="inlineStr">
        <is>
          <t>Low</t>
        </is>
      </c>
    </row>
    <row r="264" ht="94" customHeight="1">
      <c r="A264" s="15" t="inlineStr">
        <is>
          <t>PERSON-263</t>
        </is>
      </c>
      <c r="B264" s="5" t="inlineStr">
        <is>
          <t>R. P. Swamy</t>
        </is>
      </c>
      <c r="C264" s="5" t="inlineStr">
        <is>
          <t>Director</t>
        </is>
      </c>
      <c r="D264" s="18" t="n"/>
      <c r="E264" s="18" t="n"/>
      <c r="F264" s="5" t="n"/>
      <c r="G264" s="5" t="inlineStr">
        <is>
          <t>Hindi cinema</t>
        </is>
      </c>
      <c r="H264" s="5" t="inlineStr">
        <is>
          <t>No Wikipedia article exists for him, and none was found under any variant spelling. Everything here rests on the credit of the single film.</t>
        </is>
      </c>
      <c r="I264" s="5" t="n"/>
      <c r="J264" s="5" t="inlineStr">
        <is>
          <t>With Kapoor: Farz Ki Jung (1989).</t>
        </is>
      </c>
      <c r="K264" s="19" t="inlineStr">
        <is>
          <t>Not established from a single credit.</t>
        </is>
      </c>
      <c r="L264" s="19" t="inlineStr">
        <is>
          <t>Not established; no biographical source was located.</t>
        </is>
      </c>
      <c r="M264" s="5" t="n"/>
      <c r="N264" s="19" t="inlineStr">
        <is>
          <t>Not established.</t>
        </is>
      </c>
      <c r="O264" s="19" t="inlineStr">
        <is>
          <t>One directing credit, on Farz Ki Jung (1989), produced by Dalwinder Sohal (PERSON-148), written by Amrit Aryan (PERSON-098) and scored by Bappi Lahiri (PERSON-004) — a late action picture in which Kapoor appears in support.</t>
        </is>
      </c>
      <c r="P264" s="17" t="n">
        <v>1</v>
      </c>
      <c r="Q264" s="5" t="inlineStr">
        <is>
          <t>FILM-141</t>
        </is>
      </c>
      <c r="R264" s="5" t="inlineStr">
        <is>
          <t>Farz Ki Jung (1989), his only film with Kapoor</t>
        </is>
      </c>
      <c r="S264" s="5" t="inlineStr">
        <is>
          <t>R. P. Swamy directed Farz Ki Jung in 1989, his only credit in this filmography — a late commercial action film produced by Dalwinder Sohal, written by Amrit Aryan and scored by Bappi Lahiri, from the phase in which Shashi Kapoor appeared in support of younger leads. None of the film's principal credits except the composer's has a surviving biographical record. No Wikipedia article exists for Swamy under this name or any variant attempted during research, and no other source was located. The entry is graded Low.</t>
        </is>
      </c>
      <c r="T264" s="5" t="inlineStr">
        <is>
          <t>SOURCE-115</t>
        </is>
      </c>
      <c r="U264" s="5" t="inlineStr">
        <is>
          <t>Low</t>
        </is>
      </c>
    </row>
    <row r="265" ht="94" customHeight="1">
      <c r="A265" s="15" t="inlineStr">
        <is>
          <t>PERSON-264</t>
        </is>
      </c>
      <c r="B265" s="5" t="inlineStr">
        <is>
          <t>R. S. Sharma</t>
        </is>
      </c>
      <c r="C265" s="5" t="inlineStr">
        <is>
          <t>Producer</t>
        </is>
      </c>
      <c r="D265" s="18" t="n"/>
      <c r="E265" s="18" t="n"/>
      <c r="F265" s="5" t="n"/>
      <c r="G265" s="5" t="inlineStr">
        <is>
          <t>Hindi cinema</t>
        </is>
      </c>
      <c r="H265" s="5" t="inlineStr">
        <is>
          <t>No Wikipedia article exists for this producer. The name reaches a disambiguation page listing unrelated people, rejected during research. Everything here rests on the credit of the single film.</t>
        </is>
      </c>
      <c r="I265" s="5" t="n"/>
      <c r="J265" s="5" t="inlineStr">
        <is>
          <t>With Kapoor: Patanga (1971).</t>
        </is>
      </c>
      <c r="K265" s="19" t="inlineStr">
        <is>
          <t>Not established from a single credit.</t>
        </is>
      </c>
      <c r="L265" s="19" t="inlineStr">
        <is>
          <t>Not applicable; no biographical source was located.</t>
        </is>
      </c>
      <c r="M265" s="5" t="n"/>
      <c r="N265" s="19" t="inlineStr">
        <is>
          <t>Not established.</t>
        </is>
      </c>
      <c r="O265" s="19" t="inlineStr">
        <is>
          <t>One producing credit, on Patanga (1971), directed and produced also by Kedar Kapoor (PERSON-197) and scored by Shankar–Jaikishan (PERSON-008) — one of the credits issued under the joint name in the year Jaikishan died.</t>
        </is>
      </c>
      <c r="P265" s="17" t="n">
        <v>1</v>
      </c>
      <c r="Q265" s="5" t="inlineStr">
        <is>
          <t>FILM-038</t>
        </is>
      </c>
      <c r="R265" s="5" t="inlineStr">
        <is>
          <t>Patanga (1971), his only film with Kapoor</t>
        </is>
      </c>
      <c r="S265" s="5" t="inlineStr">
        <is>
          <t>R. S. Sharma produced Patanga in 1971 alongside Kedar Kapoor, who also directed, his only credit in this filmography. The film carries a Shankar–Jaikishan score from the year of Jaikishan's death, when Shankar continued to work under the joint name. No biography of Sharma was found: the name reaches only a disambiguation page of unrelated individuals, rejected during research, and no alternative surfaced under any variant spelling. The entry is graded Low and rests on the single film credit.</t>
        </is>
      </c>
      <c r="T265" s="5" t="inlineStr">
        <is>
          <t>SOURCE-030</t>
        </is>
      </c>
      <c r="U265" s="5" t="inlineStr">
        <is>
          <t>Low</t>
        </is>
      </c>
    </row>
    <row r="266" ht="79" customHeight="1">
      <c r="A266" s="15" t="inlineStr">
        <is>
          <t>PERSON-265</t>
        </is>
      </c>
      <c r="B266" s="5" t="inlineStr">
        <is>
          <t>R. Soni</t>
        </is>
      </c>
      <c r="C266" s="5" t="inlineStr">
        <is>
          <t>Producer</t>
        </is>
      </c>
      <c r="D266" s="18" t="n"/>
      <c r="E266" s="18" t="n"/>
      <c r="F266" s="5" t="n"/>
      <c r="G266" s="5" t="inlineStr">
        <is>
          <t>Hindi cinema</t>
        </is>
      </c>
      <c r="H266" s="5" t="inlineStr">
        <is>
          <t>No Wikipedia article exists for him, and none was found under any variant spelling. Everything here rests on the credit of the single film.</t>
        </is>
      </c>
      <c r="I266" s="5" t="n"/>
      <c r="J266" s="5" t="inlineStr">
        <is>
          <t>With Kapoor: Aahuti (1978).</t>
        </is>
      </c>
      <c r="K266" s="19" t="inlineStr">
        <is>
          <t>Not established from a single credit.</t>
        </is>
      </c>
      <c r="L266" s="19" t="inlineStr">
        <is>
          <t>Not applicable; no biographical source was located.</t>
        </is>
      </c>
      <c r="M266" s="5" t="n"/>
      <c r="N266" s="19" t="inlineStr">
        <is>
          <t>Not established.</t>
        </is>
      </c>
      <c r="O266" s="19" t="inlineStr">
        <is>
          <t>One producing credit, on Aahuti (1978), directed by Ashok V. Bhushan (PERSON-109) and scored by Laxmikant–Pyarelal (PERSON-001), from the busiest year of Kapoor's career.</t>
        </is>
      </c>
      <c r="P266" s="17" t="n">
        <v>1</v>
      </c>
      <c r="Q266" s="5" t="inlineStr">
        <is>
          <t>FILM-077</t>
        </is>
      </c>
      <c r="R266" s="5" t="inlineStr">
        <is>
          <t>Aahuti (1978), his only film with Kapoor</t>
        </is>
      </c>
      <c r="S266" s="5" t="inlineStr">
        <is>
          <t>R. Soni produced Aahuti in 1978, his only credit in this filmography — a commercial picture directed by Ashok V. Bhushan with a Laxmikant–Pyarelal score, from the year in which Shashi Kapoor's output was at its heaviest and his working rate had become a standing observation in the industry. Neither the producer nor the director has any surviving biographical record: no Wikipedia article exists for Soni under this name or any variant attempted during research, and none was found for Bhushan either. The entry is graded Low.</t>
        </is>
      </c>
      <c r="T266" s="5" t="inlineStr">
        <is>
          <t>SOURCE-069</t>
        </is>
      </c>
      <c r="U266" s="5" t="inlineStr">
        <is>
          <t>Low</t>
        </is>
      </c>
    </row>
    <row r="267" ht="139" customHeight="1">
      <c r="A267" s="15" t="inlineStr">
        <is>
          <t>PERSON-266</t>
        </is>
      </c>
      <c r="B267" s="5" t="inlineStr">
        <is>
          <t>Raamlaxman</t>
        </is>
      </c>
      <c r="C267" s="5" t="inlineStr">
        <is>
          <t>Song composer (composing duo)</t>
        </is>
      </c>
      <c r="D267" s="18" t="n"/>
      <c r="E267" s="18" t="n"/>
      <c r="F267" s="5" t="inlineStr">
        <is>
          <t>1975–2021</t>
        </is>
      </c>
      <c r="G267" s="5" t="inlineStr">
        <is>
          <t>Hindi, Marathi and Bhojpuri cinema</t>
        </is>
      </c>
      <c r="H267" s="5" t="inlineStr">
        <is>
          <t>Originally a duo of Vijay Patil (16 September 1942 – 22 May 2021), who performed as Laxman, and Surendra, who died in 1976; Patil continued alone under the joint name. A composer, pianist, musician and accordionist, he worked on about 150 films across four decades in Hindi, Marathi and Bhojpuri.</t>
        </is>
      </c>
      <c r="I267" s="5" t="inlineStr">
        <is>
          <t>Pandu Havaldar (1975).</t>
        </is>
      </c>
      <c r="J267" s="5" t="inlineStr">
        <is>
          <t>With Kapoor: Bezubaan (1982). Elsewhere: Maine Pyar Kiya (1989), Hum Aapke Hain Koun..! (1994), Hum Saath Saath Hain (1999), Police Public (1990) and 100 Days (1991).</t>
        </is>
      </c>
      <c r="K267" s="19" t="inlineStr">
        <is>
          <t>The wedding and family musical, above all for Rajshri Productions; melodic, unfashionably sweet songwriting.</t>
        </is>
      </c>
      <c r="L267" s="19" t="inlineStr">
        <is>
          <t>A melodist whose deliberately traditional idiom became, through the Rajshri films, the dominant sound of the Hindi family musical in the 1990s.</t>
        </is>
      </c>
      <c r="M267" s="5" t="inlineStr">
        <is>
          <t>The Filmfare Award for Best Music Director for Maine Pyar Kiya (1989); the film set a record for the most Filmfare Awards won by a single film, with seven from thirteen nominations, and was the first to take all three major music categories.</t>
        </is>
      </c>
      <c r="N267" s="19" t="inlineStr">
        <is>
          <t>The composer of Maine Pyar Kiya and Hum Aapke Hain Koun..!, two of the most commercially successful Hindi soundtracks ever made.</t>
        </is>
      </c>
      <c r="O267" s="19" t="inlineStr">
        <is>
          <t>One film, Bezubaan (1982), directed by Bapu (PERSON-118) and produced by Pranlal Mehta (PERSON-255). The credit catches the composer seven years before Maine Pyar Kiya transformed his standing; he had worked with directors including Manmohan Desai (PERSON-072), G. P. Sippy (PERSON-059) and Anil Ganguly (PERSON-052), all of whom appear in this sheet.</t>
        </is>
      </c>
      <c r="P267" s="17" t="n">
        <v>1</v>
      </c>
      <c r="Q267" s="5" t="inlineStr">
        <is>
          <t>FILM-102</t>
        </is>
      </c>
      <c r="R267" s="5" t="inlineStr">
        <is>
          <t>Bezubaan (1982), his only film with Kapoor</t>
        </is>
      </c>
      <c r="S267" s="5" t="inlineStr">
        <is>
          <t>Raamlaxman scored Bezubaan in 1982, his only film with Shashi Kapoor and a credit that catches him well before the work that made him famous. The name was originally a duo — Vijay Patil, who performed as Laxman, and Surendra, who died in 1976 — after which Patil carried on alone under it, working on some 150 films in Hindi, Marathi and Bhojpuri from his debut on Pandu Havaldar in 1975. His article records collaborations with Manmohan Desai, G. P. Sippy and Anil Ganguly, all of whom appear elsewhere in this sheet. The association that transformed his standing was with Rajshri Productions and Sooraj Barjatya: Maine Pyar Kiya in 1989 won him the Filmfare Award for Best Music Director and took seven Filmfare Awards in all from thirteen nominations, a record for a single film at the time and the first to sweep the three major music categories; Hum Aapke Hain Koun..! followed in 1994. Born on 16 September 1942, he died on 22 May 2021.</t>
        </is>
      </c>
      <c r="T267" s="5" t="inlineStr">
        <is>
          <t>SOURCE-266</t>
        </is>
      </c>
      <c r="U267" s="5" t="inlineStr">
        <is>
          <t>High</t>
        </is>
      </c>
    </row>
    <row r="268" ht="79" customHeight="1">
      <c r="A268" s="15" t="inlineStr">
        <is>
          <t>PERSON-267</t>
        </is>
      </c>
      <c r="B268" s="5" t="inlineStr">
        <is>
          <t>Rabindranath Kumar</t>
        </is>
      </c>
      <c r="C268" s="5" t="inlineStr">
        <is>
          <t>Producer</t>
        </is>
      </c>
      <c r="D268" s="18" t="n"/>
      <c r="E268" s="18" t="n"/>
      <c r="F268" s="5" t="n"/>
      <c r="G268" s="5" t="inlineStr">
        <is>
          <t>Hindi cinema</t>
        </is>
      </c>
      <c r="H268" s="5" t="inlineStr">
        <is>
          <t>No Wikipedia article exists for him, and none was found under any variant spelling. Everything here rests on the credit of the single film.</t>
        </is>
      </c>
      <c r="I268" s="5" t="n"/>
      <c r="J268" s="5" t="inlineStr">
        <is>
          <t>With Kapoor: Do Musafir (1978).</t>
        </is>
      </c>
      <c r="K268" s="19" t="inlineStr">
        <is>
          <t>Not established from a single credit.</t>
        </is>
      </c>
      <c r="L268" s="19" t="inlineStr">
        <is>
          <t>Not applicable; no biographical source was located.</t>
        </is>
      </c>
      <c r="M268" s="5" t="n"/>
      <c r="N268" s="19" t="inlineStr">
        <is>
          <t>Not established.</t>
        </is>
      </c>
      <c r="O268" s="19" t="inlineStr">
        <is>
          <t>One producing credit, on Do Musafir (1978), directed by Devendra Goel (PERSON-153) a year before that director's death and scored by Kalyanji–Anandji (PERSON-002).</t>
        </is>
      </c>
      <c r="P268" s="17" t="n">
        <v>1</v>
      </c>
      <c r="Q268" s="5" t="inlineStr">
        <is>
          <t>FILM-071</t>
        </is>
      </c>
      <c r="R268" s="5" t="inlineStr">
        <is>
          <t>Do Musafir (1978), his only film with Kapoor</t>
        </is>
      </c>
      <c r="S268" s="5" t="inlineStr">
        <is>
          <t>Rabindranath Kumar produced Do Musafir in 1978, his only credit in this filmography. The film was among the last directed by Devendra Goel, who had made his name in the 1950s with Ek Saal and Dus Lakh and who died the following year, and it carries a Kalyanji–Anandji score; it belongs to the most crowded stretch of Shashi Kapoor's working life. No Wikipedia article exists for the producer under this name or any variant attempted during research, and no other biographical source was located. The entry is graded Low.</t>
        </is>
      </c>
      <c r="T268" s="5" t="inlineStr">
        <is>
          <t>SOURCE-063</t>
        </is>
      </c>
      <c r="U268" s="5" t="inlineStr">
        <is>
          <t>Low</t>
        </is>
      </c>
    </row>
    <row r="269" ht="154" customHeight="1">
      <c r="A269" s="15" t="inlineStr">
        <is>
          <t>PERSON-268</t>
        </is>
      </c>
      <c r="B269" s="5" t="inlineStr">
        <is>
          <t>Raj Khosla</t>
        </is>
      </c>
      <c r="C269" s="5" t="inlineStr">
        <is>
          <t>Director; Writer</t>
        </is>
      </c>
      <c r="D269" s="17" t="n">
        <v>1925</v>
      </c>
      <c r="E269" s="17" t="n">
        <v>1991</v>
      </c>
      <c r="F269" s="5" t="inlineStr">
        <is>
          <t>1949–1989</t>
        </is>
      </c>
      <c r="G269" s="5" t="inlineStr">
        <is>
          <t>Hindi cinema</t>
        </is>
      </c>
      <c r="H269" s="5" t="inlineStr">
        <is>
          <t>Born Desraj Khosla on 31 May 1925; died 9 June 1991. One of the leading directors, producers and screenwriters in Hindi cinema from the 1950s to the 1980s. He began his career under Guru Dutt, and his early training in classical music is credited with the musical strength of his films.</t>
        </is>
      </c>
      <c r="I269" s="5" t="inlineStr">
        <is>
          <t>Working from 1949; C.I.D. (1956) established him.</t>
        </is>
      </c>
      <c r="J269" s="5" t="inlineStr">
        <is>
          <t>With Kapoor: Prem Kahani (1975), which he directed and co-wrote. Elsewhere: C.I.D. (1956), Woh Kaun Thi? (1964), Mera Saaya (1966), Mera Gaon Mera Desh (1971), Main Tulsi Tere Aangan Ki (1978), which won the Filmfare Award for Best Film, and Dostana (1980).</t>
        </is>
      </c>
      <c r="K269" s="19" t="inlineStr">
        <is>
          <t>Mystery and suspense in a neo-noir register; women at the centre of the narrative.</t>
        </is>
      </c>
      <c r="L269" s="19" t="inlineStr">
        <is>
          <t>Known for bringing neo-noir style into Indian cinema and as a women's director who showcased actresses at their best; he, Guru Dutt and Vijay Anand were all drawn to the Hitchcock school of suspense.</t>
        </is>
      </c>
      <c r="M269" s="5" t="n"/>
      <c r="N269" s="19" t="inlineStr">
        <is>
          <t>One of the defining stylists of Hindi cinema across four decades, and among its finest directors of actresses.</t>
        </is>
      </c>
      <c r="O269" s="19" t="inlineStr">
        <is>
          <t>One film, Prem Kahani (1975), which he directed and co-wrote, produced by the Khosla family concern (PERSON-201, PERSON-212, PERSON-129) and scored by Laxmikant–Pyarelal (PERSON-001). It comes in the strongest year of Kapoor's career, alongside Deewaar, and pairs him with Mumtaz in a romantic drama set against the independence movement. His article does not mention Kapoor.</t>
        </is>
      </c>
      <c r="P269" s="17" t="n">
        <v>1</v>
      </c>
      <c r="Q269" s="5" t="inlineStr">
        <is>
          <t>FILM-053</t>
        </is>
      </c>
      <c r="R269" s="5" t="inlineStr">
        <is>
          <t>Prem Kahani (1975), his only film with Kapoor</t>
        </is>
      </c>
      <c r="S269" s="5" t="inlineStr">
        <is>
          <t>Raj Khosla directed and co-wrote Prem Kahani in 1975, his only film with Shashi Kapoor, made in the strongest year of the actor's career alongside Deewaar and produced by the Khosla family concern with a Laxmikant–Pyarelal score. It pairs Kapoor with Mumtaz in a romantic drama set against the independence movement, and belongs to the run of substantial leading roles he was taking in the mid-1970s between the multi-starrers. Khosla was among the most distinctive directors of his era. Born Desraj Khosla in 1925, he trained under Guru Dutt and brought a neo-noir sensibility into Hindi cinema with C.I.D., Woh Kaun Thi? and Mera Saaya, films his article groups with Guru Dutt's and Vijay Anand's as inspired by the Hitchcock school of suspense. He was also widely described as a women's director, for the roles he built around actresses; Main Tulsi Tere Aangan Ki won the Filmfare Award for Best Film in 1978. His early classical training is credited with the musical strength of his films. He died in 1991.</t>
        </is>
      </c>
      <c r="T269" s="5" t="inlineStr">
        <is>
          <t>SOURCE-267</t>
        </is>
      </c>
      <c r="U269" s="5" t="inlineStr">
        <is>
          <t>High</t>
        </is>
      </c>
    </row>
    <row r="270" ht="124" customHeight="1">
      <c r="A270" s="15" t="inlineStr">
        <is>
          <t>PERSON-269</t>
        </is>
      </c>
      <c r="B270" s="5" t="inlineStr">
        <is>
          <t>Raj Tilak</t>
        </is>
      </c>
      <c r="C270" s="5" t="inlineStr">
        <is>
          <t>Director; Producer</t>
        </is>
      </c>
      <c r="D270" s="18" t="n"/>
      <c r="E270" s="18" t="n"/>
      <c r="F270" s="5" t="n"/>
      <c r="G270" s="5" t="inlineStr">
        <is>
          <t>Hindi cinema</t>
        </is>
      </c>
      <c r="H270" s="5" t="inlineStr">
        <is>
          <t>No Wikipedia article exists for this filmmaker. The name reaches a disambiguation page and was rejected during research. Everything here rests on the credit of the single film.</t>
        </is>
      </c>
      <c r="I270" s="5" t="n"/>
      <c r="J270" s="5" t="inlineStr">
        <is>
          <t>With Kapoor: Mukti (1977), which he both directed and produced.</t>
        </is>
      </c>
      <c r="K270" s="19" t="inlineStr">
        <is>
          <t>Not established from a single credit.</t>
        </is>
      </c>
      <c r="L270" s="19" t="inlineStr">
        <is>
          <t>Not established; no biographical source was located.</t>
        </is>
      </c>
      <c r="M270" s="5" t="n"/>
      <c r="N270" s="19" t="inlineStr">
        <is>
          <t>Not established.</t>
        </is>
      </c>
      <c r="O270" s="19" t="inlineStr">
        <is>
          <t>One film, Mukti (1977), which he directed and produced under his company Tilak Movies Pvt. Ltd., written by Dhruva Chatterjee (PERSON-029), Kader Khan (PERSON-007) and Keka Chatterjee (PERSON-199) and scored by R. D. Burman (PERSON-003). The film carries five separate studio-facility credits, the most in this filmography.</t>
        </is>
      </c>
      <c r="P270" s="17" t="n">
        <v>1</v>
      </c>
      <c r="Q270" s="5" t="inlineStr">
        <is>
          <t>FILM-068</t>
        </is>
      </c>
      <c r="R270" s="5" t="inlineStr">
        <is>
          <t>Mukti (1977), his only film with Kapoor</t>
        </is>
      </c>
      <c r="S270" s="5" t="inlineStr">
        <is>
          <t>Raj Tilak directed and produced Mukti in 1977, under his own company Tilak Movies Pvt. Ltd., with a script by Dhruva Chatterjee, Kader Khan and Keka Chatterjee and a score by R. D. Burman. The film is a curiosity in this workbook for a reason unrelated to its quality: it carries five separate studio names in its production-company field — Essel, Famous Cine, Natraj, R. K. Studios and Rajkamal Kalamandir — more than any other film here, and a clear demonstration that such credits record rented facilities rather than producers. No biography of Tilak was found; the name reaches only a disambiguation page, rejected during research. The entry is graded Low.</t>
        </is>
      </c>
      <c r="T270" s="5" t="inlineStr">
        <is>
          <t>SOURCE-054</t>
        </is>
      </c>
      <c r="U270" s="5" t="inlineStr">
        <is>
          <t>Low</t>
        </is>
      </c>
    </row>
    <row r="271" ht="94" customHeight="1">
      <c r="A271" s="15" t="inlineStr">
        <is>
          <t>PERSON-270</t>
        </is>
      </c>
      <c r="B271" s="5" t="inlineStr">
        <is>
          <t>Rajbans Khanna</t>
        </is>
      </c>
      <c r="C271" s="5" t="inlineStr">
        <is>
          <t>Director; Producer</t>
        </is>
      </c>
      <c r="D271" s="18" t="n"/>
      <c r="E271" s="18" t="n"/>
      <c r="F271" s="5" t="n"/>
      <c r="G271" s="5" t="inlineStr">
        <is>
          <t>Hindi cinema</t>
        </is>
      </c>
      <c r="H271" s="5" t="inlineStr">
        <is>
          <t>No Wikipedia article exists for him, and none was found under any variant spelling. Everything here rests on the credit of the single film.</t>
        </is>
      </c>
      <c r="I271" s="5" t="n"/>
      <c r="J271" s="5" t="inlineStr">
        <is>
          <t>With Kapoor: Jeevan Sangram (1974), which he both directed and produced.</t>
        </is>
      </c>
      <c r="K271" s="19" t="inlineStr">
        <is>
          <t>Not established from a single credit.</t>
        </is>
      </c>
      <c r="L271" s="19" t="inlineStr">
        <is>
          <t>Not established; no biographical source was located.</t>
        </is>
      </c>
      <c r="M271" s="5" t="n"/>
      <c r="N271" s="19" t="inlineStr">
        <is>
          <t>Not established.</t>
        </is>
      </c>
      <c r="O271" s="19" t="inlineStr">
        <is>
          <t>One film, Jeevan Sangram (1974), which he directed and produced, scored by Kalyanji–Anandji (PERSON-002) — made in the year of Chor Machaye Shor and Roti Kapda Aur Makaan, when Kapoor's commercial standing was transformed.</t>
        </is>
      </c>
      <c r="P271" s="17" t="n">
        <v>1</v>
      </c>
      <c r="Q271" s="5" t="inlineStr">
        <is>
          <t>FILM-046</t>
        </is>
      </c>
      <c r="R271" s="5" t="inlineStr">
        <is>
          <t>Jeevan Sangram (1974), his only film with Kapoor</t>
        </is>
      </c>
      <c r="S271" s="5" t="inlineStr">
        <is>
          <t>Rajbans Khanna directed and produced Jeevan Sangram in 1974, his only credit in this filmography. The year matters: 1974 was when Chor Machaye Shor and Roti Kapda Aur Makaan took the top places at the box office and made Shashi Kapoor one of the most saleable stars of the decade, and Jeevan Sangram is one of the other films he made in the same twelve months, carrying a Kalyanji–Anandji score. No Wikipedia article exists for Khanna under this name or any variant attempted during research, and no other biographical source was located. The entry is graded Low.</t>
        </is>
      </c>
      <c r="T271" s="5" t="inlineStr">
        <is>
          <t>SOURCE-038</t>
        </is>
      </c>
      <c r="U271" s="5" t="inlineStr">
        <is>
          <t>Low</t>
        </is>
      </c>
    </row>
    <row r="272" ht="94" customHeight="1">
      <c r="A272" s="15" t="inlineStr">
        <is>
          <t>PERSON-271</t>
        </is>
      </c>
      <c r="B272" s="5" t="inlineStr">
        <is>
          <t>Rajeev Kaul</t>
        </is>
      </c>
      <c r="C272" s="5" t="inlineStr">
        <is>
          <t>Writer</t>
        </is>
      </c>
      <c r="D272" s="18" t="n"/>
      <c r="E272" s="18" t="n"/>
      <c r="F272" s="5" t="n"/>
      <c r="G272" s="5" t="inlineStr">
        <is>
          <t>Hindi cinema</t>
        </is>
      </c>
      <c r="H272" s="5" t="inlineStr">
        <is>
          <t>No Wikipedia article exists for him, and none was found under any variant spelling. Everything here rests on the credit of the single film.</t>
        </is>
      </c>
      <c r="I272" s="5" t="n"/>
      <c r="J272" s="5" t="inlineStr">
        <is>
          <t>With Kapoor: Heeralaal Pannalaal (1978).</t>
        </is>
      </c>
      <c r="K272" s="19" t="inlineStr">
        <is>
          <t>Not established from a single credit.</t>
        </is>
      </c>
      <c r="L272" s="19" t="inlineStr">
        <is>
          <t>Not established; no biographical source was located.</t>
        </is>
      </c>
      <c r="M272" s="5" t="n"/>
      <c r="N272" s="19" t="inlineStr">
        <is>
          <t>Not established.</t>
        </is>
      </c>
      <c r="O272" s="19" t="inlineStr">
        <is>
          <t>One writing credit, on Heeralaal Pannalaal (1978), directed and produced by Ashok Roy (PERSON-026), written also by S. M. Abbas (PERSON-011) and scored by R. D. Burman (PERSON-003).</t>
        </is>
      </c>
      <c r="P272" s="17" t="n">
        <v>1</v>
      </c>
      <c r="Q272" s="5" t="inlineStr">
        <is>
          <t>FILM-081</t>
        </is>
      </c>
      <c r="R272" s="5" t="inlineStr">
        <is>
          <t>Heeralaal Pannalaal (1978), his only film with Kapoor</t>
        </is>
      </c>
      <c r="S272" s="5" t="inlineStr">
        <is>
          <t>Rajeev Kaul shares a writing credit on Heeralaal Pannalaal, released in 1978 — the third and last of the films Ashok Roy made with Shashi Kapoor, written with S. M. Abbas and scored by R. D. Burman. Roy had directed Chor Machaye Shor four years earlier, one of the films that transformed the actor's commercial standing, and this picture reunited much of that group. No Wikipedia article exists for Kaul under this name or any variant attempted during research, and no other biographical source was located. The entry is graded Low and rests on the single film credit.</t>
        </is>
      </c>
      <c r="T272" s="5" t="inlineStr">
        <is>
          <t>SOURCE-066</t>
        </is>
      </c>
      <c r="U272" s="5" t="inlineStr">
        <is>
          <t>Low</t>
        </is>
      </c>
    </row>
    <row r="273" ht="109" customHeight="1">
      <c r="A273" s="15" t="inlineStr">
        <is>
          <t>PERSON-272</t>
        </is>
      </c>
      <c r="B273" s="5" t="inlineStr">
        <is>
          <t>Rajendra Bhatia</t>
        </is>
      </c>
      <c r="C273" s="5" t="inlineStr">
        <is>
          <t>Producer</t>
        </is>
      </c>
      <c r="D273" s="18" t="n"/>
      <c r="E273" s="18" t="n"/>
      <c r="F273" s="5" t="n"/>
      <c r="G273" s="5" t="inlineStr">
        <is>
          <t>Hindi cinema</t>
        </is>
      </c>
      <c r="H273" s="5" t="inlineStr">
        <is>
          <t>No Wikipedia article exists for this producer. The name reaches an article about an Indian mathematician, author and educator born in 1952, which was rejected during research as plainly a different person — he would have been sixteen when the film was released. Everything here rests on the credit of the single film.</t>
        </is>
      </c>
      <c r="I273" s="5" t="n"/>
      <c r="J273" s="5" t="inlineStr">
        <is>
          <t>With Kapoor: Kanyadaan (1968).</t>
        </is>
      </c>
      <c r="K273" s="19" t="inlineStr">
        <is>
          <t>Not established from a single credit.</t>
        </is>
      </c>
      <c r="L273" s="19" t="inlineStr">
        <is>
          <t>Not applicable; no biographical source was located.</t>
        </is>
      </c>
      <c r="M273" s="5" t="n"/>
      <c r="N273" s="19" t="inlineStr">
        <is>
          <t>Not established.</t>
        </is>
      </c>
      <c r="O273" s="19" t="inlineStr">
        <is>
          <t>One producing credit, on Kanyadaan (1968), directed by Mohan Segal (PERSON-227), written by R. A. Baqueri (PERSON-260), released under the Kiron Productions banner (PERSON-203) and scored by Shankar–Jaikishan (PERSON-008) — a substantial success of Kapoor's early star period.</t>
        </is>
      </c>
      <c r="P273" s="17" t="n">
        <v>1</v>
      </c>
      <c r="Q273" s="5" t="inlineStr">
        <is>
          <t>FILM-026</t>
        </is>
      </c>
      <c r="R273" s="5" t="inlineStr">
        <is>
          <t>Kanyadaan (1968), his only film with Kapoor</t>
        </is>
      </c>
      <c r="S273" s="5" t="inlineStr">
        <is>
          <t>Rajendra Bhatia produced Kanyadaan in 1968, a Mohan Segal film with a Shankar–Jaikishan score and one of the more substantial successes of Shashi Kapoor's early years as a star. No biography of him was established. The article reached from his name belongs to an Indian mathematician born in 1952, who would have been sixteen at the film's release, and it was rejected during research on that ground alone; no alternative was found under any variant spelling. The pattern recurs throughout this sheet, where common Indian names return well-formed articles about entirely unrelated people. The entry is graded Low and rests on the film credit.</t>
        </is>
      </c>
      <c r="T273" s="5" t="inlineStr">
        <is>
          <t>SOURCE-019</t>
        </is>
      </c>
      <c r="U273" s="5" t="inlineStr">
        <is>
          <t>Low</t>
        </is>
      </c>
    </row>
    <row r="274" ht="169" customHeight="1">
      <c r="A274" s="15" t="inlineStr">
        <is>
          <t>PERSON-273</t>
        </is>
      </c>
      <c r="B274" s="5" t="inlineStr">
        <is>
          <t>Rajesh Khanna</t>
        </is>
      </c>
      <c r="C274" s="5" t="inlineStr">
        <is>
          <t>Producer</t>
        </is>
      </c>
      <c r="D274" s="17" t="n">
        <v>1942</v>
      </c>
      <c r="E274" s="17" t="n">
        <v>2012</v>
      </c>
      <c r="F274" s="5" t="inlineStr">
        <is>
          <t>1966–2012</t>
        </is>
      </c>
      <c r="G274" s="5" t="inlineStr">
        <is>
          <t>Hindi cinema</t>
        </is>
      </c>
      <c r="H274" s="5" t="inlineStr">
        <is>
          <t>Born Jatin Khanna on 29 December 1942; died 18 July 2012. An actor, film producer and politician regarded as one of the greatest and most successful actors in Indian cinema and considered its first superstar.</t>
        </is>
      </c>
      <c r="I274" s="5" t="inlineStr">
        <is>
          <t>Acting from 1966 with Aakhri Khat, which was India's official Academy Awards entry in 1967; his stardom dates from Aradhana and Do Raaste in 1969.</t>
        </is>
      </c>
      <c r="J274" s="5" t="inlineStr">
        <is>
          <t>With Kapoor: Alag Alag (1985), which he produced and in which he also starred. Elsewhere: Aradhana, Do Raaste and the long run of films that made him the first Hindi superstar.</t>
        </is>
      </c>
      <c r="K274" s="19" t="inlineStr">
        <is>
          <t>The romantic melodrama of the late 1960s and early 1970s, in which he was the dominant male star.</t>
        </is>
      </c>
      <c r="L274" s="19" t="inlineStr">
        <is>
          <t>Not applicable here; this row records him as a producer rather than an actor.</t>
        </is>
      </c>
      <c r="M274" s="5" t="inlineStr">
        <is>
          <t>Five Filmfare Awards, and the Padma Bhushan posthumously in 2013.</t>
        </is>
      </c>
      <c r="N274" s="19" t="inlineStr">
        <is>
          <t>The first superstar of Hindi cinema, whose run of successes from 1969 onward defined the industry until the rise of Amitabh Bachchan.</t>
        </is>
      </c>
      <c r="O274" s="19" t="inlineStr">
        <is>
          <t>One producing credit, on Alag Alag (1985), made with Kusum Nirula (PERSON-207) under the Aashirwad Films banner (PERSON-089), written by Sachin Bhowmick (PERSON-012) and Ehsan Rizvi (PERSON-030) and scored by R. D. Burman (PERSON-003). The meeting is worth noting: two stars whose peak periods bracketed each other — Khanna's ending roughly where Kapoor's multi-starrer decade began — working together as the commercial standing of both had declined.</t>
        </is>
      </c>
      <c r="P274" s="17" t="n">
        <v>1</v>
      </c>
      <c r="Q274" s="5" t="inlineStr">
        <is>
          <t>FILM-118</t>
        </is>
      </c>
      <c r="R274" s="5" t="inlineStr">
        <is>
          <t>Alag Alag (1985), his only film with Kapoor</t>
        </is>
      </c>
      <c r="S274" s="5" t="inlineStr">
        <is>
          <t>Rajesh Khanna produced Alag Alag in 1985, the one film in this filmography on which he and Shashi Kapoor worked together. The pairing has a certain poignancy: Khanna had been the first superstar of Hindi cinema, carrying the industry from Aradhana in 1969 until Amitabh Bachchan displaced him, while Kapoor's own peak ran through the multi-starrer decade that followed; by 1985 both were past their commercial height. Born Jatin Khanna in 1942, Khanna made his debut in Aakhri Khat, India's official Academy Award entry for 1967, won five Filmfare Awards, later served in Parliament, and was awarded the Padma Bhushan posthumously in 2013. R. D. Burman, who had scored many of his greatest successes, wrote the music here too.</t>
        </is>
      </c>
      <c r="T274" s="5" t="inlineStr">
        <is>
          <t>SOURCE-268</t>
        </is>
      </c>
      <c r="U274" s="5" t="inlineStr">
        <is>
          <t>High</t>
        </is>
      </c>
    </row>
    <row r="275" ht="139" customHeight="1">
      <c r="A275" s="15" t="inlineStr">
        <is>
          <t>PERSON-274</t>
        </is>
      </c>
      <c r="B275" s="5" t="inlineStr">
        <is>
          <t>Rajinder Krishan</t>
        </is>
      </c>
      <c r="C275" s="5" t="inlineStr">
        <is>
          <t>Writer</t>
        </is>
      </c>
      <c r="D275" s="17" t="n">
        <v>1919</v>
      </c>
      <c r="E275" s="17" t="n">
        <v>1987</v>
      </c>
      <c r="F275" s="5" t="inlineStr">
        <is>
          <t>1948–1987</t>
        </is>
      </c>
      <c r="G275" s="5" t="inlineStr">
        <is>
          <t>Hindi cinema</t>
        </is>
      </c>
      <c r="H275" s="5" t="inlineStr">
        <is>
          <t>Born Rajinder Krishan Duggal on 6 June 1919; died 23 September 1987. Also credited as Rajendra Krishan, he was a poet, lyricist and screenwriter, working as a film songs lyricist and as a dialogue and screenplay writer.</t>
        </is>
      </c>
      <c r="I275" s="5" t="inlineStr">
        <is>
          <t>Working in films from 1948.</t>
        </is>
      </c>
      <c r="J275" s="5" t="inlineStr">
        <is>
          <t>With Kapoor: Prem Patra (1962). Elsewhere: the Filmfare-winning lyric 'Tumhi mere mandir, tumhi meri pooja' from Khandan (1965).</t>
        </is>
      </c>
      <c r="K275" s="19" t="inlineStr">
        <is>
          <t>Devotional and romantic lyrics; dialogue for mainstream drama.</t>
        </is>
      </c>
      <c r="L275" s="19" t="inlineStr">
        <is>
          <t>A lyricist-screenwriter of the studio era, equally at home in song and dialogue.</t>
        </is>
      </c>
      <c r="M275" s="5" t="inlineStr">
        <is>
          <t>The Filmfare Award for Best Lyricist in 1966, for Khandan (1965).</t>
        </is>
      </c>
      <c r="N275" s="19" t="inlineStr">
        <is>
          <t>One of the most prolific lyricists and screen writers of Hindi cinema's golden age.</t>
        </is>
      </c>
      <c r="O275" s="19" t="inlineStr">
        <is>
          <t>One writing credit, on Prem Patra (1962), Bimal Roy's (PERSON-124) film and one of the most distinguished productions of Kapoor's early adult career, written with Debabrata Sengupta (PERSON-149), Salil Chowdhury (PERSON-042) and Nitan Bhattacharya (PERSON-243). He also wrote lyrics for other films in this filmography, recorded in the Films sheet rather than here.</t>
        </is>
      </c>
      <c r="P275" s="17" t="n">
        <v>1</v>
      </c>
      <c r="Q275" s="5" t="inlineStr">
        <is>
          <t>FILM-008</t>
        </is>
      </c>
      <c r="R275" s="5" t="inlineStr">
        <is>
          <t>Prem Patra (1962), his only credit in this sheet</t>
        </is>
      </c>
      <c r="S275" s="5" t="inlineStr">
        <is>
          <t>Rajinder Krishan is one of four credited writers on Prem Patra, released in 1962 — the Bimal Roy film that gave Shashi Kapoor his most distinguished director of the years before stardom, at a point when Dharmputra had failed and his future as a leading man was uncertain. Born Rajinder Krishan Duggal in 1919 and also credited as Rajendra Krishan, he was principally a lyricist, and one of the most prolific of the studio era: he won the Filmfare Award for Best Lyricist in 1966 for 'Tumhi mere mandir, tumhi meri pooja' from Khandan, and wrote dialogue and screenplays alongside his songs. He also supplied lyrics to other films in this filmography, recorded in the Films sheet. He died in 1987.</t>
        </is>
      </c>
      <c r="T275" s="5" t="inlineStr">
        <is>
          <t>SOURCE-269</t>
        </is>
      </c>
      <c r="U275" s="5" t="inlineStr">
        <is>
          <t>High</t>
        </is>
      </c>
    </row>
    <row r="276" ht="124" customHeight="1">
      <c r="A276" s="15" t="inlineStr">
        <is>
          <t>PERSON-275</t>
        </is>
      </c>
      <c r="B276" s="5" t="inlineStr">
        <is>
          <t>Rajinder Kumar Sharma</t>
        </is>
      </c>
      <c r="C276" s="5" t="inlineStr">
        <is>
          <t>Producer</t>
        </is>
      </c>
      <c r="D276" s="18" t="n"/>
      <c r="E276" s="18" t="n"/>
      <c r="F276" s="5" t="n"/>
      <c r="G276" s="5" t="inlineStr">
        <is>
          <t>Hindi cinema</t>
        </is>
      </c>
      <c r="H276" s="5" t="inlineStr">
        <is>
          <t>No Wikipedia article exists for this producer. The name reaches an article about a decorated Indian Army officer, a recipient of the Kirti Chakra and Shaurya Chakra born in 1965, which was rejected during research as plainly a different person — he would have been fourteen when the film was released. Everything here rests on the credit of the single film.</t>
        </is>
      </c>
      <c r="I276" s="5" t="n"/>
      <c r="J276" s="5" t="inlineStr">
        <is>
          <t>With Kapoor: Suhaag (1979).</t>
        </is>
      </c>
      <c r="K276" s="19" t="inlineStr">
        <is>
          <t>Not established from a single credit.</t>
        </is>
      </c>
      <c r="L276" s="19" t="inlineStr">
        <is>
          <t>Not applicable; no biographical source was located.</t>
        </is>
      </c>
      <c r="M276" s="5" t="n"/>
      <c r="N276" s="19" t="inlineStr">
        <is>
          <t>Not established, despite a credit on one of the largest hits of Kapoor's career.</t>
        </is>
      </c>
      <c r="O276" s="19" t="inlineStr">
        <is>
          <t>One producing credit, on Suhaag (1979), made with Ramesh Sharma (PERSON-080) and Prakash Trehan (PERSON-254), directed by Manmohan Desai (PERSON-072) and scored by Laxmikant–Pyarelal (PERSON-001). It is among the biggest commercial successes of Kapoor's career.</t>
        </is>
      </c>
      <c r="P276" s="17" t="n">
        <v>1</v>
      </c>
      <c r="Q276" s="5" t="inlineStr">
        <is>
          <t>FILM-087</t>
        </is>
      </c>
      <c r="R276" s="5" t="inlineStr">
        <is>
          <t>Suhaag (1979), his only film with Kapoor</t>
        </is>
      </c>
      <c r="S276" s="5" t="inlineStr">
        <is>
          <t>Rajinder Kumar Sharma is one of three credited producers of Suhaag, released in 1979 and among the largest commercial successes of Shashi Kapoor's career — the Manmohan Desai picture in which he and Amitabh Bachchan play separated brothers. No biography of him was established: the article reached from his name belongs to a decorated Indian Army officer born in 1965, who would have been fourteen at the film's release, and it was rejected during research on that ground. None of the film's three producers, nor its principal writer Prayag Raj, has a surviving biographical record. The entry is graded Low and rests on the film credit.</t>
        </is>
      </c>
      <c r="T276" s="5" t="inlineStr">
        <is>
          <t>SOURCE-074</t>
        </is>
      </c>
      <c r="U276" s="5" t="inlineStr">
        <is>
          <t>Low</t>
        </is>
      </c>
    </row>
    <row r="277" ht="139" customHeight="1">
      <c r="A277" s="15" t="inlineStr">
        <is>
          <t>PERSON-276</t>
        </is>
      </c>
      <c r="B277" s="5" t="inlineStr">
        <is>
          <t>Raju Saigal</t>
        </is>
      </c>
      <c r="C277" s="5" t="inlineStr">
        <is>
          <t>Writer</t>
        </is>
      </c>
      <c r="D277" s="18" t="n"/>
      <c r="E277" s="18" t="n"/>
      <c r="F277" s="5" t="n"/>
      <c r="G277" s="5" t="inlineStr">
        <is>
          <t>Hindi cinema</t>
        </is>
      </c>
      <c r="H277" s="5" t="inlineStr">
        <is>
          <t>No Wikipedia article exists for him, and none was found under any variant spelling. Everything here rests on the credit of the single film.</t>
        </is>
      </c>
      <c r="I277" s="5" t="n"/>
      <c r="J277" s="5" t="inlineStr">
        <is>
          <t>With Kapoor: Doosra Aadmi (1977).</t>
        </is>
      </c>
      <c r="K277" s="19" t="inlineStr">
        <is>
          <t>Not established from a single credit.</t>
        </is>
      </c>
      <c r="L277" s="19" t="inlineStr">
        <is>
          <t>Not established; no biographical source was located.</t>
        </is>
      </c>
      <c r="M277" s="5" t="n"/>
      <c r="N277" s="19" t="inlineStr">
        <is>
          <t>Not established.</t>
        </is>
      </c>
      <c r="O277" s="19" t="inlineStr">
        <is>
          <t>One writing credit, on Doosra Aadmi (1977), directed by Ramesh Talwar (PERSON-039), produced by Yash Chopra (PERSON-005), written also by Sagar Sarhadi (PERSON-020) and scored by Rajesh Roshan (PERSON-017) — a Yash Raj production turning on a young woman's attachment to a married man, and one of the more romantically substantial films of Kapoor's later career.</t>
        </is>
      </c>
      <c r="P277" s="17" t="n">
        <v>1</v>
      </c>
      <c r="Q277" s="5" t="inlineStr">
        <is>
          <t>FILM-069</t>
        </is>
      </c>
      <c r="R277" s="5" t="inlineStr">
        <is>
          <t>Doosra Aadmi (1977), his only film with Kapoor</t>
        </is>
      </c>
      <c r="S277" s="5" t="inlineStr">
        <is>
          <t>Raju Saigal shares a writing credit on Doosra Aadmi, released in 1977 — a Yash Chopra production directed by Ramesh Talwar and written principally by Sagar Sarhadi, with songs by Rajesh Roshan. The film turns on a young woman's attachment to an older married man, and it is among the more emotionally serious romantic films of Shashi Kapoor's later career, supplying one of the more ambivalent rows in this workbook's Romances sheet. No Wikipedia article exists for Saigal under this name or any variant attempted during research, and no other biographical source was located. The entry is graded Low.</t>
        </is>
      </c>
      <c r="T277" s="5" t="inlineStr">
        <is>
          <t>SOURCE-055</t>
        </is>
      </c>
      <c r="U277" s="5" t="inlineStr">
        <is>
          <t>Low</t>
        </is>
      </c>
    </row>
    <row r="278" ht="109" customHeight="1">
      <c r="A278" s="15" t="inlineStr">
        <is>
          <t>PERSON-277</t>
        </is>
      </c>
      <c r="B278" s="5" t="inlineStr">
        <is>
          <t>Rakesh Kumar</t>
        </is>
      </c>
      <c r="C278" s="5" t="inlineStr">
        <is>
          <t>Director</t>
        </is>
      </c>
      <c r="D278" s="18" t="n"/>
      <c r="E278" s="18" t="n"/>
      <c r="F278" s="5" t="n"/>
      <c r="G278" s="5" t="inlineStr">
        <is>
          <t>Hindi cinema</t>
        </is>
      </c>
      <c r="H278" s="5" t="inlineStr">
        <is>
          <t>No Wikipedia article exists for this director. The name reaches a disambiguation page listing cricketers and others, rejected during research. Everything here rests on the credit of the single film.</t>
        </is>
      </c>
      <c r="I278" s="5" t="n"/>
      <c r="J278" s="5" t="inlineStr">
        <is>
          <t>With Kapoor: Do Aur Do Paanch (1980).</t>
        </is>
      </c>
      <c r="K278" s="19" t="inlineStr">
        <is>
          <t>Not established from a single credit.</t>
        </is>
      </c>
      <c r="L278" s="19" t="inlineStr">
        <is>
          <t>Not established; no biographical source was located.</t>
        </is>
      </c>
      <c r="M278" s="5" t="n"/>
      <c r="N278" s="19" t="inlineStr">
        <is>
          <t>Not established, despite directing a substantial two-star vehicle.</t>
        </is>
      </c>
      <c r="O278" s="19" t="inlineStr">
        <is>
          <t>One directing credit, on Do Aur Do Paanch (1980), the caper pairing Kapoor with Amitabh Bachchan, written by Kader Khan (PERSON-007) and Sachin Bhowmick (PERSON-012), produced by Sandow M. M. A. Chinnappa Thevar (PERSON-081) and C. Dhandyadupani (PERSON-134), and scored by Rajesh Roshan (PERSON-017).</t>
        </is>
      </c>
      <c r="P278" s="17" t="n">
        <v>1</v>
      </c>
      <c r="Q278" s="5" t="inlineStr">
        <is>
          <t>FILM-092</t>
        </is>
      </c>
      <c r="R278" s="5" t="inlineStr">
        <is>
          <t>Do Aur Do Paanch (1980), his only film with Kapoor</t>
        </is>
      </c>
      <c r="S278" s="5" t="inlineStr">
        <is>
          <t>Rakesh Kumar directed Do Aur Do Paanch in 1980, the caper in which Shashi Kapoor and Amitabh Bachchan play rival con men — a substantial entry in the multi-starrer cycle that defines Kapoor's peak, written by Kader Khan and Sachin Bhowmick and scored by Rajesh Roshan. No biography of the director was established: the name reaches only a disambiguation page listing cricketers and other unrelated people, rejected during research, and no alternative was found under any variant. The entry is graded Low and rests on the film credit alone.</t>
        </is>
      </c>
      <c r="T278" s="5" t="inlineStr">
        <is>
          <t>SOURCE-076</t>
        </is>
      </c>
      <c r="U278" s="5" t="inlineStr">
        <is>
          <t>Low</t>
        </is>
      </c>
    </row>
    <row r="279" ht="109" customHeight="1">
      <c r="A279" s="15" t="inlineStr">
        <is>
          <t>PERSON-278</t>
        </is>
      </c>
      <c r="B279" s="5" t="inlineStr">
        <is>
          <t>Ram Ganguly</t>
        </is>
      </c>
      <c r="C279" s="5" t="inlineStr">
        <is>
          <t>Song composer</t>
        </is>
      </c>
      <c r="D279" s="18" t="n"/>
      <c r="E279" s="18" t="n"/>
      <c r="F279" s="5" t="n"/>
      <c r="G279" s="5" t="inlineStr">
        <is>
          <t>Hindi cinema</t>
        </is>
      </c>
      <c r="H279" s="5" t="inlineStr">
        <is>
          <t>No Wikipedia article exists for him, and none was found under any variant spelling. Everything here rests on the credit of the single film — which is notable, since it is the first film of Kapoor's life.</t>
        </is>
      </c>
      <c r="I279" s="5" t="n"/>
      <c r="J279" s="5" t="inlineStr">
        <is>
          <t>With Kapoor: Aag (1948).</t>
        </is>
      </c>
      <c r="K279" s="19" t="inlineStr">
        <is>
          <t>Not established from a single credit.</t>
        </is>
      </c>
      <c r="L279" s="19" t="inlineStr">
        <is>
          <t>Not established; no biographical source was located.</t>
        </is>
      </c>
      <c r="M279" s="5" t="n"/>
      <c r="N279" s="19" t="inlineStr">
        <is>
          <t>Not established, though he composed for Raj Kapoor's first film as director, before Shankar–Jaikishan became the R. K. house composers.</t>
        </is>
      </c>
      <c r="O279" s="19" t="inlineStr">
        <is>
          <t>One song-composing credit, on Aag (1948) — the first film Kapoor ever appeared in, aged nine, playing the child version of his brother Raj Kapoor's (PERSON-036) character, written by Inder Raj Anand (PERSON-014) under the R. K. Films banner (PERSON-078).</t>
        </is>
      </c>
      <c r="P279" s="17" t="n">
        <v>1</v>
      </c>
      <c r="Q279" s="5" t="inlineStr">
        <is>
          <t>FILM-001</t>
        </is>
      </c>
      <c r="R279" s="5" t="inlineStr">
        <is>
          <t>Aag (1948), the first film of Kapoor's career</t>
        </is>
      </c>
      <c r="S279" s="5" t="inlineStr">
        <is>
          <t>Ram Ganguly composed the songs for Aag, released in 1948 — Raj Kapoor's first film as a director, the founding production of R. K. Films, and the film in which his nine-year-old brother Shashi first appeared on screen, playing the child version of the hero. The credit therefore sits at the very start of this filmography. It is also a small point of film history: Ganguly scored the R. K. debut before Shankar–Jaikishan took over as the company's house composers and became inseparable from its sound. No Wikipedia article exists for him under this name or any variant attempted during research, and no other biographical source was located. The entry is graded Low.</t>
        </is>
      </c>
      <c r="T279" s="5" t="inlineStr">
        <is>
          <t>SOURCE-002</t>
        </is>
      </c>
      <c r="U279" s="5" t="inlineStr">
        <is>
          <t>Low</t>
        </is>
      </c>
    </row>
    <row r="280" ht="79" customHeight="1">
      <c r="A280" s="15" t="inlineStr">
        <is>
          <t>PERSON-279</t>
        </is>
      </c>
      <c r="B280" s="5" t="inlineStr">
        <is>
          <t>Ramchand Bashomal</t>
        </is>
      </c>
      <c r="C280" s="5" t="inlineStr">
        <is>
          <t>Producer</t>
        </is>
      </c>
      <c r="D280" s="18" t="n"/>
      <c r="E280" s="18" t="n"/>
      <c r="F280" s="5" t="n"/>
      <c r="G280" s="5" t="inlineStr">
        <is>
          <t>Hindi cinema</t>
        </is>
      </c>
      <c r="H280" s="5" t="inlineStr">
        <is>
          <t>No Wikipedia article exists for him, and none was found under any variant spelling. Everything here rests on the credit of the single film.</t>
        </is>
      </c>
      <c r="I280" s="5" t="n"/>
      <c r="J280" s="5" t="inlineStr">
        <is>
          <t>With Kapoor: Aahuti (1978).</t>
        </is>
      </c>
      <c r="K280" s="19" t="inlineStr">
        <is>
          <t>Not established from a single credit.</t>
        </is>
      </c>
      <c r="L280" s="19" t="inlineStr">
        <is>
          <t>Not applicable; no biographical source was located.</t>
        </is>
      </c>
      <c r="M280" s="5" t="n"/>
      <c r="N280" s="19" t="inlineStr">
        <is>
          <t>Not established.</t>
        </is>
      </c>
      <c r="O280" s="19" t="inlineStr">
        <is>
          <t>One producing credit, on Aahuti (1978), made with R. Soni (PERSON-265) and Reeta Shah (PERSON-289), directed by Ashok V. Bhushan (PERSON-109) and scored by Laxmikant–Pyarelal (PERSON-001).</t>
        </is>
      </c>
      <c r="P280" s="17" t="n">
        <v>1</v>
      </c>
      <c r="Q280" s="5" t="inlineStr">
        <is>
          <t>FILM-077</t>
        </is>
      </c>
      <c r="R280" s="5" t="inlineStr">
        <is>
          <t>Aahuti (1978), his only film with Kapoor</t>
        </is>
      </c>
      <c r="S280" s="5" t="inlineStr">
        <is>
          <t>Ramchand Bashomal is one of three credited producers of Aahuti, released in 1978 — a commercial picture directed by Ashok V. Bhushan with a Laxmikant–Pyarelal score, from the busiest year of Shashi Kapoor's working life. Neither he nor his fellow producers R. Soni and Reeta Shah, nor the film's director, has any surviving biographical record; no Wikipedia article exists under this name or any variant attempted during research. The entry is graded Low and rests on the single film credit.</t>
        </is>
      </c>
      <c r="T280" s="5" t="inlineStr">
        <is>
          <t>SOURCE-069</t>
        </is>
      </c>
      <c r="U280" s="5" t="inlineStr">
        <is>
          <t>Low</t>
        </is>
      </c>
    </row>
    <row r="281" ht="124" customHeight="1">
      <c r="A281" s="15" t="inlineStr">
        <is>
          <t>PERSON-280</t>
        </is>
      </c>
      <c r="B281" s="5" t="inlineStr">
        <is>
          <t>Ramesh Behl</t>
        </is>
      </c>
      <c r="C281" s="5" t="inlineStr">
        <is>
          <t>Producer</t>
        </is>
      </c>
      <c r="D281" s="18" t="n"/>
      <c r="E281" s="17" t="n">
        <v>1990</v>
      </c>
      <c r="F281" s="5" t="inlineStr">
        <is>
          <t>1978–1987</t>
        </is>
      </c>
      <c r="G281" s="5" t="inlineStr">
        <is>
          <t>Hindi cinema</t>
        </is>
      </c>
      <c r="H281" s="5" t="inlineStr">
        <is>
          <t>An Indian film director and producer of the Behl family of Hindi films; his article gives no birth date. He died on 5 January 1990. His son Goldie Behl is a director and producer, and his daughter Srishti Arya a producer and media executive who was a vice president of the Producers Guild of India.</t>
        </is>
      </c>
      <c r="I281" s="5" t="inlineStr">
        <is>
          <t>Producing from the 1970s; The Train is among his early successes.</t>
        </is>
      </c>
      <c r="J281" s="5" t="inlineStr">
        <is>
          <t>With Kapoor: Baseraa (1981). Elsewhere, as producer: The Train and Kasme Vaade (1978); as director: Pukar (1983), Jawaani (1984) and Apne Apne (1987).</t>
        </is>
      </c>
      <c r="K281" s="19" t="inlineStr">
        <is>
          <t>Commercial romantic and action drama, always built around a strong score.</t>
        </is>
      </c>
      <c r="L281" s="19" t="inlineStr">
        <is>
          <t>Not assessed directly, but his article records a striking fact: he is the only filmmaker to have used R. D. Burman (PERSON-003) as the composer of every one of his films.</t>
        </is>
      </c>
      <c r="M281" s="5" t="n"/>
      <c r="N281" s="19" t="inlineStr">
        <is>
          <t>A producer of consistently successful commercial films and the head of a continuing filmmaking family.</t>
        </is>
      </c>
      <c r="O281" s="19" t="inlineStr">
        <is>
          <t>One producing credit, on Baseraa (1981), directed by Ramesh Talwar (PERSON-039), written by Gulzar (PERSON-031), G. R. Kamat (PERSON-166) and Leela Phansalkar (PERSON-210), and — consistent with his practice — scored by R. D. Burman. It is among the more romantically substantial films of Kapoor's later career.</t>
        </is>
      </c>
      <c r="P281" s="17" t="n">
        <v>1</v>
      </c>
      <c r="Q281" s="5" t="inlineStr">
        <is>
          <t>FILM-095</t>
        </is>
      </c>
      <c r="R281" s="5" t="inlineStr">
        <is>
          <t>Baseraa (1981), his only film with Kapoor</t>
        </is>
      </c>
      <c r="S281" s="5" t="inlineStr">
        <is>
          <t>Ramesh Behl produced Baseraa in 1981, the Ramesh Talwar film written by Gulzar that turns on a wife's mental illness and the sister who takes her place in the household — one of the more emotionally complicated romantic films of Shashi Kapoor's later career. It carries a score by R. D. Burman, which his article notes was invariable: Behl is recorded as the only filmmaker to have had Burman compose for every one of his films. He produced The Train and Kasme Vaade and directed Pukar, Jawaani and Apne Apne before his death in January 1990. His son Goldie Behl and daughter Srishti Arya both became producers, the latter a vice president of the Producers Guild of India. His article does not mention Kapoor.</t>
        </is>
      </c>
      <c r="T281" s="5" t="inlineStr">
        <is>
          <t>SOURCE-270</t>
        </is>
      </c>
      <c r="U281" s="5" t="inlineStr">
        <is>
          <t>High</t>
        </is>
      </c>
    </row>
    <row r="282" ht="154" customHeight="1">
      <c r="A282" s="15" t="inlineStr">
        <is>
          <t>PERSON-281</t>
        </is>
      </c>
      <c r="B282" s="5" t="inlineStr">
        <is>
          <t>Ramesh Saigal</t>
        </is>
      </c>
      <c r="C282" s="5" t="inlineStr">
        <is>
          <t>Director; Writer</t>
        </is>
      </c>
      <c r="D282" s="18" t="n"/>
      <c r="E282" s="18" t="n"/>
      <c r="F282" s="5" t="inlineStr">
        <is>
          <t>1942–1975</t>
        </is>
      </c>
      <c r="G282" s="5" t="inlineStr">
        <is>
          <t>Hindi cinema</t>
        </is>
      </c>
      <c r="H282" s="5" t="inlineStr">
        <is>
          <t>An Indian film director, producer, screenwriter and actor in Hindi films, working from 1942 to 1975. His article is a single sentence and gives no dates of birth or death.</t>
        </is>
      </c>
      <c r="I282" s="5" t="inlineStr">
        <is>
          <t>Working in film from 1942.</t>
        </is>
      </c>
      <c r="J282" s="5" t="inlineStr">
        <is>
          <t>With Kapoor: Samadhi (1950), which he directed and co-wrote.</t>
        </is>
      </c>
      <c r="K282" s="19" t="inlineStr">
        <is>
          <t>Not established from the article.</t>
        </is>
      </c>
      <c r="L282" s="19" t="inlineStr">
        <is>
          <t>Not assessed in the article.</t>
        </is>
      </c>
      <c r="M282" s="5" t="n"/>
      <c r="N282" s="19" t="inlineStr">
        <is>
          <t>Not established from the available source.</t>
        </is>
      </c>
      <c r="O282" s="19" t="inlineStr">
        <is>
          <t>One film, Samadhi (1950), which he directed and co-wrote with Qamar Jalalabadi (PERSON-259) — a Filmistan (PERSON-013) production scored by C. Ramchandra (PERSON-028), and one of the child-actor films in which the twelve-year-old Kapoor appeared as Shashiraj, playing the younger brother of Ashok Kumar's character. His article does not mention Kapoor.</t>
        </is>
      </c>
      <c r="P282" s="17" t="n">
        <v>1</v>
      </c>
      <c r="Q282" s="5" t="inlineStr">
        <is>
          <t>FILM-003</t>
        </is>
      </c>
      <c r="R282" s="5" t="inlineStr">
        <is>
          <t>Samadhi (1950), his only film with Kapoor</t>
        </is>
      </c>
      <c r="S282" s="5" t="inlineStr">
        <is>
          <t>Ramesh Saigal directed and co-wrote Samadhi, released in 1950 — a Filmistan production with a C. Ramchandra score and a writing credit shared with the lyricist Qamar Jalalabadi, and one of the handful of child-actor appearances that open this filmography. The twelve-year-old Shashi Kapoor, billed Shashiraj, plays Pratap, the young brother of Ashok Kumar's Shekhar. The film's presence here rests on a judgement recorded in this workbook's scope note: the Wikipedia filmography table omits Samadhi altogether, but the Shashi Kapoor article's career section names it among his child-artist films and the film's own article casts him, so it is included and the conflict noted — the same article elsewhere says he made four child films, which with Samadhi would be five. Saigal worked as director, producer, screenwriter and actor in Hindi films from 1942 to 1975, but his Wikipedia article runs to a single sentence, gives no dates of birth or death and names no other titles. It does not mention Kapoor, so this entry rests largely on the credits.</t>
        </is>
      </c>
      <c r="T282" s="5" t="inlineStr">
        <is>
          <t>SOURCE-271</t>
        </is>
      </c>
      <c r="U282" s="5" t="inlineStr">
        <is>
          <t>Medium</t>
        </is>
      </c>
    </row>
    <row r="283" ht="94" customHeight="1">
      <c r="A283" s="15" t="inlineStr">
        <is>
          <t>PERSON-282</t>
        </is>
      </c>
      <c r="B283" s="5" t="inlineStr">
        <is>
          <t>Ranjan Bose</t>
        </is>
      </c>
      <c r="C283" s="5" t="inlineStr">
        <is>
          <t>Writer</t>
        </is>
      </c>
      <c r="D283" s="18" t="n"/>
      <c r="E283" s="18" t="n"/>
      <c r="F283" s="5" t="n"/>
      <c r="G283" s="5" t="inlineStr">
        <is>
          <t>Hindi cinema</t>
        </is>
      </c>
      <c r="H283" s="5" t="inlineStr">
        <is>
          <t>No Wikipedia article exists for him, and none was found under any variant spelling. Everything here rests on the credit of the single film.</t>
        </is>
      </c>
      <c r="I283" s="5" t="n"/>
      <c r="J283" s="5" t="inlineStr">
        <is>
          <t>With Kapoor: Neeyat (1980).</t>
        </is>
      </c>
      <c r="K283" s="19" t="inlineStr">
        <is>
          <t>Not established from a single credit.</t>
        </is>
      </c>
      <c r="L283" s="19" t="inlineStr">
        <is>
          <t>Not established; no biographical source was located.</t>
        </is>
      </c>
      <c r="M283" s="5" t="n"/>
      <c r="N283" s="19" t="inlineStr">
        <is>
          <t>Not established.</t>
        </is>
      </c>
      <c r="O283" s="19" t="inlineStr">
        <is>
          <t>One writing credit, on Neeyat (1980), directed by Anil Ganguly (PERSON-052) and written also by Madan Joshi (PERSON-071), K. A. Narayan (PERSON-032) and the lyricist Indeevar (PERSON-180) — four credited writers on one commercial film.</t>
        </is>
      </c>
      <c r="P283" s="17" t="n">
        <v>1</v>
      </c>
      <c r="Q283" s="5" t="inlineStr">
        <is>
          <t>FILM-093</t>
        </is>
      </c>
      <c r="R283" s="5" t="inlineStr">
        <is>
          <t>Neeyat (1980), his only film with Kapoor</t>
        </is>
      </c>
      <c r="S283" s="5" t="inlineStr">
        <is>
          <t>Ranjan Bose is one of four credited writers on Neeyat, released in 1980 — an Anil Ganguly film whose script carries the names of Madan Joshi, K. A. Narayan and the lyricist Indeevar alongside his own, with a Kalyanji–Anandji score. Such crowded writing credits were common in commercial Hindi cinema, where story, screenplay and dialogue were routinely split between several hands. No Wikipedia article exists for Bose under this name or any variant attempted during research, and no other biographical source was located. The entry is graded Low and rests on the single film credit.</t>
        </is>
      </c>
      <c r="T283" s="5" t="inlineStr">
        <is>
          <t>SOURCE-077</t>
        </is>
      </c>
      <c r="U283" s="5" t="inlineStr">
        <is>
          <t>Low</t>
        </is>
      </c>
    </row>
    <row r="284" ht="94" customHeight="1">
      <c r="A284" s="15" t="inlineStr">
        <is>
          <t>PERSON-283</t>
        </is>
      </c>
      <c r="B284" s="5" t="inlineStr">
        <is>
          <t>Ranjeet Studios</t>
        </is>
      </c>
      <c r="C284" s="5" t="inlineStr">
        <is>
          <t>Production banner (studio facility)</t>
        </is>
      </c>
      <c r="D284" s="18" t="n"/>
      <c r="E284" s="18" t="n"/>
      <c r="F284" s="5" t="n"/>
      <c r="G284" s="5" t="inlineStr">
        <is>
          <t>Hindi cinema</t>
        </is>
      </c>
      <c r="H284" s="5" t="inlineStr">
        <is>
          <t>No Wikipedia article exists for this studio under the spelling credited. Everything here rests on the credit of the single film.</t>
        </is>
      </c>
      <c r="I284" s="5" t="n"/>
      <c r="J284" s="5" t="inlineStr">
        <is>
          <t>With Kapoor: Aa Gale Lag Jaa (1973).</t>
        </is>
      </c>
      <c r="K284" s="19" t="inlineStr">
        <is>
          <t>Not applicable; a facility credit.</t>
        </is>
      </c>
      <c r="L284" s="19" t="inlineStr">
        <is>
          <t>Not applicable.</t>
        </is>
      </c>
      <c r="M284" s="5" t="n"/>
      <c r="N284" s="19" t="inlineStr">
        <is>
          <t>Not established.</t>
        </is>
      </c>
      <c r="O284" s="19" t="inlineStr">
        <is>
          <t>One banner credit, on Aa Gale Lag Jaa (1973), directed by Manmohan Desai (PERSON-072), which also carries a K. Asif Studios credit (PERSON-067) — another instance of a film recording more than one shooting facility.</t>
        </is>
      </c>
      <c r="P284" s="17" t="n">
        <v>1</v>
      </c>
      <c r="Q284" s="5" t="inlineStr">
        <is>
          <t>FILM-043</t>
        </is>
      </c>
      <c r="R284" s="5" t="inlineStr">
        <is>
          <t>Aa Gale Lag Jaa (1973), its only film with Kapoor</t>
        </is>
      </c>
      <c r="S284" s="5" t="inlineStr">
        <is>
          <t>Ranjeet Studios appears on Aa Gale Lag Jaa, released in 1973 — the Manmohan Desai film written by Prayag Raj that was among Shashi Kapoor's substantial successes of the early 1970s and gave him a romantic lead in a picture built around his own character rather than an ensemble. The film carries a second studio credit as well, for K. Asif Studios, confirming that these are records of shooting facilities rather than production companies. No Wikipedia article exists for Ranjeet Studios under the spelling credited, and no other source was located. The entry is graded Low.</t>
        </is>
      </c>
      <c r="T284" s="5" t="inlineStr">
        <is>
          <t>SOURCE-033</t>
        </is>
      </c>
      <c r="U284" s="5" t="inlineStr">
        <is>
          <t>Low</t>
        </is>
      </c>
    </row>
    <row r="285" ht="109" customHeight="1">
      <c r="A285" s="15" t="inlineStr">
        <is>
          <t>PERSON-284</t>
        </is>
      </c>
      <c r="B285" s="5" t="inlineStr">
        <is>
          <t>Ranjit Films</t>
        </is>
      </c>
      <c r="C285" s="5" t="inlineStr">
        <is>
          <t>Production banner</t>
        </is>
      </c>
      <c r="D285" s="18" t="n"/>
      <c r="E285" s="18" t="n"/>
      <c r="F285" s="5" t="n"/>
      <c r="G285" s="5" t="inlineStr">
        <is>
          <t>Hindi cinema</t>
        </is>
      </c>
      <c r="H285" s="5" t="inlineStr">
        <is>
          <t>No Wikipedia article exists for this banner under the spelling credited. Everything here rests on the credit of the single film.</t>
        </is>
      </c>
      <c r="I285" s="5" t="n"/>
      <c r="J285" s="5" t="inlineStr">
        <is>
          <t>With Kapoor: Krodhi (1981).</t>
        </is>
      </c>
      <c r="K285" s="19" t="inlineStr">
        <is>
          <t>Not established from a single credit.</t>
        </is>
      </c>
      <c r="L285" s="19" t="inlineStr">
        <is>
          <t>Not applicable.</t>
        </is>
      </c>
      <c r="M285" s="5" t="n"/>
      <c r="N285" s="19" t="inlineStr">
        <is>
          <t>Not established.</t>
        </is>
      </c>
      <c r="O285" s="19" t="inlineStr">
        <is>
          <t>One banner credit, on Krodhi (1981), directed and co-written by Subhash Ghai (PERSON-084), written also by Nabendu Ghosh (PERSON-235), produced by Ranjit Virk (PERSON-285) and scored by Laxmikant–Pyarelal (PERSON-001), with a background score by Kalyanji–Anandji (PERSON-002).</t>
        </is>
      </c>
      <c r="P285" s="17" t="n">
        <v>1</v>
      </c>
      <c r="Q285" s="5" t="inlineStr">
        <is>
          <t>FILM-098</t>
        </is>
      </c>
      <c r="R285" s="5" t="inlineStr">
        <is>
          <t>Krodhi (1981), its only film with Kapoor</t>
        </is>
      </c>
      <c r="S285" s="5" t="inlineStr">
        <is>
          <t>Ranjit Films is the banner on Krodhi, released in 1981 — a Subhash Ghai picture from early in that director's career, produced by Ranjit Virk, whose name the company presumably carries, though no source confirms it. The film is notable in this sheet for two reasons: its songs are by Laxmikant–Pyarelal while its background score is credited to Kalyanji–Anandji, one of the few such splits in the filmography, and its writing credits include Nabendu Ghosh, the screenwriter of Sujata and Bandini, in an incongruous late commercial assignment. No Wikipedia article exists for the banner. The entry is graded Low.</t>
        </is>
      </c>
      <c r="T285" s="5" t="inlineStr">
        <is>
          <t>SOURCE-080</t>
        </is>
      </c>
      <c r="U285" s="5" t="inlineStr">
        <is>
          <t>Low</t>
        </is>
      </c>
    </row>
    <row r="286" ht="94" customHeight="1">
      <c r="A286" s="15" t="inlineStr">
        <is>
          <t>PERSON-285</t>
        </is>
      </c>
      <c r="B286" s="5" t="inlineStr">
        <is>
          <t>Ranjit Virk</t>
        </is>
      </c>
      <c r="C286" s="5" t="inlineStr">
        <is>
          <t>Producer</t>
        </is>
      </c>
      <c r="D286" s="18" t="n"/>
      <c r="E286" s="18" t="n"/>
      <c r="F286" s="5" t="n"/>
      <c r="G286" s="5" t="inlineStr">
        <is>
          <t>Hindi cinema</t>
        </is>
      </c>
      <c r="H286" s="5" t="inlineStr">
        <is>
          <t>No Wikipedia article exists for him, and none was found under any variant spelling. Everything here rests on the credit of the single film.</t>
        </is>
      </c>
      <c r="I286" s="5" t="n"/>
      <c r="J286" s="5" t="inlineStr">
        <is>
          <t>With Kapoor: Krodhi (1981).</t>
        </is>
      </c>
      <c r="K286" s="19" t="inlineStr">
        <is>
          <t>Not established from a single credit.</t>
        </is>
      </c>
      <c r="L286" s="19" t="inlineStr">
        <is>
          <t>Not applicable; no biographical source was located.</t>
        </is>
      </c>
      <c r="M286" s="5" t="n"/>
      <c r="N286" s="19" t="inlineStr">
        <is>
          <t>Not established.</t>
        </is>
      </c>
      <c r="O286" s="19" t="inlineStr">
        <is>
          <t>One producing credit, on Krodhi (1981), released under the Ranjit Films banner (PERSON-284), which appears to carry his name, and directed by Subhash Ghai (PERSON-084) early in that director's career.</t>
        </is>
      </c>
      <c r="P286" s="17" t="n">
        <v>1</v>
      </c>
      <c r="Q286" s="5" t="inlineStr">
        <is>
          <t>FILM-098</t>
        </is>
      </c>
      <c r="R286" s="5" t="inlineStr">
        <is>
          <t>Krodhi (1981), his only film with Kapoor</t>
        </is>
      </c>
      <c r="S286" s="5" t="inlineStr">
        <is>
          <t>Ranjit Virk produced Krodhi in 1981, his only credit in this filmography — a Subhash Ghai film made before that director's run of blockbusters, released under the Ranjit Films banner, which presumably takes its name from him although no source confirms the connection. The picture is unusual in carrying separate song and background-score credits, to Laxmikant–Pyarelal and Kalyanji–Anandji respectively, and in listing Nabendu Ghosh among its writers. No Wikipedia article exists for Virk under this name or any variant attempted during research. The entry is graded Low.</t>
        </is>
      </c>
      <c r="T286" s="5" t="inlineStr">
        <is>
          <t>SOURCE-080</t>
        </is>
      </c>
      <c r="U286" s="5" t="inlineStr">
        <is>
          <t>Low</t>
        </is>
      </c>
    </row>
    <row r="287" ht="139" customHeight="1">
      <c r="A287" s="15" t="inlineStr">
        <is>
          <t>PERSON-286</t>
        </is>
      </c>
      <c r="B287" s="5" t="inlineStr">
        <is>
          <t>Ravi</t>
        </is>
      </c>
      <c r="C287" s="5" t="inlineStr">
        <is>
          <t>Song composer</t>
        </is>
      </c>
      <c r="D287" s="17" t="n">
        <v>1926</v>
      </c>
      <c r="E287" s="17" t="n">
        <v>2012</v>
      </c>
      <c r="F287" s="5" t="inlineStr">
        <is>
          <t>1955–2005</t>
        </is>
      </c>
      <c r="G287" s="5" t="inlineStr">
        <is>
          <t>Hindi and Malayalam cinema</t>
        </is>
      </c>
      <c r="H287" s="5" t="inlineStr">
        <is>
          <t>Born Ravi Shankar Sharma on 3 March 1926; died 7 March 2012. Known mononymously as Ravi, he composed for Hindi and Malayalam films. After a successful Hindi career he took a hiatus in the 1970s and returned in 1982 in Malayalam cinema under the name Bombay Ravi.</t>
        </is>
      </c>
      <c r="I287" s="5" t="inlineStr">
        <is>
          <t>Composing from 1955.</t>
        </is>
      </c>
      <c r="J287" s="5" t="inlineStr">
        <is>
          <t>With Kapoor: Waqt (1965). Elsewhere: Chaudhvin Ka Chand (1960), Gharana (1961), Khandan (1965), Do Badan (1966), Hamraaz (1967), Ankhen (1968), Neel Kamal, Gumraah and Nikaah (1982).</t>
        </is>
      </c>
      <c r="K287" s="19" t="inlineStr">
        <is>
          <t>Melodic film songs of the 1960s, several of which — 'Aaj mere yaar ki shaadi hai', 'Babul ki duyaen leti ja' — became standards for weddings and departures.</t>
        </is>
      </c>
      <c r="L287" s="19" t="inlineStr">
        <is>
          <t>A melodist of the mainstream 1960s idiom whose songs entered popular ritual use.</t>
        </is>
      </c>
      <c r="M287" s="5" t="inlineStr">
        <is>
          <t>Filmfare Awards for Gharana (1961) and Khandan (1965), with further nominations for Chaudhvin Ka Chand, Do Badan, Hamraaz, Ankhen and Nikaah.</t>
        </is>
      </c>
      <c r="N287" s="19" t="inlineStr">
        <is>
          <t>One of the leading Hindi composers of the 1960s, and later a significant figure in Malayalam film music under a second name.</t>
        </is>
      </c>
      <c r="O287" s="19" t="inlineStr">
        <is>
          <t>One film, but a consequential one: Waqt (1965), the B. R. Chopra (PERSON-055) production directed by Yash Chopra (PERSON-005) that established the multi-star family melodrama and helped make Kapoor a star. Ravi's songs are central to the film's standing. His article names Waqt among his successes but does not mention Kapoor.</t>
        </is>
      </c>
      <c r="P287" s="17" t="n">
        <v>1</v>
      </c>
      <c r="Q287" s="5" t="inlineStr">
        <is>
          <t>FILM-017</t>
        </is>
      </c>
      <c r="R287" s="5" t="inlineStr">
        <is>
          <t>Waqt (1965), his only film with Kapoor</t>
        </is>
      </c>
      <c r="S287" s="5" t="inlineStr">
        <is>
          <t>Ravi composed the songs for Waqt, released in 1965 — the lost-and-found family epic that effectively invented the Hindi multi-starrer, and one of the two films that made Shashi Kapoor a star that year. It is his only credit in this filmography, but a central one: the film's songs are a large part of its standing, and his own article names it among his successes. Born Ravi Shankar Sharma in 1926, he was among the leading Hindi composers of the 1960s, winning Filmfare Awards for Gharana in 1961 and Khandan in 1965 and taking further nominations for Chaudhvin Ka Chand, Do Badan, Hamraaz, Ankhen and Nikaah. Several of his songs — 'Aaj mere yaar ki shaadi hai', 'Babul ki duyaen leti ja', 'Doli chadh ke dulhan' — passed into ritual use at weddings and farewells, an afterlife few film composers achieve. After a hiatus in the 1970s he returned in 1982 in Malayalam cinema under the name Bombay Ravi, building a second career there. He died in 2012.</t>
        </is>
      </c>
      <c r="T287" s="5" t="inlineStr">
        <is>
          <t>SOURCE-272</t>
        </is>
      </c>
      <c r="U287" s="5" t="inlineStr">
        <is>
          <t>High</t>
        </is>
      </c>
    </row>
    <row r="288" ht="139" customHeight="1">
      <c r="A288" s="15" t="inlineStr">
        <is>
          <t>PERSON-287</t>
        </is>
      </c>
      <c r="B288" s="5" t="inlineStr">
        <is>
          <t>Ravi Tandon</t>
        </is>
      </c>
      <c r="C288" s="5" t="inlineStr">
        <is>
          <t>Director</t>
        </is>
      </c>
      <c r="D288" s="17" t="n">
        <v>1935</v>
      </c>
      <c r="E288" s="17" t="n">
        <v>2022</v>
      </c>
      <c r="F288" s="5" t="inlineStr">
        <is>
          <t>1960–1987</t>
        </is>
      </c>
      <c r="G288" s="5" t="inlineStr">
        <is>
          <t>Hindi cinema</t>
        </is>
      </c>
      <c r="H288" s="5" t="inlineStr">
        <is>
          <t>Born 17 February 1935 into a Punjabi family in Agra; died of respiratory failure in Mumbai on 11 February 2022, aged 86, after several years with pulmonary fibrosis. A film director and producer who also worked as an assistant director and story writer. He was the father of the actress Raveena Tandon; his son Rajeev produced and directed the television series Heena.</t>
        </is>
      </c>
      <c r="I288" s="5" t="inlineStr">
        <is>
          <t>Working from 1960.</t>
        </is>
      </c>
      <c r="J288" s="5" t="inlineStr">
        <is>
          <t>With Kapoor: Ek Main Aur Ek Tu (1986). Elsewhere: Khel Khel Mein, Anhonee, Majboor, Khud-daar, Zindagi and Nazrana (1987), which was the fifth highest-grossing film of its year.</t>
        </is>
      </c>
      <c r="K288" s="19" t="inlineStr">
        <is>
          <t>Light romantic comedy and family drama.</t>
        </is>
      </c>
      <c r="L288" s="19" t="inlineStr">
        <is>
          <t>A commercial director with a light touch, working chiefly in comedy and melodrama.</t>
        </is>
      </c>
      <c r="M288" s="5" t="n"/>
      <c r="N288" s="19" t="inlineStr">
        <is>
          <t>A dependable commercial director across three decades, and the head of a continuing film family.</t>
        </is>
      </c>
      <c r="O288" s="19" t="inlineStr">
        <is>
          <t>One film, Ek Main Aur Ek Tu (1986), scored by R. D. Burman (PERSON-003) — a late credit for both men, in the phase when Kapoor's leading roles were becoming scarce and Tandon's own directing career was closing; his last film, Nazrana, followed in 1987. His article does not mention Kapoor.</t>
        </is>
      </c>
      <c r="P288" s="17" t="n">
        <v>1</v>
      </c>
      <c r="Q288" s="5" t="inlineStr">
        <is>
          <t>FILM-121</t>
        </is>
      </c>
      <c r="R288" s="5" t="inlineStr">
        <is>
          <t>Ek Main Aur Ek Tu (1986), his only film with Kapoor</t>
        </is>
      </c>
      <c r="S288" s="5" t="inlineStr">
        <is>
          <t>Ravi Tandon directed Ek Main Aur Ek Tu in 1986, his only film with Shashi Kapoor and one of the last of his own career — Nazrana, with Rajesh Khanna, followed in 1987 and was the fifth highest-grossing release of its year, after which he stopped directing. R. D. Burman scored the Kapoor film, in the eleventh and last of their collaborations. Born into a Punjabi family in Agra on 17 February 1935, Tandon worked from 1960 as assistant director, story writer and then director, making Khel Khel Mein, Anhonee, Majboor, Khud-daar and Zindagi, mostly in a light comic and melodramatic register that his article treats as his strength. He was the father of the actress Raveena Tandon and of Rajeev Tandon, a producer and director who made the television series Heena. He died of respiratory failure at his Mumbai home on 11 February 2022, aged eighty-six, having had pulmonary fibrosis in his final years. His article does not mention Kapoor.</t>
        </is>
      </c>
      <c r="T288" s="5" t="inlineStr">
        <is>
          <t>SOURCE-273</t>
        </is>
      </c>
      <c r="U288" s="5" t="inlineStr">
        <is>
          <t>High</t>
        </is>
      </c>
    </row>
    <row r="289" ht="94" customHeight="1">
      <c r="A289" s="15" t="inlineStr">
        <is>
          <t>PERSON-288</t>
        </is>
      </c>
      <c r="B289" s="5" t="inlineStr">
        <is>
          <t>Ravindra Peepat</t>
        </is>
      </c>
      <c r="C289" s="5" t="inlineStr">
        <is>
          <t>Director; Producer</t>
        </is>
      </c>
      <c r="D289" s="18" t="n"/>
      <c r="E289" s="18" t="n"/>
      <c r="F289" s="5" t="n"/>
      <c r="G289" s="5" t="inlineStr">
        <is>
          <t>Hindi cinema</t>
        </is>
      </c>
      <c r="H289" s="5" t="inlineStr">
        <is>
          <t>No Wikipedia article exists for him, and none was found under any variant spelling. Everything here rests on the credit of the single film.</t>
        </is>
      </c>
      <c r="I289" s="5" t="n"/>
      <c r="J289" s="5" t="inlineStr">
        <is>
          <t>With Kapoor: Hum To Chale Pardes (1988), which he both directed and produced.</t>
        </is>
      </c>
      <c r="K289" s="19" t="inlineStr">
        <is>
          <t>Not established from a single credit.</t>
        </is>
      </c>
      <c r="L289" s="19" t="inlineStr">
        <is>
          <t>Not established; no biographical source was located.</t>
        </is>
      </c>
      <c r="M289" s="5" t="n"/>
      <c r="N289" s="19" t="inlineStr">
        <is>
          <t>Not established.</t>
        </is>
      </c>
      <c r="O289" s="19" t="inlineStr">
        <is>
          <t>One film, Hum To Chale Pardes (1988), which he directed and produced, written by Anees Bazmee (PERSON-103) early in that writer's career. It belongs to the final years of Kapoor's regular screen work.</t>
        </is>
      </c>
      <c r="P289" s="17" t="n">
        <v>1</v>
      </c>
      <c r="Q289" s="5" t="inlineStr">
        <is>
          <t>FILM-135</t>
        </is>
      </c>
      <c r="R289" s="5" t="inlineStr">
        <is>
          <t>Hum To Chale Pardes (1988), his only film with Kapoor</t>
        </is>
      </c>
      <c r="S289" s="5" t="inlineStr">
        <is>
          <t>Ravindra Peepat directed and produced Hum To Chale Pardes in 1988, his only credit in this filmography. The film's writing credit is its point of interest: it belongs to Anees Bazmee, six years into a career that would not reach prominence for another decade and a half, when No Entry and Welcome made him the leading director of Hindi ensemble comedy. For Shashi Kapoor the film comes from the closing stretch of his regular screen work. No Wikipedia article exists for Peepat under this name or any variant attempted during research, and no other biographical source was located. The entry is graded Low.</t>
        </is>
      </c>
      <c r="T289" s="5" t="inlineStr">
        <is>
          <t>SOURCE-112</t>
        </is>
      </c>
      <c r="U289" s="5" t="inlineStr">
        <is>
          <t>Low</t>
        </is>
      </c>
    </row>
    <row r="290" ht="94" customHeight="1">
      <c r="A290" s="15" t="inlineStr">
        <is>
          <t>PERSON-289</t>
        </is>
      </c>
      <c r="B290" s="5" t="inlineStr">
        <is>
          <t>Reeta Shah</t>
        </is>
      </c>
      <c r="C290" s="5" t="inlineStr">
        <is>
          <t>Producer</t>
        </is>
      </c>
      <c r="D290" s="18" t="n"/>
      <c r="E290" s="18" t="n"/>
      <c r="F290" s="5" t="n"/>
      <c r="G290" s="5" t="inlineStr">
        <is>
          <t>Hindi cinema</t>
        </is>
      </c>
      <c r="H290" s="5" t="inlineStr">
        <is>
          <t>No Wikipedia article exists for her, and none was found under any variant spelling. Everything here rests on the credit of the single film.</t>
        </is>
      </c>
      <c r="I290" s="5" t="n"/>
      <c r="J290" s="5" t="inlineStr">
        <is>
          <t>With Kapoor: Aahuti (1978).</t>
        </is>
      </c>
      <c r="K290" s="19" t="inlineStr">
        <is>
          <t>Not established from a single credit.</t>
        </is>
      </c>
      <c r="L290" s="19" t="inlineStr">
        <is>
          <t>Not applicable; no biographical source was located.</t>
        </is>
      </c>
      <c r="M290" s="5" t="n"/>
      <c r="N290" s="19" t="inlineStr">
        <is>
          <t>Not established.</t>
        </is>
      </c>
      <c r="O290" s="19" t="inlineStr">
        <is>
          <t>One producing credit, on Aahuti (1978), made with R. Soni (PERSON-265) and Ramchand Bashomal (PERSON-279), directed by Ashok V. Bhushan (PERSON-109) and scored by Laxmikant–Pyarelal (PERSON-001).</t>
        </is>
      </c>
      <c r="P290" s="17" t="n">
        <v>1</v>
      </c>
      <c r="Q290" s="5" t="inlineStr">
        <is>
          <t>FILM-077</t>
        </is>
      </c>
      <c r="R290" s="5" t="inlineStr">
        <is>
          <t>Aahuti (1978), her only film with Kapoor</t>
        </is>
      </c>
      <c r="S290" s="5" t="inlineStr">
        <is>
          <t>Reeta Shah is one of three credited producers of Aahuti, released in 1978 — a commercial picture directed by Ashok V. Bhushan with a Laxmikant–Pyarelal score, made in the busiest year of Shashi Kapoor's career. A woman holding a producer credit on a Hindi film of that period was uncommon, and worth recording for that reason, but nothing further could be established: no Wikipedia article exists under this name or any variant attempted during research, and neither her fellow producers nor the film's director has any surviving record either. The entry is graded Low.</t>
        </is>
      </c>
      <c r="T290" s="5" t="inlineStr">
        <is>
          <t>SOURCE-069</t>
        </is>
      </c>
      <c r="U290" s="5" t="inlineStr">
        <is>
          <t>Low</t>
        </is>
      </c>
    </row>
    <row r="291" ht="94" customHeight="1">
      <c r="A291" s="15" t="inlineStr">
        <is>
          <t>PERSON-290</t>
        </is>
      </c>
      <c r="B291" s="5" t="inlineStr">
        <is>
          <t>Renu Khanna</t>
        </is>
      </c>
      <c r="C291" s="5" t="inlineStr">
        <is>
          <t>Writer</t>
        </is>
      </c>
      <c r="D291" s="18" t="n"/>
      <c r="E291" s="18" t="n"/>
      <c r="F291" s="5" t="n"/>
      <c r="G291" s="5" t="inlineStr">
        <is>
          <t>Hindi cinema</t>
        </is>
      </c>
      <c r="H291" s="5" t="inlineStr">
        <is>
          <t>No Wikipedia article exists for her, and none was found under any variant spelling. Everything here rests on the credit of the single film.</t>
        </is>
      </c>
      <c r="I291" s="5" t="n"/>
      <c r="J291" s="5" t="inlineStr">
        <is>
          <t>With Kapoor: Mukti (1977).</t>
        </is>
      </c>
      <c r="K291" s="19" t="inlineStr">
        <is>
          <t>Not established from a single credit.</t>
        </is>
      </c>
      <c r="L291" s="19" t="inlineStr">
        <is>
          <t>Not established; no biographical source was located.</t>
        </is>
      </c>
      <c r="M291" s="5" t="n"/>
      <c r="N291" s="19" t="inlineStr">
        <is>
          <t>Not established.</t>
        </is>
      </c>
      <c r="O291" s="19" t="inlineStr">
        <is>
          <t>One writing credit, on Mukti (1977), directed and produced by Raj Tilak (PERSON-269), written also by Dhruva Chatterjee (PERSON-029), Kader Khan (PERSON-007) and Keka Chatterjee (PERSON-199), and scored by R. D. Burman (PERSON-003).</t>
        </is>
      </c>
      <c r="P291" s="17" t="n">
        <v>1</v>
      </c>
      <c r="Q291" s="5" t="inlineStr">
        <is>
          <t>FILM-068</t>
        </is>
      </c>
      <c r="R291" s="5" t="inlineStr">
        <is>
          <t>Mukti (1977), her only film with Kapoor</t>
        </is>
      </c>
      <c r="S291" s="5" t="inlineStr">
        <is>
          <t>Renu Khanna is one of several credited writers on Mukti, released in 1977 — the Raj Tilak production written also by Dhruva Chatterjee, Kader Khan and Keka Chatterjee, with a score by R. D. Burman. Two of the film's four writers are women, which was unusual for a commercial Hindi picture of the period, and neither has a surviving biographical record. No Wikipedia article exists for Khanna under this name or any variant attempted during research, and no other source was located. The entry is graded Low and rests on the single film credit.</t>
        </is>
      </c>
      <c r="T291" s="5" t="inlineStr">
        <is>
          <t>SOURCE-054</t>
        </is>
      </c>
      <c r="U291" s="5" t="inlineStr">
        <is>
          <t>Low</t>
        </is>
      </c>
    </row>
    <row r="292" ht="139" customHeight="1">
      <c r="A292" s="15" t="inlineStr">
        <is>
          <t>PERSON-291</t>
        </is>
      </c>
      <c r="B292" s="5" t="inlineStr">
        <is>
          <t>Richard Robbins</t>
        </is>
      </c>
      <c r="C292" s="5" t="inlineStr">
        <is>
          <t>Song composer</t>
        </is>
      </c>
      <c r="D292" s="17" t="n">
        <v>1940</v>
      </c>
      <c r="E292" s="17" t="n">
        <v>2012</v>
      </c>
      <c r="F292" s="5" t="n"/>
      <c r="G292" s="5" t="inlineStr">
        <is>
          <t>English-language international cinema</t>
        </is>
      </c>
      <c r="H292" s="5" t="inlineStr">
        <is>
          <t>Born Richard Stephen Robbins on 4 December 1940; died 7 November 2012. An American composer and producer of motion picture scores, and the house composer of the Merchant Ivory films.</t>
        </is>
      </c>
      <c r="I292" s="5" t="inlineStr">
        <is>
          <t>Composing for Merchant Ivory (PERSON-073) from the late 1970s.</t>
        </is>
      </c>
      <c r="J292" s="5" t="inlineStr">
        <is>
          <t>With Kapoor: Heat and Dust (1983). Elsewhere: Maurice (1987), Howards End (1992) and The Remains of the Day (1993).</t>
        </is>
      </c>
      <c r="K292" s="19" t="inlineStr">
        <is>
          <t>Restrained orchestral scoring for literary adaptation and period drama.</t>
        </is>
      </c>
      <c r="L292" s="19" t="inlineStr">
        <is>
          <t>A composer whose work is inseparable from the Merchant Ivory manner — understated, chamber-scaled and subordinate to performance.</t>
        </is>
      </c>
      <c r="M292" s="5" t="inlineStr">
        <is>
          <t>Academy Award nominations in 1992 for Howards End and in 1993 for The Remains of the Day; a Sammy Film Music Award in 1992 for Howards End; and the Golden Osella for Maurice (1987).</t>
        </is>
      </c>
      <c r="N292" s="19" t="inlineStr">
        <is>
          <t>The musical voice of Merchant Ivory across its most celebrated decade.</t>
        </is>
      </c>
      <c r="O292" s="19" t="inlineStr">
        <is>
          <t>One film, Heat and Dust (1983), directed by James Ivory (PERSON-015) from Ruth Prawer Jhabvala's (PERSON-019) BAFTA-winning screenplay, in which Kapoor plays the Nawab. It is the last of the four Ivory-directed films in his English-language career and the one for which the company's mature style was fully formed. His article does not mention Kapoor.</t>
        </is>
      </c>
      <c r="P292" s="17" t="n">
        <v>1</v>
      </c>
      <c r="Q292" s="5" t="inlineStr">
        <is>
          <t>FILM-109</t>
        </is>
      </c>
      <c r="R292" s="5" t="inlineStr">
        <is>
          <t>Heat and Dust (1983), his only film with Kapoor</t>
        </is>
      </c>
      <c r="S292" s="5" t="inlineStr">
        <is>
          <t>Richard Robbins scored Heat and Dust, the 1983 Merchant Ivory film directed by James Ivory from Ruth Prawer Jhabvala's screenplay, in which Shashi Kapoor plays the Nawab whose household draws in an Englishwoman in the 1920s. It is the last of the four Ivory-directed films in Kapoor's English-language career, and the point at which the company's mature manner is fully formed — a manner to which Robbins's restrained orchestral writing is central, and which would carry it through its most celebrated decade. Jhabvala won a BAFTA for the screenplay. Born Richard Stephen Robbins in 1940, he became Merchant Ivory's house composer and producer of its scores, and was nominated for Academy Awards in 1992 for Howards End, performed by Martin Jones, and in 1993 for The Remains of the Day; he won a Sammy Film Music Award for the former and the Golden Osella for Maurice in 1987. He died in 2012. His article does not mention Kapoor.</t>
        </is>
      </c>
      <c r="T292" s="5" t="inlineStr">
        <is>
          <t>SOURCE-274</t>
        </is>
      </c>
      <c r="U292" s="5" t="inlineStr">
        <is>
          <t>High</t>
        </is>
      </c>
    </row>
    <row r="293" ht="109" customHeight="1">
      <c r="A293" s="15" t="inlineStr">
        <is>
          <t>PERSON-292</t>
        </is>
      </c>
      <c r="B293" s="5" t="inlineStr">
        <is>
          <t>Rob Tara Studios</t>
        </is>
      </c>
      <c r="C293" s="5" t="inlineStr">
        <is>
          <t>Production banner (studio facility)</t>
        </is>
      </c>
      <c r="D293" s="18" t="n"/>
      <c r="E293" s="18" t="n"/>
      <c r="F293" s="5" t="n"/>
      <c r="G293" s="5" t="inlineStr">
        <is>
          <t>Hindi cinema</t>
        </is>
      </c>
      <c r="H293" s="5" t="inlineStr">
        <is>
          <t>No Wikipedia article exists for this studio under the spelling credited, which may itself be a transcription variant. Everything here rests on the credit of the single film.</t>
        </is>
      </c>
      <c r="I293" s="5" t="n"/>
      <c r="J293" s="5" t="inlineStr">
        <is>
          <t>With Kapoor: Neend Hamari Khwab Tumhare (1966).</t>
        </is>
      </c>
      <c r="K293" s="19" t="inlineStr">
        <is>
          <t>Not applicable; a facility credit.</t>
        </is>
      </c>
      <c r="L293" s="19" t="inlineStr">
        <is>
          <t>Not applicable.</t>
        </is>
      </c>
      <c r="M293" s="5" t="n"/>
      <c r="N293" s="19" t="inlineStr">
        <is>
          <t>Not established.</t>
        </is>
      </c>
      <c r="O293" s="19" t="inlineStr">
        <is>
          <t>One banner credit, on Neend Hamari Khwab Tumhare (1966), directed by Shiv Sahni (PERSON-313), produced by Hans Choudhary (PERSON-177), written by Sarshar Sailani (PERSON-300) and scored by Madan Mohan (PERSON-218) — the only Madan Mohan film in this filmography.</t>
        </is>
      </c>
      <c r="P293" s="17" t="n">
        <v>1</v>
      </c>
      <c r="Q293" s="5" t="inlineStr">
        <is>
          <t>FILM-020</t>
        </is>
      </c>
      <c r="R293" s="5" t="inlineStr">
        <is>
          <t>Neend Hamari Khwab Tumhare (1966), its only film with Kapoor</t>
        </is>
      </c>
      <c r="S293" s="5" t="inlineStr">
        <is>
          <t>Rob Tara Studios appears on Neend Hamari Khwab Tumhare, released in 1966 — a film from the year after Shashi Kapoor's rise to stardom, and the only one in this filmography scored by Madan Mohan, generally regarded as the finest composer of ghazals Hindi cinema produced. Apart from him, none of the film's principal credits is documented: its director, producer, writer and this banner all lack biographical records. No Wikipedia article exists for the studio under the spelling credited, which may itself be a transcription variant, and no other source was located. The entry is graded Low.</t>
        </is>
      </c>
      <c r="T293" s="5" t="inlineStr">
        <is>
          <t>SOURCE-015</t>
        </is>
      </c>
      <c r="U293" s="5" t="inlineStr">
        <is>
          <t>Low</t>
        </is>
      </c>
    </row>
    <row r="294" ht="169" customHeight="1">
      <c r="A294" s="15" t="inlineStr">
        <is>
          <t>PERSON-293</t>
        </is>
      </c>
      <c r="B294" s="5" t="inlineStr">
        <is>
          <t>Ruskin Bond</t>
        </is>
      </c>
      <c r="C294" s="5" t="inlineStr">
        <is>
          <t>Writer</t>
        </is>
      </c>
      <c r="D294" s="17" t="n">
        <v>1934</v>
      </c>
      <c r="E294" s="18" t="n"/>
      <c r="F294" s="5" t="n"/>
      <c r="G294" s="5" t="inlineStr">
        <is>
          <t>Indian literature in English</t>
        </is>
      </c>
      <c r="H294" s="5" t="inlineStr">
        <is>
          <t>Born 19 May 1934. An Indian author and poet who has written more than five hundred short stories, essays and novels, including sixty-nine books for children. His first novel, The Room on the Roof, published in 1956, received the John Llewellyn Rhys Prize.</t>
        </is>
      </c>
      <c r="I294" s="5" t="inlineStr">
        <is>
          <t>The Room on the Roof (1956).</t>
        </is>
      </c>
      <c r="J294" s="5" t="inlineStr">
        <is>
          <t>With Kapoor: Junoon (1979), adapted from his novella A Flight of Pigeons. Elsewhere: The Room on the Roof, Our Trees Still Grow in Dehra, The Blue Umbrella, Angry River and Granny's Tree Climbing.</t>
        </is>
      </c>
      <c r="K294" s="19" t="inlineStr">
        <is>
          <t>The Himalayan foothills and small-town north India; childhood, solitude and the residue of the Raj.</t>
        </is>
      </c>
      <c r="L294" s="19" t="inlineStr">
        <is>
          <t>A writer of deceptive plainness, working in short forms and a quiet register.</t>
        </is>
      </c>
      <c r="M294" s="5" t="inlineStr">
        <is>
          <t>The John Llewellyn Rhys Prize (1956); the Sahitya Akademi Award in 1992 for Our Trees Still Grow in Dehra; the Padma Shri in 1999; the Bal Sahitya Puraskar in 2012; and the Padma Bhushan in 2014.</t>
        </is>
      </c>
      <c r="N294" s="19" t="inlineStr">
        <is>
          <t>One of the best-loved writers in Indian English, and the author whose children's books have shaped several generations of readers.</t>
        </is>
      </c>
      <c r="O294" s="19" t="inlineStr">
        <is>
          <t>One credit, and a significant one: Junoon (1979) is adapted from his novella A Flight of Pigeons, about an Englishwoman sheltered by an Indian household during the 1857 rebellion. Shyam Benegal (PERSON-083) directed, Kapoor produced through Film-Valas (PERSON-162) and played Javed Khan, the Pathan whose obsession with the girl destroys him — the darkest role of his career and one he could take only because he paid for the film himself.</t>
        </is>
      </c>
      <c r="P294" s="17" t="n">
        <v>1</v>
      </c>
      <c r="Q294" s="5" t="inlineStr">
        <is>
          <t>FILM-084</t>
        </is>
      </c>
      <c r="R294" s="5" t="inlineStr">
        <is>
          <t>Junoon (1979), his only film with Kapoor</t>
        </is>
      </c>
      <c r="S294" s="5" t="inlineStr">
        <is>
          <t>Ruskin Bond wrote A Flight of Pigeons, the novella from which Junoon was adapted in 1979 — Shyam Benegal's film of the 1857 rebellion, financed by Shashi Kapoor through Film-Valas, in which he plays the Pathan Javed Khan, consumed by his pursuit of an English girl sheltering in his household. It is the least consoling romantic role of his career and among the strongest arguments for taking him seriously as an actor. Bond, born in 1934, has written more than five hundred stories, essays and novels, including sixty-nine for children; his first book won the John Llewellyn Rhys Prize in 1956, and he later received the Sahitya Akademi Award, the Padma Shri and the Padma Bhushan. His article does not mention Kapoor.</t>
        </is>
      </c>
      <c r="T294" s="5" t="inlineStr">
        <is>
          <t>SOURCE-275</t>
        </is>
      </c>
      <c r="U294" s="5" t="inlineStr">
        <is>
          <t>High</t>
        </is>
      </c>
    </row>
    <row r="295" ht="109" customHeight="1">
      <c r="A295" s="15" t="inlineStr">
        <is>
          <t>PERSON-294</t>
        </is>
      </c>
      <c r="B295" s="5" t="inlineStr">
        <is>
          <t>S. Khalil</t>
        </is>
      </c>
      <c r="C295" s="5" t="inlineStr">
        <is>
          <t>Director</t>
        </is>
      </c>
      <c r="D295" s="18" t="n"/>
      <c r="E295" s="18" t="n"/>
      <c r="F295" s="5" t="n"/>
      <c r="G295" s="5" t="inlineStr">
        <is>
          <t>Hindi cinema</t>
        </is>
      </c>
      <c r="H295" s="5" t="inlineStr">
        <is>
          <t>No Wikipedia article exists for him, and none was found under any variant spelling. Everything here rests on the credit of the single film.</t>
        </is>
      </c>
      <c r="I295" s="5" t="n"/>
      <c r="J295" s="5" t="inlineStr">
        <is>
          <t>With Kapoor: Benazir (1964).</t>
        </is>
      </c>
      <c r="K295" s="19" t="inlineStr">
        <is>
          <t>Not established from a single credit.</t>
        </is>
      </c>
      <c r="L295" s="19" t="inlineStr">
        <is>
          <t>Not established; no biographical source was located.</t>
        </is>
      </c>
      <c r="M295" s="5" t="n"/>
      <c r="N295" s="19" t="inlineStr">
        <is>
          <t>Not established.</t>
        </is>
      </c>
      <c r="O295" s="19" t="inlineStr">
        <is>
          <t>One directing credit, on Benazir (1964), produced by Bimal Roy Productions (PERSON-125) and scored by S. D. Burman (PERSON-040) — a film made under the banner of one of Hindi cinema's most distinguished directors but not directed by him, in the uncertain years before Kapoor's stardom.</t>
        </is>
      </c>
      <c r="P295" s="17" t="n">
        <v>1</v>
      </c>
      <c r="Q295" s="5" t="inlineStr">
        <is>
          <t>FILM-014</t>
        </is>
      </c>
      <c r="R295" s="5" t="inlineStr">
        <is>
          <t>Benazir (1964), his only film with Kapoor</t>
        </is>
      </c>
      <c r="S295" s="5" t="inlineStr">
        <is>
          <t>S. Khalil directed Benazir in 1964, his only credit in this filmography — a film produced by Bimal Roy Productions, with a score by S. D. Burman, made in the anxious period before Waqt and Jab Jab Phool Khile established Shashi Kapoor as a star. The association with Roy's company is the point of interest: Kapoor worked twice within that orbit in the early 1960s, on Prem Patra which Roy himself directed and on this film which he only produced. No Wikipedia article exists for Khalil under this name or any variant attempted during research, and no other biographical source was located. The entry is graded Low.</t>
        </is>
      </c>
      <c r="T295" s="5" t="inlineStr">
        <is>
          <t>SOURCE-010</t>
        </is>
      </c>
      <c r="U295" s="5" t="inlineStr">
        <is>
          <t>Low</t>
        </is>
      </c>
    </row>
    <row r="296" ht="244" customHeight="1">
      <c r="A296" s="15" t="inlineStr">
        <is>
          <t>PERSON-295</t>
        </is>
      </c>
      <c r="B296" s="5" t="inlineStr">
        <is>
          <t>S. Sukhdev</t>
        </is>
      </c>
      <c r="C296" s="5" t="inlineStr">
        <is>
          <t>Director</t>
        </is>
      </c>
      <c r="D296" s="17" t="n">
        <v>1933</v>
      </c>
      <c r="E296" s="17" t="n">
        <v>1979</v>
      </c>
      <c r="F296" s="5" t="inlineStr">
        <is>
          <t>1955–1979</t>
        </is>
      </c>
      <c r="G296" s="5" t="inlineStr">
        <is>
          <t>Indian documentary and feature film</t>
        </is>
      </c>
      <c r="H296" s="5" t="inlineStr">
        <is>
          <t>Born Sukhdev Singh Sandhu on 1 October 1933; died 1 March 1979, aged 46. Also known as Sukhdev or Sukh, he was a documentary filmmaker and cinematographer active from the mid-1950s until his death, making more than sixty films, primarily documentaries, short films and commercials. He appears twice in this sheet, here and at PERSON-325, because the credits of his one Kapoor film name him in both short and full forms; see the note below.</t>
        </is>
      </c>
      <c r="I296" s="5" t="inlineStr">
        <is>
          <t>Filmmaking from 1955; The Evolution And Races Of Man received an All India Certificate of Merit in 1962.</t>
        </is>
      </c>
      <c r="J296" s="5" t="inlineStr">
        <is>
          <t>With Kapoor: My Love (1970). Elsewhere: And Miles To Go (1964) and a large body of documentary work.</t>
        </is>
      </c>
      <c r="K296" s="19" t="inlineStr">
        <is>
          <t>Documentary observation of Indian public life; his work ranged from official commissions to sharply critical reportage.</t>
        </is>
      </c>
      <c r="L296" s="19" t="inlineStr">
        <is>
          <t>A documentarian of unusual visual force, working mainly outside the feature industry.</t>
        </is>
      </c>
      <c r="M296" s="5" t="inlineStr">
        <is>
          <t>More than thirty-five national and international awards over his career; the Padma Shri; and, posthumously, Bangladesh's Friends of Liberation War Honour.</t>
        </is>
      </c>
      <c r="N296" s="19" t="inlineStr">
        <is>
          <t>One of the most significant Indian documentary filmmakers of the 1960s and 1970s.</t>
        </is>
      </c>
      <c r="O296" s="19" t="inlineStr">
        <is>
          <t>One film, My Love (1970), scored by Daan Singh (PERSON-147) — a rare feature from a filmmaker whose work was almost entirely documentary, and an unusual entry in Kapoor's filmography for that reason. Important: the film's director field credits both 'S. Sukhdev' and 'Sukhdev Singh Sandhu', which are the same man, so this row and PERSON-325 describe one person and one collaboration, not two. The duplication was found after the collaborator roster had been frozen, and because every PERSON id in this sheet is fixed against that roster the two entries cannot be merged without renumbering the whole list; both are therefore retained and cross-referenced rather than silently corrected.</t>
        </is>
      </c>
      <c r="P296" s="17" t="n">
        <v>1</v>
      </c>
      <c r="Q296" s="5" t="inlineStr">
        <is>
          <t>FILM-034</t>
        </is>
      </c>
      <c r="R296" s="5" t="inlineStr">
        <is>
          <t>My Love (1970), his only film with Kapoor</t>
        </is>
      </c>
      <c r="S296" s="5" t="inlineStr">
        <is>
          <t>S. Sukhdev directed My Love in 1970, his only film with Shashi Kapoor and an unusual credit on both sides: Sukhdev's work was almost entirely documentary, and this is one of the very few features he made. Born Sukhdev Singh Sandhu on 1 October 1933, he made more than sixty films from the mid-1950s — documentaries, shorts and commercials — and won over thirty-five national and international awards along with the Padma Shri and, posthumously, Bangladesh's Friends of Liberation War Honour for his work on the 1971 war. The Evolution And Races Of Man took an All India Certificate of Merit in 1962 and And Miles To Go another in 1964. He died on 1 March 1979, aged forty-six. One caution belongs on this row: it duplicates PERSON-325. The film credits him under both his short working name and his full one, the automated extraction that built this workbook's roster created two entries, and the error was found only after the roster had been frozen — so the duplication is documented openly rather than corrected, and his true collaboration count is one film.</t>
        </is>
      </c>
      <c r="T296" s="5" t="inlineStr">
        <is>
          <t>SOURCE-276</t>
        </is>
      </c>
      <c r="U296" s="5" t="inlineStr">
        <is>
          <t>High</t>
        </is>
      </c>
    </row>
    <row r="297" ht="139" customHeight="1">
      <c r="A297" s="15" t="inlineStr">
        <is>
          <t>PERSON-296</t>
        </is>
      </c>
      <c r="B297" s="5" t="inlineStr">
        <is>
          <t>Salim Khan</t>
        </is>
      </c>
      <c r="C297" s="5" t="inlineStr">
        <is>
          <t>Writer</t>
        </is>
      </c>
      <c r="D297" s="17" t="n">
        <v>1935</v>
      </c>
      <c r="E297" s="18" t="n"/>
      <c r="F297" s="5" t="n"/>
      <c r="G297" s="5" t="inlineStr">
        <is>
          <t>Hindi cinema</t>
        </is>
      </c>
      <c r="H297" s="5" t="inlineStr">
        <is>
          <t>Born Salim Abdul Rashid Khan on 24 November 1935. A screenwriter, actor and film producer, best known as one half of the duo Salim–Javed (PERSON-010) with Javed Akhtar. Within that partnership he primarily developed stories and characters while Akhtar concentrated on dialogue and screenplay.</t>
        </is>
      </c>
      <c r="I297" s="5" t="inlineStr">
        <is>
          <t>Writing from the late 1960s; the Salim–Javed partnership ran from 1971 to 1982.</t>
        </is>
      </c>
      <c r="J297" s="5" t="inlineStr">
        <is>
          <t>With Kapoor, alone: Akayla (1991). With Javed Akhtar, six further films in this filmography, recorded at PERSON-010. Elsewhere: Zanjeer (1973) and the run of films that created the angry young man.</t>
        </is>
      </c>
      <c r="K297" s="19" t="inlineStr">
        <is>
          <t>The wronged protagonist and his confrontation with power; the masala film and the Dacoit Western.</t>
        </is>
      </c>
      <c r="L297" s="19" t="inlineStr">
        <is>
          <t>A story and character man rather than a dialogue writer, by his own partnership's division of labour.</t>
        </is>
      </c>
      <c r="M297" s="5" t="inlineStr">
        <is>
          <t>Six Filmfare Awards as part of Salim–Javed. In 2014 he was offered the Padma Shri and declined it, stating that he deserved a higher honour.</t>
        </is>
      </c>
      <c r="N297" s="19" t="inlineStr">
        <is>
          <t>With Javed Akhtar, the writer who reinvented commercial Hindi cinema in the 1970s and created the archetype against which Kapoor's screen persona was repeatedly set.</t>
        </is>
      </c>
      <c r="O297" s="19" t="inlineStr">
        <is>
          <t>One solo writing credit, on Akayla (1991), directed by Ramesh Sippy (PERSON-038) and produced by Mushir-Riaz (PERSON-074) — a late Amitabh Bachchan vehicle in which Kapoor's part is supporting. It comes nine years after the Salim–Javed split, and this row records the solo credit; the six films written with Javed Akhtar are recorded separately under the partnership.</t>
        </is>
      </c>
      <c r="P297" s="17" t="n">
        <v>1</v>
      </c>
      <c r="Q297" s="5" t="inlineStr">
        <is>
          <t>FILM-146</t>
        </is>
      </c>
      <c r="R297" s="5" t="inlineStr">
        <is>
          <t>Akayla (1991), his only solo credit with Kapoor</t>
        </is>
      </c>
      <c r="S297" s="5" t="inlineStr">
        <is>
          <t>Salim Khan appears twice in this workbook: six times as half of Salim–Javed, whose scripts for Deewaar, Trishul, Kaala Patthar, Shaan, Immaan Dharam and Kranti shaped Shashi Kapoor's peak decade, and once alone, on Akayla in 1991 — a late Ramesh Sippy film built around Amitabh Bachchan in which Kapoor plays a supporting part. The solo credit comes nine years after the partnership dissolved in 1982. Born in 1935, Khan supplied the stories and characters within the duo while Javed Akhtar wrote the dialogue, and together they created the angry young man and the modern masala film. He has six Filmfare Awards and, in 2014, declined the Padma Shri on the ground that he merited a higher honour.</t>
        </is>
      </c>
      <c r="T297" s="5" t="inlineStr">
        <is>
          <t>SOURCE-277</t>
        </is>
      </c>
      <c r="U297" s="5" t="inlineStr">
        <is>
          <t>High</t>
        </is>
      </c>
    </row>
    <row r="298" ht="109" customHeight="1">
      <c r="A298" s="15" t="inlineStr">
        <is>
          <t>PERSON-297</t>
        </is>
      </c>
      <c r="B298" s="5" t="inlineStr">
        <is>
          <t>Santosh Saroj</t>
        </is>
      </c>
      <c r="C298" s="5" t="inlineStr">
        <is>
          <t>Writer</t>
        </is>
      </c>
      <c r="D298" s="18" t="n"/>
      <c r="E298" s="18" t="n"/>
      <c r="F298" s="5" t="n"/>
      <c r="G298" s="5" t="inlineStr">
        <is>
          <t>Hindi cinema</t>
        </is>
      </c>
      <c r="H298" s="5" t="inlineStr">
        <is>
          <t>A Hindi screenwriter and dialogue writer. His article gives no dates. He worked as an assistant director on Mausam (1975) and Raaste Ka Patthar before establishing himself as a writer, and has also directed two films, Waqt Waqt ki Baat and Pyar Mein Sauda Nahin.</t>
        </is>
      </c>
      <c r="I298" s="5" t="inlineStr">
        <is>
          <t>Assistant directing in the mid-1970s; writing from the 1980s.</t>
        </is>
      </c>
      <c r="J298" s="5" t="inlineStr">
        <is>
          <t>With Kapoor: Naam O Nishan (1987). Elsewhere: Shahenshah (1988), Agneepath (1990) and Major Saab (1998); his last credit as writer was Sirf (2008).</t>
        </is>
      </c>
      <c r="K298" s="19" t="inlineStr">
        <is>
          <t>Dialogue for star-driven action drama, several of them Amitabh Bachchan vehicles.</t>
        </is>
      </c>
      <c r="L298" s="19" t="inlineStr">
        <is>
          <t>A dialogue specialist in the declamatory tradition of the 1980s and 1990s action film.</t>
        </is>
      </c>
      <c r="M298" s="5" t="n"/>
      <c r="N298" s="19" t="inlineStr">
        <is>
          <t>The writer of Agneepath and Shahenshah, two of the defining Bachchan vehicles of their period.</t>
        </is>
      </c>
      <c r="O298" s="19" t="inlineStr">
        <is>
          <t>One writing credit, on Naam O Nishan (1987), directed by Ajay Kashyap (PERSON-090), produced by B. P. Verma (PERSON-112) and scored by Anu Malik (PERSON-053) — a late action picture in which Kapoor appears as the senior supporting figure. His article does not mention Kapoor.</t>
        </is>
      </c>
      <c r="P298" s="17" t="n">
        <v>1</v>
      </c>
      <c r="Q298" s="5" t="inlineStr">
        <is>
          <t>FILM-128</t>
        </is>
      </c>
      <c r="R298" s="5" t="inlineStr">
        <is>
          <t>Naam O Nishan (1987), his only film with Kapoor</t>
        </is>
      </c>
      <c r="S298" s="5" t="inlineStr">
        <is>
          <t>Santosh Saroj wrote Naam O Nishan in 1987, his only credit in this filmography — a late action picture directed by Ajay Kashyap with an Anu Malik score, from the phase in which Shashi Kapoor had become a senior supporting presence. Saroj's larger reputation rests on the films that came immediately after: Shahenshah in 1988 and Agneepath in 1990, two of the defining Amitabh Bachchan vehicles of their period, followed by Major Saab in 1998. He had begun as an assistant director on Mausam and Raaste Ka Patthar, later directed two films of his own, and wrote his last script for Sirf in 2008. His article gives no dates and does not mention Kapoor.</t>
        </is>
      </c>
      <c r="T298" s="5" t="inlineStr">
        <is>
          <t>SOURCE-278</t>
        </is>
      </c>
      <c r="U298" s="5" t="inlineStr">
        <is>
          <t>Medium</t>
        </is>
      </c>
    </row>
    <row r="299" ht="139" customHeight="1">
      <c r="A299" s="15" t="inlineStr">
        <is>
          <t>PERSON-298</t>
        </is>
      </c>
      <c r="B299" s="5" t="inlineStr">
        <is>
          <t>Sarah Radclyffe</t>
        </is>
      </c>
      <c r="C299" s="5" t="inlineStr">
        <is>
          <t>Producer</t>
        </is>
      </c>
      <c r="D299" s="17" t="n">
        <v>1950</v>
      </c>
      <c r="E299" s="18" t="n"/>
      <c r="F299" s="5" t="inlineStr">
        <is>
          <t>1979–present</t>
        </is>
      </c>
      <c r="G299" s="5" t="inlineStr">
        <is>
          <t>British cinema</t>
        </is>
      </c>
      <c r="H299" s="5" t="inlineStr">
        <is>
          <t>Born 14 November 1950, and sometimes credited as Sarah Radcliffe. A British film producer who, with Tim Bevan, co-founded Working Title Films in 1983; she left the company in 1991. She had worked on the series The Comic Strip Presents in 1983–84.</t>
        </is>
      </c>
      <c r="I299" s="5" t="inlineStr">
        <is>
          <t>Producing from 1979; Working Title's first significant production was My Beautiful Laundrette (1985).</t>
        </is>
      </c>
      <c r="J299" s="5" t="inlineStr">
        <is>
          <t>With Kapoor: Sammy and Rosie Get Laid (1987). Elsewhere: My Beautiful Laundrette (1985) and the early Working Title slate.</t>
        </is>
      </c>
      <c r="K299" s="19" t="inlineStr">
        <is>
          <t>Socially engaged British filmmaking of the 1980s, particularly on race, class and sexuality.</t>
        </is>
      </c>
      <c r="L299" s="19" t="inlineStr">
        <is>
          <t>Not applicable; a producer, and one of the architects of the British independent revival of the 1980s.</t>
        </is>
      </c>
      <c r="M299" s="5" t="n"/>
      <c r="N299" s="19" t="inlineStr">
        <is>
          <t>Co-founder of Working Title Films, which became the most commercially successful British production company of its era.</t>
        </is>
      </c>
      <c r="O299" s="19" t="inlineStr">
        <is>
          <t>One producing credit, on Sammy and Rosie Get Laid (1987), directed by Stephen Frears (PERSON-320), written by Hanif Kureishi (PERSON-176) and financed by FilmFour International (PERSON-163), in which Kapoor plays Rafi, a former minister implicated in torture. The film is the second Frears–Kureishi collaboration after My Beautiful Laundrette, which Radclyffe had also produced.</t>
        </is>
      </c>
      <c r="P299" s="17" t="n">
        <v>1</v>
      </c>
      <c r="Q299" s="5" t="inlineStr">
        <is>
          <t>FILM-132</t>
        </is>
      </c>
      <c r="R299" s="5" t="inlineStr">
        <is>
          <t>Sammy and Rosie Get Laid (1987), her only film with Kapoor</t>
        </is>
      </c>
      <c r="S299" s="5" t="inlineStr">
        <is>
          <t>Sarah Radclyffe produced Sammy and Rosie Get Laid, the 1987 Stephen Frears film written by Hanif Kureishi in which Shashi Kapoor plays Rafi, a former government minister with torture behind him, visiting his son in a London torn by riots. It is the hardest role of his career, and it came to him through the most significant production partnership in 1980s British cinema: Radclyffe, born in 1950, had co-founded Working Title Films with Tim Bevan in 1983 and produced My Beautiful Laundrette, the first Frears–Kureishi film, two years earlier. She left Working Title in 1991, before it became the dominant British studio of the following decades. Her article does not mention Kapoor.</t>
        </is>
      </c>
      <c r="T299" s="5" t="inlineStr">
        <is>
          <t>SOURCE-279</t>
        </is>
      </c>
      <c r="U299" s="5" t="inlineStr">
        <is>
          <t>High</t>
        </is>
      </c>
    </row>
    <row r="300" ht="94" customHeight="1">
      <c r="A300" s="15" t="inlineStr">
        <is>
          <t>PERSON-299</t>
        </is>
      </c>
      <c r="B300" s="5" t="inlineStr">
        <is>
          <t>Sargam Pictures' Unit</t>
        </is>
      </c>
      <c r="C300" s="5" t="inlineStr">
        <is>
          <t>Producer (collective credit)</t>
        </is>
      </c>
      <c r="D300" s="18" t="n"/>
      <c r="E300" s="18" t="n"/>
      <c r="F300" s="5" t="n"/>
      <c r="G300" s="5" t="inlineStr">
        <is>
          <t>Hindi cinema</t>
        </is>
      </c>
      <c r="H300" s="5" t="inlineStr">
        <is>
          <t>Not an individual but a collective credit, as the film's own infobox records it: the production unit of Sargam Pictures. No article exists for the company, and the credit is preserved here in the form the source gives.</t>
        </is>
      </c>
      <c r="I300" s="5" t="n"/>
      <c r="J300" s="5" t="inlineStr">
        <is>
          <t>With Kapoor: Sangram (1950).</t>
        </is>
      </c>
      <c r="K300" s="19" t="inlineStr">
        <is>
          <t>Not established from a single credit.</t>
        </is>
      </c>
      <c r="L300" s="19" t="inlineStr">
        <is>
          <t>Not applicable.</t>
        </is>
      </c>
      <c r="M300" s="5" t="n"/>
      <c r="N300" s="19" t="inlineStr">
        <is>
          <t>Not established.</t>
        </is>
      </c>
      <c r="O300" s="19" t="inlineStr">
        <is>
          <t>One producing credit, on Sangram (1950) — a Bombay Talkies (PERSON-130) production directed and co-written by Gyan Mukherjee (PERSON-174) and scored by C. Ramchandra (PERSON-028), in which the twelve-year-old Kapoor appears as a child actor billed Shashiraj.</t>
        </is>
      </c>
      <c r="P300" s="17" t="n">
        <v>1</v>
      </c>
      <c r="Q300" s="5" t="inlineStr">
        <is>
          <t>FILM-002</t>
        </is>
      </c>
      <c r="R300" s="5" t="inlineStr">
        <is>
          <t>Sangram (1950), its only film with Kapoor</t>
        </is>
      </c>
      <c r="S300" s="5" t="inlineStr">
        <is>
          <t>Sargam Pictures' Unit is the producer credit on Sangram, released in 1950 — one of the child-actor films that open this filmography, made at Bombay Talkies under the direction of Gyan Mukherjee, who had made Kismet seven years earlier, with a C. Ramchandra score. The credit is a collective one, naming a production unit rather than a person, and it is preserved in the form the film's own infobox gives it; this workbook retains such credits rather than discarding them, since removing a credited producer would falsify the record. No article exists for the company. The entry is graded Low.</t>
        </is>
      </c>
      <c r="T300" s="5" t="inlineStr">
        <is>
          <t>SOURCE-003</t>
        </is>
      </c>
      <c r="U300" s="5" t="inlineStr">
        <is>
          <t>Low</t>
        </is>
      </c>
    </row>
    <row r="301" ht="94" customHeight="1">
      <c r="A301" s="15" t="inlineStr">
        <is>
          <t>PERSON-300</t>
        </is>
      </c>
      <c r="B301" s="5" t="inlineStr">
        <is>
          <t>Sarshar Sailani</t>
        </is>
      </c>
      <c r="C301" s="5" t="inlineStr">
        <is>
          <t>Writer</t>
        </is>
      </c>
      <c r="D301" s="18" t="n"/>
      <c r="E301" s="18" t="n"/>
      <c r="F301" s="5" t="n"/>
      <c r="G301" s="5" t="inlineStr">
        <is>
          <t>Hindi cinema</t>
        </is>
      </c>
      <c r="H301" s="5" t="inlineStr">
        <is>
          <t>No Wikipedia article exists for him, and none was found under any variant spelling. Everything here rests on the credit of the single film.</t>
        </is>
      </c>
      <c r="I301" s="5" t="n"/>
      <c r="J301" s="5" t="inlineStr">
        <is>
          <t>With Kapoor: Neend Hamari Khwab Tumhare (1966).</t>
        </is>
      </c>
      <c r="K301" s="19" t="inlineStr">
        <is>
          <t>Not established from a single credit.</t>
        </is>
      </c>
      <c r="L301" s="19" t="inlineStr">
        <is>
          <t>Not established; no biographical source was located.</t>
        </is>
      </c>
      <c r="M301" s="5" t="n"/>
      <c r="N301" s="19" t="inlineStr">
        <is>
          <t>Not established.</t>
        </is>
      </c>
      <c r="O301" s="19" t="inlineStr">
        <is>
          <t>One writing credit, on Neend Hamari Khwab Tumhare (1966), directed by Shiv Sahni (PERSON-313), produced by Hans Choudhary (PERSON-177) and scored by Madan Mohan (PERSON-218).</t>
        </is>
      </c>
      <c r="P301" s="17" t="n">
        <v>1</v>
      </c>
      <c r="Q301" s="5" t="inlineStr">
        <is>
          <t>FILM-020</t>
        </is>
      </c>
      <c r="R301" s="5" t="inlineStr">
        <is>
          <t>Neend Hamari Khwab Tumhare (1966), his only film with Kapoor</t>
        </is>
      </c>
      <c r="S301" s="5" t="inlineStr">
        <is>
          <t>Sarshar Sailani wrote Neend Hamari Khwab Tumhare, released in 1966 — a film from the year after Shashi Kapoor's rise to stardom and the only one in this filmography with a score by Madan Mohan, the finest composer of film ghazals Hindi cinema produced. The name is a takhallus of the kind Urdu poets adopted, which suggests a literary background, but nothing found in research confirms it: no Wikipedia article exists under this name or any variant attempted, and no other biographical source was located. Apart from the composer, none of the film's principal credits is documented. The entry is graded Low.</t>
        </is>
      </c>
      <c r="T301" s="5" t="inlineStr">
        <is>
          <t>SOURCE-015</t>
        </is>
      </c>
      <c r="U301" s="5" t="inlineStr">
        <is>
          <t>Low</t>
        </is>
      </c>
    </row>
    <row r="302" ht="94" customHeight="1">
      <c r="A302" s="15" t="inlineStr">
        <is>
          <t>PERSON-301</t>
        </is>
      </c>
      <c r="B302" s="5" t="inlineStr">
        <is>
          <t>Satish Bhatia</t>
        </is>
      </c>
      <c r="C302" s="5" t="inlineStr">
        <is>
          <t>Producer</t>
        </is>
      </c>
      <c r="D302" s="18" t="n"/>
      <c r="E302" s="18" t="n"/>
      <c r="F302" s="5" t="n"/>
      <c r="G302" s="5" t="inlineStr">
        <is>
          <t>Hindi cinema</t>
        </is>
      </c>
      <c r="H302" s="5" t="inlineStr">
        <is>
          <t>No Wikipedia article exists for him, and none was found under any variant spelling. Everything here rests on the credit of the single film.</t>
        </is>
      </c>
      <c r="I302" s="5" t="n"/>
      <c r="J302" s="5" t="inlineStr">
        <is>
          <t>With Kapoor: Anari (1975).</t>
        </is>
      </c>
      <c r="K302" s="19" t="inlineStr">
        <is>
          <t>Not established from a single credit.</t>
        </is>
      </c>
      <c r="L302" s="19" t="inlineStr">
        <is>
          <t>Not applicable; no biographical source was located.</t>
        </is>
      </c>
      <c r="M302" s="5" t="n"/>
      <c r="N302" s="19" t="inlineStr">
        <is>
          <t>Not established.</t>
        </is>
      </c>
      <c r="O302" s="19" t="inlineStr">
        <is>
          <t>One producing credit, on Anari (1975), made with Inder Kapoor (PERSON-181), directed by Asit Sen (PERSON-054) and scored by Laxmikant–Pyarelal (PERSON-001) — one of the quieter films of Kapoor's strongest commercial year.</t>
        </is>
      </c>
      <c r="P302" s="17" t="n">
        <v>1</v>
      </c>
      <c r="Q302" s="5" t="inlineStr">
        <is>
          <t>FILM-051</t>
        </is>
      </c>
      <c r="R302" s="5" t="inlineStr">
        <is>
          <t>Anari (1975), his only film with Kapoor</t>
        </is>
      </c>
      <c r="S302" s="5" t="inlineStr">
        <is>
          <t>Satish Bhatia produced Anari in 1975 with Inder Kapoor, his only credit in this filmography. The film was directed by Asit Sen, whose reputation had been made in Bengali art melodrama with Deep Jweley Jai and Uttar Falguni, and scored by Laxmikant–Pyarelal; it sits at the quieter end of Shashi Kapoor's output in the year of Deewaar and Prem Kahani. No Wikipedia article exists for Bhatia under this name or any variant attempted during research, and no other biographical source was located. The entry is graded Low and rests on the single film credit.</t>
        </is>
      </c>
      <c r="T302" s="5" t="inlineStr">
        <is>
          <t>SOURCE-040</t>
        </is>
      </c>
      <c r="U302" s="5" t="inlineStr">
        <is>
          <t>Low</t>
        </is>
      </c>
    </row>
    <row r="303" ht="184" customHeight="1">
      <c r="A303" s="15" t="inlineStr">
        <is>
          <t>PERSON-302</t>
        </is>
      </c>
      <c r="B303" s="5" t="inlineStr">
        <is>
          <t>Satyajit Ray</t>
        </is>
      </c>
      <c r="C303" s="5" t="inlineStr">
        <is>
          <t>Song composer</t>
        </is>
      </c>
      <c r="D303" s="17" t="n">
        <v>1921</v>
      </c>
      <c r="E303" s="17" t="n">
        <v>1992</v>
      </c>
      <c r="F303" s="5" t="inlineStr">
        <is>
          <t>1950–1992</t>
        </is>
      </c>
      <c r="G303" s="5" t="inlineStr">
        <is>
          <t>Bengali cinema</t>
        </is>
      </c>
      <c r="H303" s="5" t="inlineStr">
        <is>
          <t>Born in Calcutta on 2 May 1921 to the author Sukumar Ray; died 23 April 1992. A film director, screenwriter, author, lyricist, magazine editor, illustrator, calligrapher and composer, widely considered one of the greatest and most influential directors in the history of cinema. He began as a commercial artist and was drawn into independent filmmaking after meeting Jean Renoir.</t>
        </is>
      </c>
      <c r="I303" s="5" t="inlineStr">
        <is>
          <t>Directing from 1950; The Apu Trilogy (1955–1959) established him internationally.</t>
        </is>
      </c>
      <c r="J303" s="5" t="inlineStr">
        <is>
          <t>With Kapoor: Shakespeare Wallah (1965), for which he composed the music. Elsewhere: The Apu Trilogy, The Music Room (1958), The Big City (1963), Charulata (1964) and the Goopy–Bagha trilogy.</t>
        </is>
      </c>
      <c r="K303" s="19" t="inlineStr">
        <is>
          <t>In his own films, the encounter between tradition and modernity, and the interior lives of ordinary people; as a composer, spare scoring rooted in Indian classical and Bengali idioms.</t>
        </is>
      </c>
      <c r="L303" s="19" t="inlineStr">
        <is>
          <t>From the 1960s Ray composed the music for his own films as well as directing them; his scoring is restrained and thematically economical.</t>
        </is>
      </c>
      <c r="M303" s="5" t="inlineStr">
        <is>
          <t>A record thirty-seven Indian National Film Awards including the Dadasaheb Phalke Award (1984), a Golden Lion, a Golden Bear, two Silver Bears, and the Academy Honorary Award in 1992.</t>
        </is>
      </c>
      <c r="N303" s="19" t="inlineStr">
        <is>
          <t>The most internationally celebrated filmmaker India has produced, and the figure through whom Indian cinema entered the global canon.</t>
        </is>
      </c>
      <c r="O303" s="19" t="inlineStr">
        <is>
          <t>One credit, and an extraordinary one: Ray composed the music for Shakespeare Wallah (1965), the Merchant Ivory film in which Kapoor plays the film star Sanju opposite Felicity Kendal. He did not direct it — James Ivory (PERSON-015) did — but his involvement places the film that established Kapoor's art-cinema standing in the hands of the country's greatest director-composer. The film drew on the touring theatrical world of Geoffrey Kendal, father of Kapoor's wife Jennifer.</t>
        </is>
      </c>
      <c r="P303" s="17" t="n">
        <v>1</v>
      </c>
      <c r="Q303" s="5" t="inlineStr">
        <is>
          <t>FILM-015</t>
        </is>
      </c>
      <c r="R303" s="5" t="inlineStr">
        <is>
          <t>Shakespeare Wallah (1965), his only film with Kapoor</t>
        </is>
      </c>
      <c r="S303" s="5" t="inlineStr">
        <is>
          <t>Satyajit Ray composed the music for Shakespeare Wallah, the 1965 Merchant Ivory film in which Shashi Kapoor plays a Bombay film star opposite Felicity Kendal's young actress from a declining English touring company. It is his only credit in this filmography and he did not direct the film — James Ivory did — but the fact remains striking: the picture that established Kapoor internationally, in the same year Waqt and Jab Jab Phool Khile made him a mass-market star at home, carries a score by the most celebrated filmmaker India has produced. The subject was close to his own preoccupations, and close to Kapoor's life, since the film drew on the touring theatrical world of Geoffrey Kendal, the father of his wife Jennifer. Ray, born in Calcutta in 1921 to the writer Sukumar Ray, came to filmmaking from commercial art after meeting Jean Renoir, made The Apu Trilogy, Charulata and The Music Room, and from the 1960s scored his own films as well as directing them. He won a record thirty-seven National Film Awards, a Golden Lion, a Golden Bear and an Academy Honorary Award shortly before his death in 1992.</t>
        </is>
      </c>
      <c r="T303" s="5" t="inlineStr">
        <is>
          <t>SOURCE-280</t>
        </is>
      </c>
      <c r="U303" s="5" t="inlineStr">
        <is>
          <t>High</t>
        </is>
      </c>
    </row>
    <row r="304" ht="109" customHeight="1">
      <c r="A304" s="15" t="inlineStr">
        <is>
          <t>PERSON-303</t>
        </is>
      </c>
      <c r="B304" s="5" t="inlineStr">
        <is>
          <t>Satyendra Pal</t>
        </is>
      </c>
      <c r="C304" s="5" t="inlineStr">
        <is>
          <t>Producer</t>
        </is>
      </c>
      <c r="D304" s="18" t="n"/>
      <c r="E304" s="18" t="n"/>
      <c r="F304" s="5" t="n"/>
      <c r="G304" s="5" t="inlineStr">
        <is>
          <t>Hindi cinema</t>
        </is>
      </c>
      <c r="H304" s="5" t="inlineStr">
        <is>
          <t>No Wikipedia article exists for him, and none was found under any variant spelling. Everything here rests on the credit of the single film.</t>
        </is>
      </c>
      <c r="I304" s="5" t="n"/>
      <c r="J304" s="5" t="inlineStr">
        <is>
          <t>With Kapoor: Namak Halaal (1982).</t>
        </is>
      </c>
      <c r="K304" s="19" t="inlineStr">
        <is>
          <t>Not established from a single credit.</t>
        </is>
      </c>
      <c r="L304" s="19" t="inlineStr">
        <is>
          <t>Not applicable; no biographical source was located.</t>
        </is>
      </c>
      <c r="M304" s="5" t="n"/>
      <c r="N304" s="19" t="inlineStr">
        <is>
          <t>Not established, despite a credit on one of the best-known films of its decade.</t>
        </is>
      </c>
      <c r="O304" s="19" t="inlineStr">
        <is>
          <t>One producing credit, on Namak Halaal (1982), directed by Prakash Mehra (PERSON-077), written by Kader Khan (PERSON-007) and Laxmikant Sharma (PERSON-209), and scored by Bappi Lahiri (PERSON-004) — an Amitabh Bachchan vehicle in which Kapoor plays the wealthy employer.</t>
        </is>
      </c>
      <c r="P304" s="17" t="n">
        <v>1</v>
      </c>
      <c r="Q304" s="5" t="inlineStr">
        <is>
          <t>FILM-105</t>
        </is>
      </c>
      <c r="R304" s="5" t="inlineStr">
        <is>
          <t>Namak Halaal (1982), his only film with Kapoor</t>
        </is>
      </c>
      <c r="S304" s="5" t="inlineStr">
        <is>
          <t>Satyendra Pal produced Namak Halaal in 1982, his only credit in this filmography — the Prakash Mehra picture built around Amitabh Bachchan, with Kader Khan's dialogue and Bappi Lahiri's songs, among the best-remembered commercial films of its decade. Shashi Kapoor plays the wealthy employer, a substantial but clearly subordinate role, and the film is a useful marker of how far his position had shifted by the early 1980s. No Wikipedia article exists for the producer under this name or any variant attempted during research, and no other biographical source was located. The entry is graded Low.</t>
        </is>
      </c>
      <c r="T304" s="5" t="inlineStr">
        <is>
          <t>SOURCE-087</t>
        </is>
      </c>
      <c r="U304" s="5" t="inlineStr">
        <is>
          <t>Low</t>
        </is>
      </c>
    </row>
    <row r="305" ht="139" customHeight="1">
      <c r="A305" s="15" t="inlineStr">
        <is>
          <t>PERSON-304</t>
        </is>
      </c>
      <c r="B305" s="5" t="inlineStr">
        <is>
          <t>Sawan Kumar Tak</t>
        </is>
      </c>
      <c r="C305" s="5" t="inlineStr">
        <is>
          <t>Director; Producer</t>
        </is>
      </c>
      <c r="D305" s="17" t="n">
        <v>1936</v>
      </c>
      <c r="E305" s="17" t="n">
        <v>2022</v>
      </c>
      <c r="F305" s="5" t="inlineStr">
        <is>
          <t>1967–2006</t>
        </is>
      </c>
      <c r="G305" s="5" t="inlineStr">
        <is>
          <t>Hindi cinema</t>
        </is>
      </c>
      <c r="H305" s="5" t="inlineStr">
        <is>
          <t>Born Saawan Kumar Tak on 9 August 1936; died 25 August 2022. A film director, producer and lyricist. He began as producer of Naunihal (1967), which received a Presidential mention at the National Awards, and gave the actor Haribhai Jariwala the name Sanjeev Kumar. His directorial debut, Gomti Ke Kinare (1972), was Meena Kumari's last film and was released posthumously.</t>
        </is>
      </c>
      <c r="I305" s="5" t="inlineStr">
        <is>
          <t>Producing from 1967; directing from 1972.</t>
        </is>
      </c>
      <c r="J305" s="5" t="inlineStr">
        <is>
          <t>With Kapoor: Pyar Ki Jeet (1987), which he directed and produced. Elsewhere: Saajan Bina Suhagan, Souten, Souten Ki Beti, Sanam Bewafa and Bewaffa Se Waffa.</t>
        </is>
      </c>
      <c r="K305" s="19" t="inlineStr">
        <is>
          <t>Melodrama of marriage, rivalry and the second woman — the Souten films are built entirely on that premise.</t>
        </is>
      </c>
      <c r="L305" s="19" t="inlineStr">
        <is>
          <t>A commercial melodramatist who also wrote lyrics prolifically for his own films.</t>
        </is>
      </c>
      <c r="M305" s="5" t="n"/>
      <c r="N305" s="19" t="inlineStr">
        <is>
          <t>The director of Souten, the first Indian film shot in Mauritius and a major commercial success for Rajesh Khanna.</t>
        </is>
      </c>
      <c r="O305" s="19" t="inlineStr">
        <is>
          <t>One film, Pyar Ki Jeet (1987), which he directed and produced, scored by Usha Khanna (PERSON-047) — to whom, as her article records, he was married, though the couple separated. It is a late credit in Kapoor's career, from the years when his leading roles had become scarce. His article does not mention Kapoor.</t>
        </is>
      </c>
      <c r="P305" s="17" t="n">
        <v>1</v>
      </c>
      <c r="Q305" s="5" t="inlineStr">
        <is>
          <t>FILM-129</t>
        </is>
      </c>
      <c r="R305" s="5" t="inlineStr">
        <is>
          <t>Pyar Ki Jeet (1987), his only film with Kapoor</t>
        </is>
      </c>
      <c r="S305" s="5" t="inlineStr">
        <is>
          <t>Saawan Kumar Tak directed and produced Pyar Ki Jeet in 1987, his only film with Shashi Kapoor, with songs by Usha Khanna — to whom he was married, according to her own article, though the couple later separated. It is a late credit for both of them, from the years when Kapoor's leading roles had become scarce. Born on 9 August 1936, Tak began as the producer of Naunihal in 1967, the film that gave Haribhai Jariwala both his break and the screen name Sanjeev Kumar, and which received a Presidential mention at the National Awards; his directorial debut, Gomti Ke Kinare in 1972, was Meena Kumari's last film and was released after her death. He built a long career on melodramas of marriage and rivalry — Saajan Bina Suhagan, Souten, Souten Ki Beti, Sanam Bewafa, Bewaffa Se Waffa — of which Souten, a major success for Rajesh Khanna, was the first Indian film shot in Mauritius. He wrote lyrics prolifically for his own pictures, and died on 25 August 2022.</t>
        </is>
      </c>
      <c r="T305" s="5" t="inlineStr">
        <is>
          <t>SOURCE-281</t>
        </is>
      </c>
      <c r="U305" s="5" t="inlineStr">
        <is>
          <t>High</t>
        </is>
      </c>
    </row>
    <row r="306" ht="79" customHeight="1">
      <c r="A306" s="15" t="inlineStr">
        <is>
          <t>PERSON-305</t>
        </is>
      </c>
      <c r="B306" s="5" t="inlineStr">
        <is>
          <t>Screen Idol Productions</t>
        </is>
      </c>
      <c r="C306" s="5" t="inlineStr">
        <is>
          <t>Production banner</t>
        </is>
      </c>
      <c r="D306" s="18" t="n"/>
      <c r="E306" s="18" t="n"/>
      <c r="F306" s="5" t="n"/>
      <c r="G306" s="5" t="inlineStr">
        <is>
          <t>Hindi cinema</t>
        </is>
      </c>
      <c r="H306" s="5" t="inlineStr">
        <is>
          <t>No Wikipedia article exists for this banner. Everything here rests on the credit of the single film.</t>
        </is>
      </c>
      <c r="I306" s="5" t="n"/>
      <c r="J306" s="5" t="inlineStr">
        <is>
          <t>With Kapoor: Neeyat (1980).</t>
        </is>
      </c>
      <c r="K306" s="19" t="inlineStr">
        <is>
          <t>Not established from a single credit.</t>
        </is>
      </c>
      <c r="L306" s="19" t="inlineStr">
        <is>
          <t>Not applicable.</t>
        </is>
      </c>
      <c r="M306" s="5" t="n"/>
      <c r="N306" s="19" t="inlineStr">
        <is>
          <t>Not established.</t>
        </is>
      </c>
      <c r="O306" s="19" t="inlineStr">
        <is>
          <t>One banner credit, on Neeyat (1980), directed by Anil Ganguly (PERSON-052), produced by Manoj Kaytee (PERSON-220) and Pradeep Sharma (PERSON-252), and scored by Kalyanji–Anandji (PERSON-002).</t>
        </is>
      </c>
      <c r="P306" s="17" t="n">
        <v>1</v>
      </c>
      <c r="Q306" s="5" t="inlineStr">
        <is>
          <t>FILM-093</t>
        </is>
      </c>
      <c r="R306" s="5" t="inlineStr">
        <is>
          <t>Neeyat (1980), its only film with Kapoor</t>
        </is>
      </c>
      <c r="S306" s="5" t="inlineStr">
        <is>
          <t>Screen Idol Productions is the banner on Neeyat, released in 1980 — an Anil Ganguly film with an unusually crowded writing credit, four names on the script, and a Kalyanji–Anandji score. It comes from the turn of the decade, when Shashi Kapoor was still working constantly but his run of major commercial successes was nearing its end. No Wikipedia article exists for the company, and no other source was located during research, so nothing can be said about its ownership or other productions. The entry is graded Low.</t>
        </is>
      </c>
      <c r="T306" s="5" t="inlineStr">
        <is>
          <t>SOURCE-077</t>
        </is>
      </c>
      <c r="U306" s="5" t="inlineStr">
        <is>
          <t>Low</t>
        </is>
      </c>
    </row>
    <row r="307" ht="109" customHeight="1">
      <c r="A307" s="15" t="inlineStr">
        <is>
          <t>PERSON-306</t>
        </is>
      </c>
      <c r="B307" s="5" t="inlineStr">
        <is>
          <t>Shahrukh Husain</t>
        </is>
      </c>
      <c r="C307" s="5" t="inlineStr">
        <is>
          <t>Writer</t>
        </is>
      </c>
      <c r="D307" s="17" t="n">
        <v>1950</v>
      </c>
      <c r="E307" s="18" t="n"/>
      <c r="F307" s="5" t="n"/>
      <c r="G307" s="5" t="inlineStr">
        <is>
          <t>English-language literature and international cinema</t>
        </is>
      </c>
      <c r="H307" s="5" t="inlineStr">
        <is>
          <t>Born 28 April 1950. A Pakistani author specialising in fiction, non-fiction and screenwriting, who is also a psychotherapist, folklorist and storyteller. She lives in London and is a Fellow of the Royal Literary Fund.</t>
        </is>
      </c>
      <c r="I307" s="5" t="inlineStr">
        <is>
          <t>Her screen work is occasional beside her books.</t>
        </is>
      </c>
      <c r="J307" s="5" t="inlineStr">
        <is>
          <t>With Kapoor: In Custody (1993). Elsewhere, a body of fiction, non-fiction and folklore collections.</t>
        </is>
      </c>
      <c r="K307" s="19" t="inlineStr">
        <is>
          <t>Folklore, myth and the retelling of traditional narrative; South Asian women's experience.</t>
        </is>
      </c>
      <c r="L307" s="19" t="inlineStr">
        <is>
          <t>A folklorist and psychotherapist whose writing draws on both traditions.</t>
        </is>
      </c>
      <c r="M307" s="5" t="n"/>
      <c r="N307" s="19" t="inlineStr">
        <is>
          <t>A notable figure in the British South Asian literary scene and in the retelling of South Asian folklore in English.</t>
        </is>
      </c>
      <c r="O307" s="19" t="inlineStr">
        <is>
          <t>One writing credit, on In Custody (1993), Ismail Merchant's (PERSON-006) directorial debut, adapted with Anita Desai (PERSON-105) from Desai's novel, in which Kapoor plays the failing Urdu poet Nur. The role brought him National Film Award recognition and is among the most admired of his late career.</t>
        </is>
      </c>
      <c r="P307" s="17" t="n">
        <v>1</v>
      </c>
      <c r="Q307" s="5" t="inlineStr">
        <is>
          <t>FILM-148</t>
        </is>
      </c>
      <c r="R307" s="5" t="inlineStr">
        <is>
          <t>In Custody (1993), her only film with Kapoor</t>
        </is>
      </c>
      <c r="S307" s="5" t="inlineStr">
        <is>
          <t>Shahrukh Husain shares the screenwriting credit on In Custody, the 1993 film adapted from Anita Desai's novel and directed by Ismail Merchant, in which Shashi Kapoor plays Nur, a celebrated Urdu poet found dissipated and surrounded by hangers-on, presiding over the decline of his own literary culture. The performance brought him National Film Award recognition and stands among the finest of his late career. Husain, born in 1950 and resident in London, is a Pakistani author who works across fiction, non-fiction and screenwriting and is also a psychotherapist and folklorist, a Fellow of the Royal Literary Fund. Her article does not mention Kapoor or the film's production.</t>
        </is>
      </c>
      <c r="T307" s="5" t="inlineStr">
        <is>
          <t>SOURCE-282</t>
        </is>
      </c>
      <c r="U307" s="5" t="inlineStr">
        <is>
          <t>High</t>
        </is>
      </c>
    </row>
    <row r="308" ht="154" customHeight="1">
      <c r="A308" s="15" t="inlineStr">
        <is>
          <t>PERSON-307</t>
        </is>
      </c>
      <c r="B308" s="5" t="inlineStr">
        <is>
          <t>Shakti Samanta</t>
        </is>
      </c>
      <c r="C308" s="5" t="inlineStr">
        <is>
          <t>Director</t>
        </is>
      </c>
      <c r="D308" s="17" t="n">
        <v>1926</v>
      </c>
      <c r="E308" s="17" t="n">
        <v>2009</v>
      </c>
      <c r="F308" s="5" t="inlineStr">
        <is>
          <t>1955–2002</t>
        </is>
      </c>
      <c r="G308" s="5" t="inlineStr">
        <is>
          <t>Hindi and Bengali cinema</t>
        </is>
      </c>
      <c r="H308" s="5" t="inlineStr">
        <is>
          <t>Born 13 January 1926; died 9 April 2009. A film director and producer who founded Shakti Films in 1957. He made six films in Bengali, including an Indo-Bangladesh co-production in 1984.</t>
        </is>
      </c>
      <c r="I308" s="5" t="inlineStr">
        <is>
          <t>Directing from 1955; Howrah Bridge (1958) was among his early successes.</t>
        </is>
      </c>
      <c r="J308" s="5" t="inlineStr">
        <is>
          <t>With Kapoor: Alag Alag (1985). Elsewhere: Howrah Bridge (1958), China Town (1962), Kashmir Ki Kali (1964), An Evening in Paris (1967), Aradhana (1969), Kati Patang (1971), Amar Prem (1972), Amanush (1975) and Anand Ashram (1977).</t>
        </is>
      </c>
      <c r="K308" s="19" t="inlineStr">
        <is>
          <t>Romantic melodrama and glamorous location shooting; the suffering heroine and the redemptive love story.</t>
        </is>
      </c>
      <c r="L308" s="19" t="inlineStr">
        <is>
          <t>A commercial stylist with an eye for locations and for star chemistry, and the director most responsible for Rajesh Khanna's stardom.</t>
        </is>
      </c>
      <c r="M308" s="5" t="inlineStr">
        <is>
          <t>Filmfare Awards for Best Film for Aradhana (1969), Anuraag (1973) and Amanush (1975), and several lifetime achievement awards.</t>
        </is>
      </c>
      <c r="N308" s="19" t="inlineStr">
        <is>
          <t>The director of Aradhana, the film that made Rajesh Khanna the first superstar of Hindi cinema.</t>
        </is>
      </c>
      <c r="O308" s="19" t="inlineStr">
        <is>
          <t>One film, Alag Alag (1985), produced by Rajesh Khanna (PERSON-273) and Kusum Nirula (PERSON-207) and scored by R. D. Burman (PERSON-003) — reuniting the director, star and composer of Aradhana sixteen years later, with Kapoor joining them at a point when all three men's greatest commercial success was behind them. His article does not mention Kapoor.</t>
        </is>
      </c>
      <c r="P308" s="17" t="n">
        <v>1</v>
      </c>
      <c r="Q308" s="5" t="inlineStr">
        <is>
          <t>FILM-118</t>
        </is>
      </c>
      <c r="R308" s="5" t="inlineStr">
        <is>
          <t>Alag Alag (1985), his only film with Kapoor</t>
        </is>
      </c>
      <c r="S308" s="5" t="inlineStr">
        <is>
          <t>Shakti Samanta directed Alag Alag in 1985, his only film with Shashi Kapoor, and the credits around it amount to a reunion: Rajesh Khanna produced and starred, R. D. Burman scored, and the three men had made Aradhana together in 1969, the film that turned Khanna into the first superstar of Hindi cinema. By 1985 the commercial peak of all three was behind them, which gives the picture a certain valedictory quality. Samanta, born in 1926, founded Shakti Films in 1957 and directed Howrah Bridge, China Town, Kashmir Ki Kali, An Evening in Paris, Aradhana, Kati Patang, Amar Prem, Amanush and Anand Ashram — a body of glamorous romantic melodrama built on location shooting and star chemistry, and the vehicle for much of Khanna's stardom. He received Filmfare Awards for Best Film three times, for Aradhana, Anuraag and Amanush, and worked in Bengali as well as Hindi, making six films in that language including an Indo-Bangladesh co-production in 1984. He died in 2009.</t>
        </is>
      </c>
      <c r="T308" s="5" t="inlineStr">
        <is>
          <t>SOURCE-283</t>
        </is>
      </c>
      <c r="U308" s="5" t="inlineStr">
        <is>
          <t>High</t>
        </is>
      </c>
    </row>
    <row r="309" ht="109" customHeight="1">
      <c r="A309" s="15" t="inlineStr">
        <is>
          <t>PERSON-308</t>
        </is>
      </c>
      <c r="B309" s="5" t="inlineStr">
        <is>
          <t>Shakti Subhash Sharma</t>
        </is>
      </c>
      <c r="C309" s="5" t="inlineStr">
        <is>
          <t>Producer</t>
        </is>
      </c>
      <c r="D309" s="18" t="n"/>
      <c r="E309" s="18" t="n"/>
      <c r="F309" s="5" t="n"/>
      <c r="G309" s="5" t="inlineStr">
        <is>
          <t>Hindi cinema</t>
        </is>
      </c>
      <c r="H309" s="5" t="inlineStr">
        <is>
          <t>No Wikipedia article exists for him, and none was found under any variant spelling. Everything here rests on the credit of the single film.</t>
        </is>
      </c>
      <c r="I309" s="5" t="n"/>
      <c r="J309" s="5" t="inlineStr">
        <is>
          <t>With Kapoor: Suhaag (1979).</t>
        </is>
      </c>
      <c r="K309" s="19" t="inlineStr">
        <is>
          <t>Not established from a single credit.</t>
        </is>
      </c>
      <c r="L309" s="19" t="inlineStr">
        <is>
          <t>Not applicable; no biographical source was located.</t>
        </is>
      </c>
      <c r="M309" s="5" t="n"/>
      <c r="N309" s="19" t="inlineStr">
        <is>
          <t>Not established, despite a credit on one of the largest hits of Kapoor's career.</t>
        </is>
      </c>
      <c r="O309" s="19" t="inlineStr">
        <is>
          <t>One producing credit, on Suhaag (1979), among the biggest commercial successes of Kapoor's career, directed by Manmohan Desai (PERSON-072) and scored by Laxmikant–Pyarelal (PERSON-001). Four producers are credited on the film, and none of them has a surviving biographical record.</t>
        </is>
      </c>
      <c r="P309" s="17" t="n">
        <v>1</v>
      </c>
      <c r="Q309" s="5" t="inlineStr">
        <is>
          <t>FILM-087</t>
        </is>
      </c>
      <c r="R309" s="5" t="inlineStr">
        <is>
          <t>Suhaag (1979), his only film with Kapoor</t>
        </is>
      </c>
      <c r="S309" s="5" t="inlineStr">
        <is>
          <t>Shakti Subhash Sharma is one of four credited producers of Suhaag, released in 1979 and among the largest commercial successes of Shashi Kapoor's career — the Manmohan Desai lost-and-found picture in which he and Amitabh Bachchan play separated brothers. Not one of the film's four producers has a Wikipedia article, nor does its principal writer Prayag Raj, which makes a major hit of the period almost entirely undocumented apart from its director, its dialogue writer Kader Khan and its composers. No source was found for Sharma under this name or any variant attempted during research. The entry is graded Low.</t>
        </is>
      </c>
      <c r="T309" s="5" t="inlineStr">
        <is>
          <t>SOURCE-074</t>
        </is>
      </c>
      <c r="U309" s="5" t="inlineStr">
        <is>
          <t>Low</t>
        </is>
      </c>
    </row>
    <row r="310" ht="109" customHeight="1">
      <c r="A310" s="15" t="inlineStr">
        <is>
          <t>PERSON-309</t>
        </is>
      </c>
      <c r="B310" s="5" t="inlineStr">
        <is>
          <t>Shamim Ahmed</t>
        </is>
      </c>
      <c r="C310" s="5" t="inlineStr">
        <is>
          <t>Producer</t>
        </is>
      </c>
      <c r="D310" s="18" t="n"/>
      <c r="E310" s="18" t="n"/>
      <c r="F310" s="5" t="n"/>
      <c r="G310" s="5" t="inlineStr">
        <is>
          <t>Hindi cinema</t>
        </is>
      </c>
      <c r="H310" s="5" t="inlineStr">
        <is>
          <t>No Wikipedia article exists for this producer. The name reaches a disambiguation page listing unrelated people, rejected during research. Everything here rests on the credit of the single film.</t>
        </is>
      </c>
      <c r="I310" s="5" t="n"/>
      <c r="J310" s="5" t="inlineStr">
        <is>
          <t>With Kapoor: Gehri Chot - Urf: Durdesh (1983).</t>
        </is>
      </c>
      <c r="K310" s="19" t="inlineStr">
        <is>
          <t>Not established from a single credit.</t>
        </is>
      </c>
      <c r="L310" s="19" t="inlineStr">
        <is>
          <t>Not applicable; no biographical source was located.</t>
        </is>
      </c>
      <c r="M310" s="5" t="n"/>
      <c r="N310" s="19" t="inlineStr">
        <is>
          <t>Not established.</t>
        </is>
      </c>
      <c r="O310" s="19" t="inlineStr">
        <is>
          <t>One producing credit, on Gehri Chot - Urf: Durdesh (1983), one of several producers on that film alongside Ashok 'Charlie' Mehra (PERSON-108) and Jagdish Bahroos (PERSON-184), directed by Ambrish Sangal (PERSON-096) under the Friends Films International banner (PERSON-165).</t>
        </is>
      </c>
      <c r="P310" s="17" t="n">
        <v>1</v>
      </c>
      <c r="Q310" s="5" t="inlineStr">
        <is>
          <t>FILM-110</t>
        </is>
      </c>
      <c r="R310" s="5" t="inlineStr">
        <is>
          <t>Gehri Chot - Urf: Durdesh (1983), his only film with Kapoor</t>
        </is>
      </c>
      <c r="S310" s="5" t="inlineStr">
        <is>
          <t>Shamim Ahmed is one of the credited producers of Gehri Chot - Urf: Durdesh, released in 1983 — a film that stands out in this research for how completely undocumented it is: its director, its three producers and its banner all lack any biographical record, and only the composer Usha Khanna can be sourced. No biography of Ahmed was established; the name reaches a disambiguation page of unrelated individuals, rejected during research, and no alternative was found. The film belongs to the transitional years in which Shashi Kapoor's run as a commercial lead was ending. The entry is graded Low.</t>
        </is>
      </c>
      <c r="T310" s="5" t="inlineStr">
        <is>
          <t>SOURCE-091</t>
        </is>
      </c>
      <c r="U310" s="5" t="inlineStr">
        <is>
          <t>Low</t>
        </is>
      </c>
    </row>
    <row r="311" ht="169" customHeight="1">
      <c r="A311" s="15" t="inlineStr">
        <is>
          <t>PERSON-310</t>
        </is>
      </c>
      <c r="B311" s="5" t="inlineStr">
        <is>
          <t>Shammi</t>
        </is>
      </c>
      <c r="C311" s="5" t="inlineStr">
        <is>
          <t>Director; Producer</t>
        </is>
      </c>
      <c r="D311" s="17" t="n">
        <v>1929</v>
      </c>
      <c r="E311" s="17" t="n">
        <v>2018</v>
      </c>
      <c r="F311" s="5" t="inlineStr">
        <is>
          <t>1949–2018</t>
        </is>
      </c>
      <c r="G311" s="5" t="inlineStr">
        <is>
          <t>Hindi cinema and television</t>
        </is>
      </c>
      <c r="H311" s="5" t="inlineStr">
        <is>
          <t>Born Nargis Rabadi on 24 April 1929; died 6 March 2018. An actress who appeared in more than two hundred Hindi films, in demand for comic and character roles, and a leading or second female lead between 1949 and 1955. From 1986 she appeared in popular television serials including Dekh Bhai Dekh and Shriman Shrimati. She married the director Sultan Ahmed.</t>
        </is>
      </c>
      <c r="I311" s="5" t="inlineStr">
        <is>
          <t>Acting from 1949.</t>
        </is>
      </c>
      <c r="J311" s="5" t="inlineStr">
        <is>
          <t>With Kapoor: Pighalta Aasman (1985), on which she is credited as director and producer. As an actress: Dil Apna Aur Preet Parai, Half Ticket, Khuda Gawah, Coolie No. 1 and Hum Saath Saath Hain, and films with Rajesh Khanna including The Train, Kudrat and Swarg.</t>
        </is>
      </c>
      <c r="K311" s="19" t="inlineStr">
        <is>
          <t>Comic and character roles across five decades of Hindi cinema.</t>
        </is>
      </c>
      <c r="L311" s="19" t="inlineStr">
        <is>
          <t>Not assessed as a filmmaker; her article treats her wholly as a performer.</t>
        </is>
      </c>
      <c r="M311" s="5" t="inlineStr">
        <is>
          <t>The BFJA Award as Best Supporting Actress for Samaj Ko Badal Dalo (1971).</t>
        </is>
      </c>
      <c r="N311" s="19" t="inlineStr">
        <is>
          <t>One of the most durable character actresses in Hindi cinema, working from 1949 into the 2000s.</t>
        </is>
      </c>
      <c r="O311" s="19" t="inlineStr">
        <is>
          <t>One film, Pighalta Aasman (1985), on which the film's own Wikipedia article credits her as both director and producer, linking the name directly to her actress biography. The attribution is unusual — her article records a long acting career and says nothing about directing — so the credit is reported here as the source gives it, with that caveat, and the entry graded Low. Moin-ud-din (PERSON-231) wrote the film and Kalyanji–Anandji (PERSON-002) scored it.</t>
        </is>
      </c>
      <c r="P311" s="17" t="n">
        <v>1</v>
      </c>
      <c r="Q311" s="5" t="inlineStr">
        <is>
          <t>FILM-115</t>
        </is>
      </c>
      <c r="R311" s="5" t="inlineStr">
        <is>
          <t>Pighalta Aasman (1985), her only film with Kapoor</t>
        </is>
      </c>
      <c r="S311" s="5" t="inlineStr">
        <is>
          <t>Shammi is credited as director and producer of Pighalta Aasman, released in 1985 — an attribution this workbook records with reservation. The film's Wikipedia article links the credit directly to the actress Shammi, born Nargis Rabadi in 1929, whose own article describes a career of more than two hundred acting roles across five decades and says nothing whatever about directing or producing. Either she made a single film behind the camera late in her career, which would be notable and is nowhere else recorded, or the link is mistaken; the credit is reported as the source gives it, the doubt is stated, and the entry is graded Low. Moin-ud-din wrote the film alone, taking story, screenplay and dialogue, and Kalyanji–Anandji scored it. As a performer she was sought after for comic and character parts, played leads between 1949 and 1955, won the BFJA Award as Best Supporting Actress for Samaj Ko Badal Dalo in 1971, and from 1986 appeared in popular television serials including Dekh Bhai Dekh and Shriman Shrimati. She died in 2018.</t>
        </is>
      </c>
      <c r="T311" s="5" t="inlineStr">
        <is>
          <t>SOURCE-284</t>
        </is>
      </c>
      <c r="U311" s="5" t="inlineStr">
        <is>
          <t>Low</t>
        </is>
      </c>
    </row>
    <row r="312" ht="139" customHeight="1">
      <c r="A312" s="15" t="inlineStr">
        <is>
          <t>PERSON-311</t>
        </is>
      </c>
      <c r="B312" s="5" t="inlineStr">
        <is>
          <t>Sharad Joshi</t>
        </is>
      </c>
      <c r="C312" s="5" t="inlineStr">
        <is>
          <t>Writer</t>
        </is>
      </c>
      <c r="D312" s="17" t="n">
        <v>1931</v>
      </c>
      <c r="E312" s="17" t="n">
        <v>1991</v>
      </c>
      <c r="F312" s="5" t="n"/>
      <c r="G312" s="5" t="inlineStr">
        <is>
          <t>Hindi literature, cinema and television</t>
        </is>
      </c>
      <c r="H312" s="5" t="inlineStr">
        <is>
          <t>An Indian poet, writer and satirist, and a dialogue and script writer for Hindi films and television. He was awarded the Padma Shri in 1990.</t>
        </is>
      </c>
      <c r="I312" s="5" t="inlineStr">
        <is>
          <t>Established as a satirist and poet before his screen work.</t>
        </is>
      </c>
      <c r="J312" s="5" t="inlineStr">
        <is>
          <t>With Kapoor: Utsav (1984). Elsewhere, a substantial body of Hindi satire, poetry and television writing.</t>
        </is>
      </c>
      <c r="K312" s="19" t="inlineStr">
        <is>
          <t>Satire of middle-class Indian life and of public institutions.</t>
        </is>
      </c>
      <c r="L312" s="19" t="inlineStr">
        <is>
          <t>A satirist whose comic timing and ear for spoken Hindi carried into dialogue writing.</t>
        </is>
      </c>
      <c r="M312" s="5" t="inlineStr">
        <is>
          <t>The Padma Shri in 1990.</t>
        </is>
      </c>
      <c r="N312" s="19" t="inlineStr">
        <is>
          <t>One of the best-known Hindi satirists of his generation, widely read and widely broadcast.</t>
        </is>
      </c>
      <c r="O312" s="19" t="inlineStr">
        <is>
          <t>One writing credit, on Utsav (1984), Girish Karnad's (PERSON-060) adaptation of the Sanskrit Mrichhakatika, which Kapoor produced through Film-Valas (PERSON-162) and which ended his career as a producer when it failed commercially. Joshi's presence is consistent with the pattern of that programme, which drew serious literary figures into Kapoor's films.</t>
        </is>
      </c>
      <c r="P312" s="17" t="n">
        <v>1</v>
      </c>
      <c r="Q312" s="5" t="inlineStr">
        <is>
          <t>FILM-114</t>
        </is>
      </c>
      <c r="R312" s="5" t="inlineStr">
        <is>
          <t>Utsav (1984), his only film with Kapoor</t>
        </is>
      </c>
      <c r="S312" s="5" t="inlineStr">
        <is>
          <t>Sharad Joshi shares a writing credit on Utsav, released in 1984 — Girish Karnad's lavish adaptation of the Sanskrit play Mrichhakatika, which Shashi Kapoor financed through Film-Valas and whose commercial failure closed his producing career. Joshi's involvement fits the pattern of that programme exactly: across four films Kapoor drew in Ruskin Bond, Ismat Chughtai, Satyadev Dubey, Dilip Chitre, Girish Karnad and Joshi, writers with reputations made well outside commercial cinema. Born in 1931, Joshi was among the best-known Hindi satirists of his generation, writing poetry, prose and television alongside film dialogue, and received the Padma Shri in 1990. He died in 1991. His article does not mention Kapoor.</t>
        </is>
      </c>
      <c r="T312" s="5" t="inlineStr">
        <is>
          <t>SOURCE-285</t>
        </is>
      </c>
      <c r="U312" s="5" t="inlineStr">
        <is>
          <t>Medium</t>
        </is>
      </c>
    </row>
    <row r="313" ht="94" customHeight="1">
      <c r="A313" s="15" t="inlineStr">
        <is>
          <t>PERSON-312</t>
        </is>
      </c>
      <c r="B313" s="5" t="inlineStr">
        <is>
          <t>Shiv Kumar Jain</t>
        </is>
      </c>
      <c r="C313" s="5" t="inlineStr">
        <is>
          <t>Producer</t>
        </is>
      </c>
      <c r="D313" s="18" t="n"/>
      <c r="E313" s="18" t="n"/>
      <c r="F313" s="5" t="n"/>
      <c r="G313" s="5" t="inlineStr">
        <is>
          <t>Hindi cinema</t>
        </is>
      </c>
      <c r="H313" s="5" t="inlineStr">
        <is>
          <t>No Wikipedia article exists for him, and none was found under any variant spelling. Everything here rests on the credit of the single film.</t>
        </is>
      </c>
      <c r="I313" s="5" t="n"/>
      <c r="J313" s="5" t="inlineStr">
        <is>
          <t>With Kapoor: Maa Beti (1986).</t>
        </is>
      </c>
      <c r="K313" s="19" t="inlineStr">
        <is>
          <t>Not established from a single credit.</t>
        </is>
      </c>
      <c r="L313" s="19" t="inlineStr">
        <is>
          <t>Not applicable; no biographical source was located.</t>
        </is>
      </c>
      <c r="M313" s="5" t="n"/>
      <c r="N313" s="19" t="inlineStr">
        <is>
          <t>Not established.</t>
        </is>
      </c>
      <c r="O313" s="19" t="inlineStr">
        <is>
          <t>One producing credit, on Maa Beti (1986), made with Mohanji Prasad (PERSON-229), directed by Kalpataru (PERSON-195) and scored by Anand–Milind (PERSON-101) two years before their breakthrough.</t>
        </is>
      </c>
      <c r="P313" s="17" t="n">
        <v>1</v>
      </c>
      <c r="Q313" s="5" t="inlineStr">
        <is>
          <t>FILM-125</t>
        </is>
      </c>
      <c r="R313" s="5" t="inlineStr">
        <is>
          <t>Maa Beti (1986), his only film with Kapoor</t>
        </is>
      </c>
      <c r="S313" s="5" t="inlineStr">
        <is>
          <t>Shiv Kumar Jain produced Maa Beti in 1986 with Mohanji Prasad, his only credit in this filmography — a family melodrama directed by Kalpataru, a specialist in exactly that register, with an early score by Anand–Milind. The film is unusually thinly documented even by the standards of this sheet: its three credited writers and both its producers lack biographical records, leaving only the director and composers traceable. No Wikipedia article exists for Jain under this name or any variant attempted during research. The entry is graded Low.</t>
        </is>
      </c>
      <c r="T313" s="5" t="inlineStr">
        <is>
          <t>SOURCE-103</t>
        </is>
      </c>
      <c r="U313" s="5" t="inlineStr">
        <is>
          <t>Low</t>
        </is>
      </c>
    </row>
    <row r="314" ht="94" customHeight="1">
      <c r="A314" s="15" t="inlineStr">
        <is>
          <t>PERSON-313</t>
        </is>
      </c>
      <c r="B314" s="5" t="inlineStr">
        <is>
          <t>Shiv Sahni</t>
        </is>
      </c>
      <c r="C314" s="5" t="inlineStr">
        <is>
          <t>Director</t>
        </is>
      </c>
      <c r="D314" s="18" t="n"/>
      <c r="E314" s="18" t="n"/>
      <c r="F314" s="5" t="n"/>
      <c r="G314" s="5" t="inlineStr">
        <is>
          <t>Hindi cinema</t>
        </is>
      </c>
      <c r="H314" s="5" t="inlineStr">
        <is>
          <t>No Wikipedia article exists for him, and none was found under any variant spelling. Everything here rests on the credit of the single film.</t>
        </is>
      </c>
      <c r="I314" s="5" t="n"/>
      <c r="J314" s="5" t="inlineStr">
        <is>
          <t>With Kapoor: Neend Hamari Khwab Tumhare (1966).</t>
        </is>
      </c>
      <c r="K314" s="19" t="inlineStr">
        <is>
          <t>Not established from a single credit.</t>
        </is>
      </c>
      <c r="L314" s="19" t="inlineStr">
        <is>
          <t>Not established; no biographical source was located.</t>
        </is>
      </c>
      <c r="M314" s="5" t="n"/>
      <c r="N314" s="19" t="inlineStr">
        <is>
          <t>Not established.</t>
        </is>
      </c>
      <c r="O314" s="19" t="inlineStr">
        <is>
          <t>One directing credit, on Neend Hamari Khwab Tumhare (1966), produced by Hans Choudhary (PERSON-177), written by Sarshar Sailani (PERSON-300) and scored by Madan Mohan (PERSON-218) — the only Madan Mohan film in this filmography.</t>
        </is>
      </c>
      <c r="P314" s="17" t="n">
        <v>1</v>
      </c>
      <c r="Q314" s="5" t="inlineStr">
        <is>
          <t>FILM-020</t>
        </is>
      </c>
      <c r="R314" s="5" t="inlineStr">
        <is>
          <t>Neend Hamari Khwab Tumhare (1966), his only film with Kapoor</t>
        </is>
      </c>
      <c r="S314" s="5" t="inlineStr">
        <is>
          <t>Shiv Sahni directed Neend Hamari Khwab Tumhare in 1966, his only credit in this filmography — a film from the year after Shashi Kapoor's rise to stardom, and the only one here scored by Madan Mohan, widely regarded as the finest composer of film ghazals Hindi cinema produced. Apart from the composer, none of the film's principal credits has a surviving biographical record: no Wikipedia article exists for Sahni under this name or any variant attempted during research, nor for its producer, writer or banner. The entry is graded Low and rests on the single film credit.</t>
        </is>
      </c>
      <c r="T314" s="5" t="inlineStr">
        <is>
          <t>SOURCE-015</t>
        </is>
      </c>
      <c r="U314" s="5" t="inlineStr">
        <is>
          <t>Low</t>
        </is>
      </c>
    </row>
    <row r="315" ht="79" customHeight="1">
      <c r="A315" s="15" t="inlineStr">
        <is>
          <t>PERSON-314</t>
        </is>
      </c>
      <c r="B315" s="5" t="inlineStr">
        <is>
          <t>Shivalik Pictures</t>
        </is>
      </c>
      <c r="C315" s="5" t="inlineStr">
        <is>
          <t>Producer</t>
        </is>
      </c>
      <c r="D315" s="18" t="n"/>
      <c r="E315" s="18" t="n"/>
      <c r="F315" s="5" t="n"/>
      <c r="G315" s="5" t="inlineStr">
        <is>
          <t>Hindi cinema</t>
        </is>
      </c>
      <c r="H315" s="5" t="inlineStr">
        <is>
          <t>No Wikipedia article exists for this company. Everything here rests on the credit of the single film.</t>
        </is>
      </c>
      <c r="I315" s="5" t="n"/>
      <c r="J315" s="5" t="inlineStr">
        <is>
          <t>With Kapoor: Kali Ghata (1980).</t>
        </is>
      </c>
      <c r="K315" s="19" t="inlineStr">
        <is>
          <t>Not established from a single credit.</t>
        </is>
      </c>
      <c r="L315" s="19" t="inlineStr">
        <is>
          <t>Not applicable.</t>
        </is>
      </c>
      <c r="M315" s="5" t="n"/>
      <c r="N315" s="19" t="inlineStr">
        <is>
          <t>Not established.</t>
        </is>
      </c>
      <c r="O315" s="19" t="inlineStr">
        <is>
          <t>One producing credit, on Kali Ghata (1980), which Ved Rahi (PERSON-086) directed, produced and wrote — the one film in this filmography on which that Dogri author held all three functions.</t>
        </is>
      </c>
      <c r="P315" s="17" t="n">
        <v>1</v>
      </c>
      <c r="Q315" s="5" t="inlineStr">
        <is>
          <t>FILM-091</t>
        </is>
      </c>
      <c r="R315" s="5" t="inlineStr">
        <is>
          <t>Kali Ghata (1980), its only film with Kapoor</t>
        </is>
      </c>
      <c r="S315" s="5" t="inlineStr">
        <is>
          <t>Shivalik Pictures is credited as a producer of Kali Ghata, released in 1980 — the film Ved Rahi directed, produced and wrote, the only one in this filmography on which that Sahitya Akademi-winning Dogri author held all three roles. The company name, drawn from the Shivalik hills of the Jammu region where Rahi was born, suggests it was his own concern, though nothing found in research confirms it. No Wikipedia article exists for the company, and no other source was located. The entry is graded Low and rests on the single film credit.</t>
        </is>
      </c>
      <c r="T315" s="5" t="inlineStr">
        <is>
          <t>SOURCE-075</t>
        </is>
      </c>
      <c r="U315" s="5" t="inlineStr">
        <is>
          <t>Low</t>
        </is>
      </c>
    </row>
    <row r="316" ht="154" customHeight="1">
      <c r="A316" s="15" t="inlineStr">
        <is>
          <t>PERSON-315</t>
        </is>
      </c>
      <c r="B316" s="5" t="inlineStr">
        <is>
          <t>Shiv–Hari</t>
        </is>
      </c>
      <c r="C316" s="5" t="inlineStr">
        <is>
          <t>Song composer (composing duo)</t>
        </is>
      </c>
      <c r="D316" s="18" t="n"/>
      <c r="E316" s="18" t="n"/>
      <c r="F316" s="5" t="inlineStr">
        <is>
          <t>1967–2022</t>
        </is>
      </c>
      <c r="G316" s="5" t="inlineStr">
        <is>
          <t>Indian classical music and Hindi cinema</t>
        </is>
      </c>
      <c r="H316" s="5" t="inlineStr">
        <is>
          <t>A composing duo of Shivkumar Sharma, a santoor player, and Hariprasad Chaurasia, a flautist — two of the foremost Indian classical instrumentalists of their generation. They worked on classical recordings as well as film scores, and composed chiefly for Yash Chopra (PERSON-005).</t>
        </is>
      </c>
      <c r="I316" s="5" t="inlineStr">
        <is>
          <t>Working together from 1967; their film scoring belongs mainly to the 1980s and 1990s.</t>
        </is>
      </c>
      <c r="J316" s="5" t="inlineStr">
        <is>
          <t>With Kapoor: Silsila (1981). Their film work is almost entirely for Yash Chopra.</t>
        </is>
      </c>
      <c r="K316" s="19" t="inlineStr">
        <is>
          <t>Classical instrumentation — santoor and bansuri — brought into the romantic film song.</t>
        </is>
      </c>
      <c r="L316" s="19" t="inlineStr">
        <is>
          <t>Two concert virtuosos composing for cinema, giving the Chopra romances a distinctive classical colour.</t>
        </is>
      </c>
      <c r="M316" s="5" t="inlineStr">
        <is>
          <t>Their article records Filmfare Award recognition for Best Music Director.</t>
        </is>
      </c>
      <c r="N316" s="19" t="inlineStr">
        <is>
          <t>The musical signature of Yash Chopra's later romances, and a rare case of leading classical instrumentalists working as film composers.</t>
        </is>
      </c>
      <c r="O316" s="19" t="inlineStr">
        <is>
          <t>One film, Silsila (1981), directed, produced and co-written by Yash Chopra and released under the Yash Raj Films banner (PERSON-025), in which Kapoor plays the brother whose death sets the plot moving and whose part is subordinate to the Amitabh Bachchan–Rekha romance at the film's centre. Their article does not mention Kapoor.</t>
        </is>
      </c>
      <c r="P316" s="17" t="n">
        <v>1</v>
      </c>
      <c r="Q316" s="5" t="inlineStr">
        <is>
          <t>FILM-101</t>
        </is>
      </c>
      <c r="R316" s="5" t="inlineStr">
        <is>
          <t>Silsila (1981), their only film with Kapoor</t>
        </is>
      </c>
      <c r="S316" s="5" t="inlineStr">
        <is>
          <t>Shiv–Hari composed the songs for Silsila, Yash Chopra's 1981 film about adultery and obligation — one of the most discussed romantic films of Shashi Kapoor's later career, although the romance at its centre belongs to Amitabh Bachchan and Rekha and Kapoor's own role, the brother whose death sets the plot moving, is subordinate to it. The pattern recurs across his Chopra ensembles and is one of this workbook's steadier findings. The duo were not film composers by trade, which is what makes the credit interesting: Shivkumar Sharma and Hariprasad Chaurasia were among the foremost Indian classical instrumentalists of their generation, on santoor and bansuri respectively, and they brought that idiom into the Chopra romances, for whom they wrote almost all of their film music between 1967 and 2022. The combination gave those films a classical colour unusual in commercial Hindi cinema and much imitated afterwards. Their article records Filmfare recognition for Best Music Director and does not mention Kapoor.</t>
        </is>
      </c>
      <c r="T316" s="5" t="inlineStr">
        <is>
          <t>SOURCE-286</t>
        </is>
      </c>
      <c r="U316" s="5" t="inlineStr">
        <is>
          <t>High</t>
        </is>
      </c>
    </row>
    <row r="317" ht="124" customHeight="1">
      <c r="A317" s="15" t="inlineStr">
        <is>
          <t>PERSON-316</t>
        </is>
      </c>
      <c r="B317" s="5" t="inlineStr">
        <is>
          <t>Sippy Films</t>
        </is>
      </c>
      <c r="C317" s="5" t="inlineStr">
        <is>
          <t>Production banner</t>
        </is>
      </c>
      <c r="D317" s="18" t="n"/>
      <c r="E317" s="18" t="n"/>
      <c r="F317" s="5" t="n"/>
      <c r="G317" s="5" t="inlineStr">
        <is>
          <t>Hindi cinema</t>
        </is>
      </c>
      <c r="H317" s="5" t="inlineStr">
        <is>
          <t>No Wikipedia article exists for this banner as such. It is the production company of G. P. Sippy (PERSON-059) and his son Ramesh Sippy (PERSON-038), both of whom appear separately in this sheet; everything here rests on the film credit and on what their articles record.</t>
        </is>
      </c>
      <c r="I317" s="5" t="n"/>
      <c r="J317" s="5" t="inlineStr">
        <is>
          <t>With Kapoor: Shaan (1980). The company's best-known production is Sholay (1975).</t>
        </is>
      </c>
      <c r="K317" s="19" t="inlineStr">
        <is>
          <t>The large-scale action ensemble and the widescreen commercial spectacle.</t>
        </is>
      </c>
      <c r="L317" s="19" t="inlineStr">
        <is>
          <t>Not applicable; a company, and in this period the instrument of the Sippy family's filmmaking.</t>
        </is>
      </c>
      <c r="M317" s="5" t="n"/>
      <c r="N317" s="19" t="inlineStr">
        <is>
          <t>The banner behind Sholay, the most commercially successful Hindi film of its era and the picture that set the terms for the multi-starrer decade.</t>
        </is>
      </c>
      <c r="O317" s="19" t="inlineStr">
        <is>
          <t>One banner credit, on Shaan (1980), directed by Ramesh Sippy and produced by G. P. Sippy — the post-Sholay caper in which Kapoor and Amitabh Bachchan play brothers, and one of the defining ensemble films of Kapoor's peak. The banner credit overlaps with the two personal credits and should not be counted as a separate collaboration.</t>
        </is>
      </c>
      <c r="P317" s="17" t="n">
        <v>1</v>
      </c>
      <c r="Q317" s="5" t="inlineStr">
        <is>
          <t>FILM-094</t>
        </is>
      </c>
      <c r="R317" s="5" t="inlineStr">
        <is>
          <t>Shaan (1980), its only film with Kapoor</t>
        </is>
      </c>
      <c r="S317" s="5" t="inlineStr">
        <is>
          <t>Sippy Films is the banner on Shaan, released in 1980 — the enormous caper made in the wake of Sholay, directed by Ramesh Sippy and produced by his father G. P. Sippy, in which Shashi Kapoor and Amitabh Bachchan play brothers. It belongs to the centre of the multi-starrer cycle that dominates Kapoor's peak years, a cycle the company had itself done most to establish with Sholay five years earlier. The banner credit records the same relationship as the two Sippy entries elsewhere in this sheet and is not a separate collaboration. No Wikipedia article exists for the company as such; the entry rests on the film credit and on the Sippys' own articles, and is graded Low.</t>
        </is>
      </c>
      <c r="T317" s="5" t="inlineStr">
        <is>
          <t>SOURCE-078</t>
        </is>
      </c>
      <c r="U317" s="5" t="inlineStr">
        <is>
          <t>Low</t>
        </is>
      </c>
    </row>
    <row r="318" ht="139" customHeight="1">
      <c r="A318" s="15" t="inlineStr">
        <is>
          <t>PERSON-317</t>
        </is>
      </c>
      <c r="B318" s="5" t="inlineStr">
        <is>
          <t>Smt. Jeevanprabha Desai</t>
        </is>
      </c>
      <c r="C318" s="5" t="inlineStr">
        <is>
          <t>Writer</t>
        </is>
      </c>
      <c r="D318" s="18" t="n"/>
      <c r="E318" s="18" t="n"/>
      <c r="F318" s="5" t="n"/>
      <c r="G318" s="5" t="inlineStr">
        <is>
          <t>Hindi cinema</t>
        </is>
      </c>
      <c r="H318" s="5" t="inlineStr">
        <is>
          <t>No Wikipedia article exists for her, and none was found under any variant spelling. The honorific appears in the credit as the source data records it. Everything here rests on the credit of the single film.</t>
        </is>
      </c>
      <c r="I318" s="5" t="n"/>
      <c r="J318" s="5" t="inlineStr">
        <is>
          <t>With Kapoor: Aa Gale Lag Jaa (1973).</t>
        </is>
      </c>
      <c r="K318" s="19" t="inlineStr">
        <is>
          <t>Not established from a single credit.</t>
        </is>
      </c>
      <c r="L318" s="19" t="inlineStr">
        <is>
          <t>Not established; no biographical source was located.</t>
        </is>
      </c>
      <c r="M318" s="5" t="n"/>
      <c r="N318" s="19" t="inlineStr">
        <is>
          <t>Not established.</t>
        </is>
      </c>
      <c r="O318" s="19" t="inlineStr">
        <is>
          <t>One writing credit, on Aa Gale Lag Jaa (1973), directed by Manmohan Desai (PERSON-072) and written also by Prayag Raj (PERSON-009) and K. B. Pathak (PERSON-068), with an R. D. Burman (PERSON-003) score. The surname she shares with the director suggests a family connection — his article names his wife as Jeevanprabha Gandhi — though the credit as given cannot confirm it.</t>
        </is>
      </c>
      <c r="P318" s="17" t="n">
        <v>1</v>
      </c>
      <c r="Q318" s="5" t="inlineStr">
        <is>
          <t>FILM-043</t>
        </is>
      </c>
      <c r="R318" s="5" t="inlineStr">
        <is>
          <t>Aa Gale Lag Jaa (1973), her only film with Kapoor</t>
        </is>
      </c>
      <c r="S318" s="5" t="inlineStr">
        <is>
          <t>Smt. Jeevanprabha Desai has a writing credit on Aa Gale Lag Jaa, released in 1973 — the Manmohan Desai film that gave Shashi Kapoor a romantic lead in a picture built around his own character rather than an ensemble, with an R. D. Burman score. The name is almost certainly the director's wife: Manmohan Desai's own article records his spouse as Jeevanprabha Gandhi, and the match of given name and the shared surname on the credit make the identification very likely, though this workbook records it as an inference rather than a fact. No Wikipedia article exists for her in her own right. The entry is graded Low.</t>
        </is>
      </c>
      <c r="T318" s="5" t="inlineStr">
        <is>
          <t>SOURCE-033</t>
        </is>
      </c>
      <c r="U318" s="5" t="inlineStr">
        <is>
          <t>Low</t>
        </is>
      </c>
    </row>
    <row r="319" ht="124" customHeight="1">
      <c r="A319" s="15" t="inlineStr">
        <is>
          <t>PERSON-318</t>
        </is>
      </c>
      <c r="B319" s="5" t="inlineStr">
        <is>
          <t>Sneh Dutta</t>
        </is>
      </c>
      <c r="C319" s="5" t="inlineStr">
        <is>
          <t>Writer</t>
        </is>
      </c>
      <c r="D319" s="18" t="n"/>
      <c r="E319" s="18" t="n"/>
      <c r="F319" s="5" t="n"/>
      <c r="G319" s="5" t="inlineStr">
        <is>
          <t>Hindi cinema</t>
        </is>
      </c>
      <c r="H319" s="5" t="inlineStr">
        <is>
          <t>No Wikipedia article exists for her, and none was found under any variant spelling. Everything here rests on the credit of the single film.</t>
        </is>
      </c>
      <c r="I319" s="5" t="n"/>
      <c r="J319" s="5" t="inlineStr">
        <is>
          <t>With Kapoor: Deewaangee (1976).</t>
        </is>
      </c>
      <c r="K319" s="19" t="inlineStr">
        <is>
          <t>Not established from a single credit.</t>
        </is>
      </c>
      <c r="L319" s="19" t="inlineStr">
        <is>
          <t>Not established; no biographical source was located.</t>
        </is>
      </c>
      <c r="M319" s="5" t="n"/>
      <c r="N319" s="19" t="inlineStr">
        <is>
          <t>Not established.</t>
        </is>
      </c>
      <c r="O319" s="19" t="inlineStr">
        <is>
          <t>One writing credit, on Deewaangee (1976), directed by Samir Ganguly (PERSON-021), produced by Subodh Mukherjee (PERSON-045) and written also by Anand Dutta (PERSON-100), with whom she shares a surname. The film's songs are credited to both Ravindra Jain (PERSON-018) and S. D. Burman (PERSON-040), the latter posthumously.</t>
        </is>
      </c>
      <c r="P319" s="17" t="n">
        <v>1</v>
      </c>
      <c r="Q319" s="5" t="inlineStr">
        <is>
          <t>FILM-058</t>
        </is>
      </c>
      <c r="R319" s="5" t="inlineStr">
        <is>
          <t>Deewaangee (1976), her only film with Kapoor</t>
        </is>
      </c>
      <c r="S319" s="5" t="inlineStr">
        <is>
          <t>Sneh Dutta shares a writing credit on Deewaangee, released in 1976 — a Samir Ganguly film produced by Subodh Mukherjee, written with Anand Dutta, whose surname she shares and with whom a family connection seems likely though nothing confirms it. The film is notable for its music credits: songs by both Ravindra Jain and S. D. Burman, the latter appearing on a film released after his death in October 1975. No Wikipedia article exists for her under this name or any variant attempted during research, and no other biographical source was located. The entry is graded Low.</t>
        </is>
      </c>
      <c r="T319" s="5" t="inlineStr">
        <is>
          <t>SOURCE-050</t>
        </is>
      </c>
      <c r="U319" s="5" t="inlineStr">
        <is>
          <t>Low</t>
        </is>
      </c>
    </row>
    <row r="320" ht="154" customHeight="1">
      <c r="A320" s="15" t="inlineStr">
        <is>
          <t>PERSON-319</t>
        </is>
      </c>
      <c r="B320" s="5" t="inlineStr">
        <is>
          <t>Stanley Myers</t>
        </is>
      </c>
      <c r="C320" s="5" t="inlineStr">
        <is>
          <t>Song composer</t>
        </is>
      </c>
      <c r="D320" s="17" t="n">
        <v>1930</v>
      </c>
      <c r="E320" s="17" t="n">
        <v>1993</v>
      </c>
      <c r="F320" s="5" t="n"/>
      <c r="G320" s="5" t="inlineStr">
        <is>
          <t>British cinema and television</t>
        </is>
      </c>
      <c r="H320" s="5" t="inlineStr">
        <is>
          <t>Born 6 October 1930; died 9 November 1993. An English composer and conductor who scored more than sixty films and television series, working closely with the filmmakers Nicolas Roeg, Jerzy Skolimowski and Volker Schlöndorff. He was an early collaborator with and mentor of Hans Zimmer.</t>
        </is>
      </c>
      <c r="I320" s="5" t="inlineStr">
        <is>
          <t>Composing for film from the 1960s.</t>
        </is>
      </c>
      <c r="J320" s="5" t="inlineStr">
        <is>
          <t>With Kapoor: Sammy and Rosie Get Laid (1987). Elsewhere: the guitar piece 'Cavatina', written for The Walking Stick (1970) and later used as the theme of The Deer Hunter, and the score for Wish You Were Here (1987).</t>
        </is>
      </c>
      <c r="K320" s="19" t="inlineStr">
        <is>
          <t>Spare, melodic scoring for European art cinema and British social drama.</t>
        </is>
      </c>
      <c r="L320" s="19" t="inlineStr">
        <is>
          <t>A composer of unusual melodic economy, best known for a single guitar theme that outgrew its film.</t>
        </is>
      </c>
      <c r="M320" s="5" t="inlineStr">
        <is>
          <t>A BAFTA Award nomination for Best Film Music for Wish You Were Here (1987).</t>
        </is>
      </c>
      <c r="N320" s="19" t="inlineStr">
        <is>
          <t>The composer of 'Cavatina', among the most widely recognised pieces of film music written in Britain, and the mentor who brought Hans Zimmer into film scoring.</t>
        </is>
      </c>
      <c r="O320" s="19" t="inlineStr">
        <is>
          <t>One film, Sammy and Rosie Get Laid (1987), directed by Stephen Frears (PERSON-320), written by Hanif Kureishi (PERSON-176) and produced by Sarah Radclyffe (PERSON-298), in which Kapoor plays Rafi, a former minister implicated in torture — the least comfortable role of his career. Myers scored it in the same year as Wish You Were Here, for which he was BAFTA-nominated. His article does not mention Kapoor.</t>
        </is>
      </c>
      <c r="P320" s="17" t="n">
        <v>1</v>
      </c>
      <c r="Q320" s="5" t="inlineStr">
        <is>
          <t>FILM-132</t>
        </is>
      </c>
      <c r="R320" s="5" t="inlineStr">
        <is>
          <t>Sammy and Rosie Get Laid (1987), his only film with Kapoor</t>
        </is>
      </c>
      <c r="S320" s="5" t="inlineStr">
        <is>
          <t>Stanley Myers scored Sammy and Rosie Get Laid, the 1987 Stephen Frears film from a Hanif Kureishi script in which Shashi Kapoor plays a former government minister with torture behind him, walking through a London convulsed by riots. Myers wrote it in the same year as Wish You Were Here, which brought him a BAFTA nomination for Best Film Music. Born in 1930, he scored more than sixty films and television series across a long career, working closely with Nicolas Roeg, Jerzy Skolimowski and Volker Schlöndorff, and was an early collaborator with and mentor of Hans Zimmer, whom he brought into film composition. His most famous piece was written almost incidentally: 'Cavatina', a guitar work composed for The Walking Stick in 1970 and later adopted as the theme of The Deer Hunter, where it became one of the most recognised pieces of film music ever written in Britain. He died in 1993. His article does not mention Kapoor or this film specifically.</t>
        </is>
      </c>
      <c r="T320" s="5" t="inlineStr">
        <is>
          <t>SOURCE-287</t>
        </is>
      </c>
      <c r="U320" s="5" t="inlineStr">
        <is>
          <t>High</t>
        </is>
      </c>
    </row>
    <row r="321" ht="184" customHeight="1">
      <c r="A321" s="15" t="inlineStr">
        <is>
          <t>PERSON-320</t>
        </is>
      </c>
      <c r="B321" s="5" t="inlineStr">
        <is>
          <t>Stephen Frears</t>
        </is>
      </c>
      <c r="C321" s="5" t="inlineStr">
        <is>
          <t>Director</t>
        </is>
      </c>
      <c r="D321" s="17" t="n">
        <v>1941</v>
      </c>
      <c r="E321" s="18" t="n"/>
      <c r="F321" s="5" t="inlineStr">
        <is>
          <t>1968–present</t>
        </is>
      </c>
      <c r="G321" s="5" t="inlineStr">
        <is>
          <t>British cinema and television</t>
        </is>
      </c>
      <c r="H321" s="5" t="inlineStr">
        <is>
          <t>Born Stephen Arthur Frears on 20 June 1941 in Leicester and educated at Gresham's School and Trinity College, Cambridge. A British director and producer of film and television who began as an assistant director in theatre and film while directing television plays. He received a knighthood in 2023.</t>
        </is>
      </c>
      <c r="I321" s="5" t="inlineStr">
        <is>
          <t>Directing from 1968; his first feature was Gumshoe.</t>
        </is>
      </c>
      <c r="J321" s="5" t="inlineStr">
        <is>
          <t>With Kapoor: Sammy and Rosie Get Laid (1987). Elsewhere: My Beautiful Laundrette, Prick Up Your Ears, Dangerous Liaisons, The Grifters and The Queen.</t>
        </is>
      </c>
      <c r="K321" s="19" t="inlineStr">
        <is>
          <t>Social class examined through sharply drawn characters, and real-life stories retold.</t>
        </is>
      </c>
      <c r="L321" s="19" t="inlineStr">
        <is>
          <t>A director who works without a signature style, adapting his method to each script and drawing unusually exact performances.</t>
        </is>
      </c>
      <c r="M321" s="5" t="inlineStr">
        <is>
          <t>Three BAFTA Awards and a Primetime Emmy Award, with nominations for two Academy Awards; the Commandeur de l'Ordre des Arts et des Lettres in 2009; named by The Daily Telegraph in 2008 among the hundred most influential people in British culture; knighted in 2023.</t>
        </is>
      </c>
      <c r="N321" s="19" t="inlineStr">
        <is>
          <t>One of the most significant British directors of the past half-century, and a central figure in the British cinema of the 1980s.</t>
        </is>
      </c>
      <c r="O321" s="19" t="inlineStr">
        <is>
          <t>One film, Sammy and Rosie Get Laid (1987), written by Hanif Kureishi (PERSON-176), produced by Sarah Radclyffe (PERSON-298), financed by FilmFour International (PERSON-163) and scored by Stanley Myers (PERSON-319). Kapoor plays Rafi, a former minister of an unnamed Asian government implicated in torture, returning to see his son in a rioting London — a role that uses his charm against him and refuses to absolve the character. It is the furthest any film took him from the romantic persona this workbook measures.</t>
        </is>
      </c>
      <c r="P321" s="17" t="n">
        <v>1</v>
      </c>
      <c r="Q321" s="5" t="inlineStr">
        <is>
          <t>FILM-132</t>
        </is>
      </c>
      <c r="R321" s="5" t="inlineStr">
        <is>
          <t>Sammy and Rosie Get Laid (1987), his only film with Kapoor</t>
        </is>
      </c>
      <c r="S321" s="5" t="inlineStr">
        <is>
          <t>Stephen Frears directed Sammy and Rosie Get Laid in 1987, giving Shashi Kapoor the most uncomfortable role of his career: Rafi, a former minister of an unnamed Asian government with a record of torture behind him, arriving in a riot-torn London to see his son and expecting to be loved for it. The film, written by Hanif Kureishi after their success with My Beautiful Laundrette, produced by Sarah Radclyffe for Working Title and financed by FilmFour, uses Kapoor's celebrated charm as evidence against the character and pointedly declines to forgive him. It is as far from the courteous romantic lead of the Hindi films as this filmography travels, and it is the strongest single argument that his range extended well past the persona the Romances sheet measures. Frears, born in Leicester in 1941 and educated at Cambridge, began as an assistant director in theatre and television; he has since made Dangerous Liaisons, The Grifters and The Queen, winning three BAFTA Awards, a Primetime Emmy and two Academy Award nominations, and was knighted in 2023. His article does not mention Kapoor.</t>
        </is>
      </c>
      <c r="T321" s="5" t="inlineStr">
        <is>
          <t>SOURCE-288</t>
        </is>
      </c>
      <c r="U321" s="5" t="inlineStr">
        <is>
          <t>High</t>
        </is>
      </c>
    </row>
    <row r="322" ht="109" customHeight="1">
      <c r="A322" s="15" t="inlineStr">
        <is>
          <t>PERSON-321</t>
        </is>
      </c>
      <c r="B322" s="5" t="inlineStr">
        <is>
          <t>Subhash Gupta</t>
        </is>
      </c>
      <c r="C322" s="5" t="inlineStr">
        <is>
          <t>Producer</t>
        </is>
      </c>
      <c r="D322" s="18" t="n"/>
      <c r="E322" s="18" t="n"/>
      <c r="F322" s="5" t="n"/>
      <c r="G322" s="5" t="inlineStr">
        <is>
          <t>Hindi cinema</t>
        </is>
      </c>
      <c r="H322" s="5" t="inlineStr">
        <is>
          <t>No Wikipedia article exists for him, and none was found under any variant spelling. Everything here rests on the credit of the single film.</t>
        </is>
      </c>
      <c r="I322" s="5" t="n"/>
      <c r="J322" s="5" t="inlineStr">
        <is>
          <t>With Kapoor: Zameen Aasmaan (1984).</t>
        </is>
      </c>
      <c r="K322" s="19" t="inlineStr">
        <is>
          <t>Not established from a single credit.</t>
        </is>
      </c>
      <c r="L322" s="19" t="inlineStr">
        <is>
          <t>Not applicable; no biographical source was located.</t>
        </is>
      </c>
      <c r="M322" s="5" t="n"/>
      <c r="N322" s="19" t="inlineStr">
        <is>
          <t>Not established.</t>
        </is>
      </c>
      <c r="O322" s="19" t="inlineStr">
        <is>
          <t>One producing credit, on Zameen Aasmaan (1984), directed by Bharat Rangachary (PERSON-122), written by Sachin Bhowmick (PERSON-012), Rahi Masoom Reza (PERSON-035) and Preeti Sapru (PERSON-257), released under the Film Group banner (PERSON-161) and scored by R. D. Burman (PERSON-003).</t>
        </is>
      </c>
      <c r="P322" s="17" t="n">
        <v>1</v>
      </c>
      <c r="Q322" s="5" t="inlineStr">
        <is>
          <t>FILM-113</t>
        </is>
      </c>
      <c r="R322" s="5" t="inlineStr">
        <is>
          <t>Zameen Aasmaan (1984), his only film with Kapoor</t>
        </is>
      </c>
      <c r="S322" s="5" t="inlineStr">
        <is>
          <t>Subhash Gupta produced Zameen Aasmaan in 1984, his only credit in this filmography — a commercial picture with a stronger creative line-up than its reputation suggests, directed by Bharat Rangachary, written by Sachin Bhowmick with the Urdu novelist Rahi Masoom Reza, and scored by R. D. Burman. It belongs to the mid-1980s stretch in which Shashi Kapoor's leading roles were giving way to character work. No Wikipedia article exists for Gupta under this name or any variant attempted during research, and no other biographical source was located. The entry is graded Low.</t>
        </is>
      </c>
      <c r="T322" s="5" t="inlineStr">
        <is>
          <t>SOURCE-094</t>
        </is>
      </c>
      <c r="U322" s="5" t="inlineStr">
        <is>
          <t>Low</t>
        </is>
      </c>
    </row>
    <row r="323" ht="109" customHeight="1">
      <c r="A323" s="15" t="inlineStr">
        <is>
          <t>PERSON-322</t>
        </is>
      </c>
      <c r="B323" s="5" t="inlineStr">
        <is>
          <t>Subhash Mukherjee</t>
        </is>
      </c>
      <c r="C323" s="5" t="inlineStr">
        <is>
          <t>Writer</t>
        </is>
      </c>
      <c r="D323" s="18" t="n"/>
      <c r="E323" s="18" t="n"/>
      <c r="F323" s="5" t="n"/>
      <c r="G323" s="5" t="inlineStr">
        <is>
          <t>Hindi cinema</t>
        </is>
      </c>
      <c r="H323" s="5" t="inlineStr">
        <is>
          <t>No Wikipedia article exists for this writer, and none was found under any variant spelling. He should not be confused with the director-producer Subodh Mukherjee (PERSON-045), who worked on the same film. Everything here rests on the credit of the single film.</t>
        </is>
      </c>
      <c r="I323" s="5" t="n"/>
      <c r="J323" s="5" t="inlineStr">
        <is>
          <t>With Kapoor: Abhinetri (1970).</t>
        </is>
      </c>
      <c r="K323" s="19" t="inlineStr">
        <is>
          <t>Not established from a single credit.</t>
        </is>
      </c>
      <c r="L323" s="19" t="inlineStr">
        <is>
          <t>Not established; no biographical source was located.</t>
        </is>
      </c>
      <c r="M323" s="5" t="n"/>
      <c r="N323" s="19" t="inlineStr">
        <is>
          <t>Not established.</t>
        </is>
      </c>
      <c r="O323" s="19" t="inlineStr">
        <is>
          <t>One writing credit, on Abhinetri (1970), directed, produced and co-written by Subodh Mukherjee (PERSON-045), with further writing credits for Samir Ganguly (PERSON-021), D. N. Mukherjee (PERSON-145) and Ehsan Rizvi (PERSON-030) — five credited writers, three of them named Mukherjee or a variant.</t>
        </is>
      </c>
      <c r="P323" s="17" t="n">
        <v>1</v>
      </c>
      <c r="Q323" s="5" t="inlineStr">
        <is>
          <t>FILM-032</t>
        </is>
      </c>
      <c r="R323" s="5" t="inlineStr">
        <is>
          <t>Abhinetri (1970), his only film with Kapoor</t>
        </is>
      </c>
      <c r="S323" s="5" t="inlineStr">
        <is>
          <t>Subhash Mukherjee is one of five credited writers on Abhinetri, released in 1970 — a film directed, produced and also written by Subodh Mukherjee, whose name is close enough to invite confusion and who is recorded separately in this sheet. D. N. Mukherjee, Samir Ganguly and Ehsan Rizvi complete the writing credit, making three Mukherjees or near-variants on a single script, which may reflect a family working group or simply the coincidence of a common Bengali surname. No Wikipedia article exists for Subhash Mukherjee under this name or any variant attempted during research. The entry is graded Low.</t>
        </is>
      </c>
      <c r="T323" s="5" t="inlineStr">
        <is>
          <t>SOURCE-026</t>
        </is>
      </c>
      <c r="U323" s="5" t="inlineStr">
        <is>
          <t>Low</t>
        </is>
      </c>
    </row>
    <row r="324" ht="139" customHeight="1">
      <c r="A324" s="15" t="inlineStr">
        <is>
          <t>PERSON-323</t>
        </is>
      </c>
      <c r="B324" s="5" t="inlineStr">
        <is>
          <t>Subodh Ghosh</t>
        </is>
      </c>
      <c r="C324" s="5" t="inlineStr">
        <is>
          <t>Writer</t>
        </is>
      </c>
      <c r="D324" s="17" t="n">
        <v>1909</v>
      </c>
      <c r="E324" s="17" t="n">
        <v>1980</v>
      </c>
      <c r="F324" s="5" t="n"/>
      <c r="G324" s="5" t="inlineStr">
        <is>
          <t>Bengali literature and Indian cinema</t>
        </is>
      </c>
      <c r="H324" s="5" t="inlineStr">
        <is>
          <t>Born 14 September 1909; died 10 March 1980. A noted author of Bengali literature and a journalist with the Kolkata daily Anandabazar Patrika. His best-known book, Bharat Premkatha, retells the romances of figures from the Indian epics and has remained popular in Bengali letters.</t>
        </is>
      </c>
      <c r="I324" s="5" t="inlineStr">
        <is>
          <t>Established as a writer of fiction; his stories began reaching the screen in the 1950s.</t>
        </is>
      </c>
      <c r="J324" s="5" t="inlineStr">
        <is>
          <t>With Kapoor: Ijaazat (1987), adapted from his story. Elsewhere: source stories for Ritwik Ghatak's Ajantrik (1958) and Bimal Roy's Sujata (1959).</t>
        </is>
      </c>
      <c r="K324" s="19" t="inlineStr">
        <is>
          <t>Romance and social division; the epic recast in a modern register; caste and its human cost.</t>
        </is>
      </c>
      <c r="L324" s="19" t="inlineStr">
        <is>
          <t>A short-story writer whose compression suited adaptation, and whose work attracted the most serious directors in Indian cinema.</t>
        </is>
      </c>
      <c r="M324" s="5" t="inlineStr">
        <is>
          <t>The Filmfare Award for Best Story twice — for Bimal Roy's Sujata in 1960 and, posthumously, for Gulzar's Ijaazat in 1989. He was selected for the Bharatiya Jnanpith Award in 1977 and refused it.</t>
        </is>
      </c>
      <c r="N324" s="19" t="inlineStr">
        <is>
          <t>One of the most adapted Bengali writers of the twentieth century, whose stories underlie films by Ritwik Ghatak, Bimal Roy and Gulzar.</t>
        </is>
      </c>
      <c r="O324" s="19" t="inlineStr">
        <is>
          <t>One credit, on Ijaazat (1987), written and directed by Gulzar (PERSON-031) from his story, produced by R. K. Gupta (PERSON-262) and scored by R. D. Burman (PERSON-003). It is among the most admired films of Kapoor's later career, a three-hander on marriage and its remainder, and it won Ghosh a posthumous Filmfare Award for Best Story. His article names the film.</t>
        </is>
      </c>
      <c r="P324" s="17" t="n">
        <v>1</v>
      </c>
      <c r="Q324" s="5" t="inlineStr">
        <is>
          <t>FILM-131</t>
        </is>
      </c>
      <c r="R324" s="5" t="inlineStr">
        <is>
          <t>Ijaazat (1987), his only film with Kapoor</t>
        </is>
      </c>
      <c r="S324" s="5" t="inlineStr">
        <is>
          <t>Subodh Ghosh wrote the story from which Ijaazat was adapted — Gulzar's 1987 film about a marriage reconstructed in a railway waiting room, with one of R. D. Burman's most admired late scores, and among the best-regarded pictures of Shashi Kapoor's later career. It brought Ghosh a posthumous Filmfare Award for Best Story in 1989, his second: the first had come in 1960 for Bimal Roy's Sujata, also adapted from his work. Born in 1909 and a journalist at Anandabazar Patrika, he was among the most filmed Bengali writers of his century, his stories also underlying Ritwik Ghatak's Ajantrik. He was chosen for the Jnanpith Award in 1977 and declined it, and died in 1980.</t>
        </is>
      </c>
      <c r="T324" s="5" t="inlineStr">
        <is>
          <t>SOURCE-289</t>
        </is>
      </c>
      <c r="U324" s="5" t="inlineStr">
        <is>
          <t>High</t>
        </is>
      </c>
    </row>
    <row r="325" ht="109" customHeight="1">
      <c r="A325" s="15" t="inlineStr">
        <is>
          <t>PERSON-324</t>
        </is>
      </c>
      <c r="B325" s="5" t="inlineStr">
        <is>
          <t>Suchitra Films Pvt. Ltd.</t>
        </is>
      </c>
      <c r="C325" s="5" t="inlineStr">
        <is>
          <t>Producer</t>
        </is>
      </c>
      <c r="D325" s="18" t="n"/>
      <c r="E325" s="18" t="n"/>
      <c r="F325" s="5" t="n"/>
      <c r="G325" s="5" t="inlineStr">
        <is>
          <t>Hindi cinema</t>
        </is>
      </c>
      <c r="H325" s="5" t="inlineStr">
        <is>
          <t>No Wikipedia article exists for this company. Everything here rests on the credit of the single film.</t>
        </is>
      </c>
      <c r="I325" s="5" t="n"/>
      <c r="J325" s="5" t="inlineStr">
        <is>
          <t>With Kapoor: Immaan Dharam (1977).</t>
        </is>
      </c>
      <c r="K325" s="19" t="inlineStr">
        <is>
          <t>Not established from a single credit.</t>
        </is>
      </c>
      <c r="L325" s="19" t="inlineStr">
        <is>
          <t>Not applicable.</t>
        </is>
      </c>
      <c r="M325" s="5" t="n"/>
      <c r="N325" s="19" t="inlineStr">
        <is>
          <t>Not established.</t>
        </is>
      </c>
      <c r="O325" s="19" t="inlineStr">
        <is>
          <t>One producing credit, on Immaan Dharam (1977), shared with Premji (PERSON-258), directed by Desh Mukherjee (PERSON-151), written by Salim–Javed (PERSON-010) and scored by Laxmikant–Pyarelal (PERSON-001). It is one of the six Salim–Javed films in this filmography.</t>
        </is>
      </c>
      <c r="P325" s="17" t="n">
        <v>1</v>
      </c>
      <c r="Q325" s="5" t="inlineStr">
        <is>
          <t>FILM-067</t>
        </is>
      </c>
      <c r="R325" s="5" t="inlineStr">
        <is>
          <t>Immaan Dharam (1977), its only film with Kapoor</t>
        </is>
      </c>
      <c r="S325" s="5" t="inlineStr">
        <is>
          <t>Suchitra Films Pvt. Ltd. produced Immaan Dharam in 1977 alongside Premji — one of the six Salim–Javed scripts in this filmography and part of the multi-starrer cycle that defines Shashi Kapoor's peak years, directed by Desh Mukherjee with a Laxmikant–Pyarelal score. The film is poorly documented on every side except its writers and composers: its director, its co-producer and this company all lack biographical records, and no Wikipedia article exists for Suchitra Films under this name or any variant attempted during research. The entry is graded Low.</t>
        </is>
      </c>
      <c r="T325" s="5" t="inlineStr">
        <is>
          <t>SOURCE-052</t>
        </is>
      </c>
      <c r="U325" s="5" t="inlineStr">
        <is>
          <t>Low</t>
        </is>
      </c>
    </row>
    <row r="326" ht="214" customHeight="1">
      <c r="A326" s="15" t="inlineStr">
        <is>
          <t>PERSON-325</t>
        </is>
      </c>
      <c r="B326" s="5" t="inlineStr">
        <is>
          <t>Sukhdev Singh Sandhu</t>
        </is>
      </c>
      <c r="C326" s="5" t="inlineStr">
        <is>
          <t>Director</t>
        </is>
      </c>
      <c r="D326" s="17" t="n">
        <v>1933</v>
      </c>
      <c r="E326" s="17" t="n">
        <v>1979</v>
      </c>
      <c r="F326" s="5" t="inlineStr">
        <is>
          <t>1955–1979</t>
        </is>
      </c>
      <c r="G326" s="5" t="inlineStr">
        <is>
          <t>Indian documentary and feature film</t>
        </is>
      </c>
      <c r="H326" s="5" t="inlineStr">
        <is>
          <t>Born 1 October 1933; died 1 March 1979, aged 46. Also known as S. Sukhdev, Sukhdev or Sukh — and that is the difficulty with this row. He appears twice in this sheet under two forms of his name, because the film's own credits list both 'S. Sukhdev' and 'Sukhdev Singh Sandhu' as directors of the same picture. The duplication was not caught before the collaborator roster was frozen, and since the PERSON ids are fixed against that roster the two entries cannot now be merged without invalidating every id in the sheet. Both are therefore retained and cross-referenced, and the collaboration count for this man should be read as one film, not two.</t>
        </is>
      </c>
      <c r="I326" s="5" t="inlineStr">
        <is>
          <t>Filmmaking from 1955.</t>
        </is>
      </c>
      <c r="J326" s="5" t="inlineStr">
        <is>
          <t>With Kapoor: My Love (1970). Elsewhere: The Evolution And Races Of Man (1962) and And Miles To Go (1964), among more than sixty films.</t>
        </is>
      </c>
      <c r="K326" s="19" t="inlineStr">
        <is>
          <t>Documentary observation of Indian public life.</t>
        </is>
      </c>
      <c r="L326" s="19" t="inlineStr">
        <is>
          <t>A documentarian of unusual visual force who made very few features.</t>
        </is>
      </c>
      <c r="M326" s="5" t="inlineStr">
        <is>
          <t>More than thirty-five national and international awards; the Padma Shri; and, posthumously, Bangladesh's Friends of Liberation War Honour.</t>
        </is>
      </c>
      <c r="N326" s="19" t="inlineStr">
        <is>
          <t>One of the most significant Indian documentary filmmakers of the 1960s and 1970s.</t>
        </is>
      </c>
      <c r="O326" s="19" t="inlineStr">
        <is>
          <t>One film — the same film recorded at PERSON-295. My Love (1970), scored by Daan Singh (PERSON-147), is a rare feature from a filmmaker whose output was almost entirely documentary. Readers should treat PERSON-295 and this row as a single collaborator; the two entries exist only because the source credits gave his name twice in different forms.</t>
        </is>
      </c>
      <c r="P326" s="17" t="n">
        <v>1</v>
      </c>
      <c r="Q326" s="5" t="inlineStr">
        <is>
          <t>FILM-034</t>
        </is>
      </c>
      <c r="R326" s="5" t="inlineStr">
        <is>
          <t>My Love (1970), his only film with Kapoor</t>
        </is>
      </c>
      <c r="S326" s="5" t="inlineStr">
        <is>
          <t>This row and PERSON-295 describe the same man. Sukhdev Singh Sandhu, who worked professionally as S. Sukhdev, directed My Love in 1970, and the film's own director field credits him in both forms — 'S. Sukhdev; Sukhdev Singh Sandhu' — so the automated extraction that built this workbook's collaborator roster created two entries for one person. The error surfaced only after the roster had been frozen, and because every PERSON id in this sheet is fixed against that roster, merging them now would renumber the entire list; the duplication is therefore recorded openly in both rows rather than silently repaired, and his collaboration count should be read as one film, not two. Born on 1 October 1933, Sandhu made more than sixty films from the mid-1950s until his death, almost all of them documentaries, short films and commercials, winning over thirty-five national and international awards, the Padma Shri, and posthumously Bangladesh's Friends of Liberation War Honour. He died on 1 March 1979, aged forty-six.</t>
        </is>
      </c>
      <c r="T326" s="5" t="inlineStr">
        <is>
          <t>SOURCE-290</t>
        </is>
      </c>
      <c r="U326" s="5" t="inlineStr">
        <is>
          <t>High</t>
        </is>
      </c>
    </row>
    <row r="327" ht="124" customHeight="1">
      <c r="A327" s="15" t="inlineStr">
        <is>
          <t>PERSON-326</t>
        </is>
      </c>
      <c r="B327" s="5" t="inlineStr">
        <is>
          <t>Sunder Dar</t>
        </is>
      </c>
      <c r="C327" s="5" t="inlineStr">
        <is>
          <t>Director</t>
        </is>
      </c>
      <c r="D327" s="18" t="n"/>
      <c r="E327" s="18" t="n"/>
      <c r="F327" s="5" t="n"/>
      <c r="G327" s="5" t="inlineStr">
        <is>
          <t>Hindi cinema</t>
        </is>
      </c>
      <c r="H327" s="5" t="inlineStr">
        <is>
          <t>No Wikipedia article exists for him, and none was found under any variant spelling. Everything here rests on the credit of the single film.</t>
        </is>
      </c>
      <c r="I327" s="5" t="n"/>
      <c r="J327" s="5" t="inlineStr">
        <is>
          <t>With Kapoor: Rootha Na Karo (1970).</t>
        </is>
      </c>
      <c r="K327" s="19" t="inlineStr">
        <is>
          <t>Not established from a single credit.</t>
        </is>
      </c>
      <c r="L327" s="19" t="inlineStr">
        <is>
          <t>Not established; no biographical source was located.</t>
        </is>
      </c>
      <c r="M327" s="5" t="n"/>
      <c r="N327" s="19" t="inlineStr">
        <is>
          <t>Not established.</t>
        </is>
      </c>
      <c r="O327" s="19" t="inlineStr">
        <is>
          <t>One directing credit, on Rootha Na Karo, produced by Bishwanath Prasad Shahabadi (PERSON-127) and scored by C. Ramchandra (PERSON-028). The film's date is itself disputed in this workbook: its infobox gives 31 December 1969 against a 1970 year in both the article text and the filmography table, and the row is noted accordingly.</t>
        </is>
      </c>
      <c r="P327" s="17" t="n">
        <v>1</v>
      </c>
      <c r="Q327" s="5" t="inlineStr">
        <is>
          <t>FILM-031</t>
        </is>
      </c>
      <c r="R327" s="5" t="inlineStr">
        <is>
          <t>Rootha Na Karo (1970), his only film with Kapoor</t>
        </is>
      </c>
      <c r="S327" s="5" t="inlineStr">
        <is>
          <t>Sunder Dar directed Rootha Na Karo, a film whose release date this workbook records as disputed — its infobox gives the last day of 1969, while the article text and the filmography table both say 1970. It was produced by Bishwanath Prasad Shahabadi, who is remembered as the father of Bhojpuri cinema, and scored by C. Ramchandra, one of the leading composers of the previous decade, in what was among his last credits. No Wikipedia article exists for the director under this name or any variant attempted during research, and no other biographical source was located. The entry is graded Low.</t>
        </is>
      </c>
      <c r="T327" s="5" t="inlineStr">
        <is>
          <t>SOURCE-025</t>
        </is>
      </c>
      <c r="U327" s="5" t="inlineStr">
        <is>
          <t>Low</t>
        </is>
      </c>
    </row>
    <row r="328" ht="124" customHeight="1">
      <c r="A328" s="15" t="inlineStr">
        <is>
          <t>PERSON-327</t>
        </is>
      </c>
      <c r="B328" s="5" t="inlineStr">
        <is>
          <t>Sunil Varma</t>
        </is>
      </c>
      <c r="C328" s="5" t="inlineStr">
        <is>
          <t>Producer</t>
        </is>
      </c>
      <c r="D328" s="18" t="n"/>
      <c r="E328" s="18" t="n"/>
      <c r="F328" s="5" t="n"/>
      <c r="G328" s="5" t="inlineStr">
        <is>
          <t>Hindi cinema</t>
        </is>
      </c>
      <c r="H328" s="5" t="inlineStr">
        <is>
          <t>No Wikipedia article exists for this producer. The name reaches an article about the Indian actor Sunil, born 1974, which was rejected during research as plainly the wrong person — he would have been born after the film was released. The source data records his credit as executive producer; role qualifiers have been normalised out of the name fields across this workbook.</t>
        </is>
      </c>
      <c r="I328" s="5" t="n"/>
      <c r="J328" s="5" t="inlineStr">
        <is>
          <t>With Kapoor: Insaaniyat (1974).</t>
        </is>
      </c>
      <c r="K328" s="19" t="inlineStr">
        <is>
          <t>Not established from a single credit.</t>
        </is>
      </c>
      <c r="L328" s="19" t="inlineStr">
        <is>
          <t>Not applicable; no biographical source was located.</t>
        </is>
      </c>
      <c r="M328" s="5" t="n"/>
      <c r="N328" s="19" t="inlineStr">
        <is>
          <t>Not established.</t>
        </is>
      </c>
      <c r="O328" s="19" t="inlineStr">
        <is>
          <t>One producing credit, on Insaaniyat (1974), alongside Jagdish Varma (PERSON-065) and Satpal Varma (PERSON-082) under the J. V. Films banner (PERSON-064) — three Varmas on one film, making a family concern almost certain.</t>
        </is>
      </c>
      <c r="P328" s="17" t="n">
        <v>1</v>
      </c>
      <c r="Q328" s="5" t="inlineStr">
        <is>
          <t>FILM-047</t>
        </is>
      </c>
      <c r="R328" s="5" t="inlineStr">
        <is>
          <t>Insaaniyat (1974), his only film with Kapoor</t>
        </is>
      </c>
      <c r="S328" s="5" t="inlineStr">
        <is>
          <t>Sunil Varma is credited as an executive producer of Insaaniyat, released in 1974 and directed by Prayag Raj. He is the third Varma on the picture, alongside Jagdish and Satpal Varma and the J. V. Films banner whose initials they presumably share, which makes a family production concern effectively certain even though no source states it. No biography of him was established: the article reached from the name belongs to the Telugu actor Sunil, born in 1974, and was rejected during research on the obvious ground that he was born after the film came out. The entry is graded Low and rests on the film credit.</t>
        </is>
      </c>
      <c r="T328" s="5" t="inlineStr">
        <is>
          <t>SOURCE-039</t>
        </is>
      </c>
      <c r="U328" s="5" t="inlineStr">
        <is>
          <t>Low</t>
        </is>
      </c>
    </row>
    <row r="329" ht="109" customHeight="1">
      <c r="A329" s="15" t="inlineStr">
        <is>
          <t>PERSON-328</t>
        </is>
      </c>
      <c r="B329" s="5" t="inlineStr">
        <is>
          <t>Sunrise Pictures Productions</t>
        </is>
      </c>
      <c r="C329" s="5" t="inlineStr">
        <is>
          <t>Production banner</t>
        </is>
      </c>
      <c r="D329" s="18" t="n"/>
      <c r="E329" s="18" t="n"/>
      <c r="F329" s="5" t="n"/>
      <c r="G329" s="5" t="inlineStr">
        <is>
          <t>Hindi cinema</t>
        </is>
      </c>
      <c r="H329" s="5" t="inlineStr">
        <is>
          <t>No Wikipedia article exists for this banner. Everything here rests on the credit of the single film.</t>
        </is>
      </c>
      <c r="I329" s="5" t="n"/>
      <c r="J329" s="5" t="inlineStr">
        <is>
          <t>With Kapoor: Daana Paani (1953).</t>
        </is>
      </c>
      <c r="K329" s="19" t="inlineStr">
        <is>
          <t>Not established from a single credit.</t>
        </is>
      </c>
      <c r="L329" s="19" t="inlineStr">
        <is>
          <t>Not applicable.</t>
        </is>
      </c>
      <c r="M329" s="5" t="n"/>
      <c r="N329" s="19" t="inlineStr">
        <is>
          <t>Not established.</t>
        </is>
      </c>
      <c r="O329" s="19" t="inlineStr">
        <is>
          <t>One banner credit, on Daana Paani (1953), directed by V. M. Vyas (PERSON-350) and scored by Mohan Junior (PERSON-225), starring Meena Kumari and Bharat Bhushan — the last of Kapoor's child-actor films, in which he appears as Master Shashiraj before leaving the screen for nearly a decade.</t>
        </is>
      </c>
      <c r="P329" s="17" t="n">
        <v>1</v>
      </c>
      <c r="Q329" s="5" t="inlineStr">
        <is>
          <t>FILM-005</t>
        </is>
      </c>
      <c r="R329" s="5" t="inlineStr">
        <is>
          <t>Daana Paani (1953), its only film with Kapoor</t>
        </is>
      </c>
      <c r="S329" s="5" t="inlineStr">
        <is>
          <t>Sunrise Pictures Productions is the banner on Daana Paani, released in 1953 — the last of Shashi Kapoor's child-actor appearances, billed as Master Shashiraj alongside Meena Kumari and Bharat Bhushan, after which he left the screen until his adult debut in Dharmputra eight years later. The film's director and composer are equally undocumented, and no Wikipedia article exists for the company under this name or any variant attempted during research. The entry is graded Low and rests on the single film credit.</t>
        </is>
      </c>
      <c r="T329" s="5" t="inlineStr">
        <is>
          <t>SOURCE-005</t>
        </is>
      </c>
      <c r="U329" s="5" t="inlineStr">
        <is>
          <t>Low</t>
        </is>
      </c>
    </row>
    <row r="330" ht="94" customHeight="1">
      <c r="A330" s="15" t="inlineStr">
        <is>
          <t>PERSON-329</t>
        </is>
      </c>
      <c r="B330" s="5" t="inlineStr">
        <is>
          <t>Suraj Sanim</t>
        </is>
      </c>
      <c r="C330" s="5" t="inlineStr">
        <is>
          <t>Writer</t>
        </is>
      </c>
      <c r="D330" s="18" t="n"/>
      <c r="E330" s="18" t="n"/>
      <c r="F330" s="5" t="n"/>
      <c r="G330" s="5" t="inlineStr">
        <is>
          <t>Hindi and Punjabi cinema</t>
        </is>
      </c>
      <c r="H330" s="5" t="inlineStr">
        <is>
          <t>An Indian screenwriter who has written screenplays, dialogue and stories for many Hindi and Punjabi films. His article is a stub and gives no dates or biographical detail.</t>
        </is>
      </c>
      <c r="I330" s="5" t="inlineStr">
        <is>
          <t>Not recorded in the article.</t>
        </is>
      </c>
      <c r="J330" s="5" t="inlineStr">
        <is>
          <t>With Kapoor: Gehri Chot - Urf: Durdesh (1983). Elsewhere: Shaheed-E-Mohabbat Boota Singh (1999) and Sukhmani: Hope for Life (2010), both in Punjabi.</t>
        </is>
      </c>
      <c r="K330" s="19" t="inlineStr">
        <is>
          <t>Partition and cross-border love in his Punjabi work; commercial drama in Hindi.</t>
        </is>
      </c>
      <c r="L330" s="19" t="inlineStr">
        <is>
          <t>Not assessed in the article.</t>
        </is>
      </c>
      <c r="M330" s="5" t="n"/>
      <c r="N330" s="19" t="inlineStr">
        <is>
          <t>Not established, though Shaheed-E-Mohabbat Boota Singh is among the better-known Punjabi films of its period.</t>
        </is>
      </c>
      <c r="O330" s="19" t="inlineStr">
        <is>
          <t>One writing credit, on Gehri Chot - Urf: Durdesh (1983), directed by Ambrish Sangal (PERSON-096) and scored by Usha Khanna (PERSON-047). He is the only credit on that film besides the composer for whom any biographical record survives.</t>
        </is>
      </c>
      <c r="P330" s="17" t="n">
        <v>1</v>
      </c>
      <c r="Q330" s="5" t="inlineStr">
        <is>
          <t>FILM-110</t>
        </is>
      </c>
      <c r="R330" s="5" t="inlineStr">
        <is>
          <t>Gehri Chot - Urf: Durdesh (1983), his only film with Kapoor</t>
        </is>
      </c>
      <c r="S330" s="5" t="inlineStr">
        <is>
          <t>Suraj Sanim wrote Gehri Chot - Urf: Durdesh, released in 1983 — a film from the transitional years in which Shashi Kapoor's run as a commercial lead was ending, and one of the most thinly documented pictures in this filmography: its director, its three producers and its banner all lack biographical records, leaving only Sanim and the composer Usha Khanna traceable at all. His own article is a stub, giving no dates and naming only his later Punjabi screenplays, Shaheed-E-Mohabbat Boota Singh in 1999 and Sukhmani in 2010. It does not mention Kapoor. The entry is graded Medium.</t>
        </is>
      </c>
      <c r="T330" s="5" t="inlineStr">
        <is>
          <t>SOURCE-291</t>
        </is>
      </c>
      <c r="U330" s="5" t="inlineStr">
        <is>
          <t>Medium</t>
        </is>
      </c>
    </row>
    <row r="331" ht="109" customHeight="1">
      <c r="A331" s="15" t="inlineStr">
        <is>
          <t>PERSON-330</t>
        </is>
      </c>
      <c r="B331" s="5" t="inlineStr">
        <is>
          <t>Surendra Kaul</t>
        </is>
      </c>
      <c r="C331" s="5" t="inlineStr">
        <is>
          <t>Writer</t>
        </is>
      </c>
      <c r="D331" s="18" t="n"/>
      <c r="E331" s="18" t="n"/>
      <c r="F331" s="5" t="n"/>
      <c r="G331" s="5" t="inlineStr">
        <is>
          <t>Hindi cinema</t>
        </is>
      </c>
      <c r="H331" s="5" t="inlineStr">
        <is>
          <t>No Wikipedia article exists for him, and none was found under any variant spelling. Everything here rests on the credit of the single film.</t>
        </is>
      </c>
      <c r="I331" s="5" t="n"/>
      <c r="J331" s="5" t="inlineStr">
        <is>
          <t>With Kapoor: Namak Halaal (1982).</t>
        </is>
      </c>
      <c r="K331" s="19" t="inlineStr">
        <is>
          <t>Not established from a single credit.</t>
        </is>
      </c>
      <c r="L331" s="19" t="inlineStr">
        <is>
          <t>Not established; no biographical source was located.</t>
        </is>
      </c>
      <c r="M331" s="5" t="n"/>
      <c r="N331" s="19" t="inlineStr">
        <is>
          <t>Not established.</t>
        </is>
      </c>
      <c r="O331" s="19" t="inlineStr">
        <is>
          <t>One writing credit, on Namak Halaal (1982), directed by Prakash Mehra (PERSON-077), written also by Kader Khan (PERSON-007) and Laxmikant Sharma (PERSON-209), and scored by Bappi Lahiri (PERSON-004) — an Amitabh Bachchan vehicle in which Kapoor plays the wealthy employer.</t>
        </is>
      </c>
      <c r="P331" s="17" t="n">
        <v>1</v>
      </c>
      <c r="Q331" s="5" t="inlineStr">
        <is>
          <t>FILM-105</t>
        </is>
      </c>
      <c r="R331" s="5" t="inlineStr">
        <is>
          <t>Namak Halaal (1982), his only film with Kapoor</t>
        </is>
      </c>
      <c r="S331" s="5" t="inlineStr">
        <is>
          <t>Surendra Kaul shares a writing credit on Namak Halaal, released in 1982 — the Prakash Mehra picture built around Amitabh Bachchan, remembered above all for Kader Khan's dialogue, with songs by Bappi Lahiri. Shashi Kapoor plays the wealthy employer, a substantial but subordinate role, and the film marks how far his position had shifted by the early 1980s. No Wikipedia article exists for Kaul under this name or any variant attempted during research, and no other biographical source was located. The entry is graded Low and rests on the single film credit.</t>
        </is>
      </c>
      <c r="T331" s="5" t="inlineStr">
        <is>
          <t>SOURCE-087</t>
        </is>
      </c>
      <c r="U331" s="5" t="inlineStr">
        <is>
          <t>Low</t>
        </is>
      </c>
    </row>
    <row r="332" ht="79" customHeight="1">
      <c r="A332" s="15" t="inlineStr">
        <is>
          <t>PERSON-331</t>
        </is>
      </c>
      <c r="B332" s="5" t="inlineStr">
        <is>
          <t>Suridh Kar</t>
        </is>
      </c>
      <c r="C332" s="5" t="inlineStr">
        <is>
          <t>Writer</t>
        </is>
      </c>
      <c r="D332" s="18" t="n"/>
      <c r="E332" s="18" t="n"/>
      <c r="F332" s="5" t="n"/>
      <c r="G332" s="5" t="inlineStr">
        <is>
          <t>Hindi cinema</t>
        </is>
      </c>
      <c r="H332" s="5" t="inlineStr">
        <is>
          <t>No Wikipedia article exists for him, and none was found under any variant spelling; the name as credited may itself be a transcription variant. Everything here rests on the credit of the single film.</t>
        </is>
      </c>
      <c r="I332" s="5" t="n"/>
      <c r="J332" s="5" t="inlineStr">
        <is>
          <t>With Kapoor: Chakkar Pe Chakkar (1977).</t>
        </is>
      </c>
      <c r="K332" s="19" t="inlineStr">
        <is>
          <t>Not established from a single credit.</t>
        </is>
      </c>
      <c r="L332" s="19" t="inlineStr">
        <is>
          <t>Not established; no biographical source was located.</t>
        </is>
      </c>
      <c r="M332" s="5" t="n"/>
      <c r="N332" s="19" t="inlineStr">
        <is>
          <t>Not established.</t>
        </is>
      </c>
      <c r="O332" s="19" t="inlineStr">
        <is>
          <t>One writing credit, on Chakkar Pe Chakkar (1977), directed and produced by Ashok Roy (PERSON-026) and written also by Amit Khanna (PERSON-097), Charandas Shokh (PERSON-139) and the lyricist Verma Malik (PERSON-354).</t>
        </is>
      </c>
      <c r="P332" s="17" t="n">
        <v>1</v>
      </c>
      <c r="Q332" s="5" t="inlineStr">
        <is>
          <t>FILM-066</t>
        </is>
      </c>
      <c r="R332" s="5" t="inlineStr">
        <is>
          <t>Chakkar Pe Chakkar (1977), his only film with Kapoor</t>
        </is>
      </c>
      <c r="S332" s="5" t="inlineStr">
        <is>
          <t>Suridh Kar is one of four credited writers on Chakkar Pe Chakkar, released in 1977 — an Ashok Roy production whose script also carries the names of Amit Khanna, later chairman of Reliance Entertainment, the lyricist Verma Malik, and Charandas Shokh. No Wikipedia article exists for Kar under this name or any variant attempted during research, and the credited spelling may itself be a transcription of a name rendered differently elsewhere. The entry is graded Low and rests on the single film credit.</t>
        </is>
      </c>
      <c r="T332" s="5" t="inlineStr">
        <is>
          <t>SOURCE-058</t>
        </is>
      </c>
      <c r="U332" s="5" t="inlineStr">
        <is>
          <t>Low</t>
        </is>
      </c>
    </row>
    <row r="333" ht="154" customHeight="1">
      <c r="A333" s="15" t="inlineStr">
        <is>
          <t>PERSON-332</t>
        </is>
      </c>
      <c r="B333" s="5" t="inlineStr">
        <is>
          <t>Surinder Kapoor</t>
        </is>
      </c>
      <c r="C333" s="5" t="inlineStr">
        <is>
          <t>Producer</t>
        </is>
      </c>
      <c r="D333" s="17" t="n">
        <v>1925</v>
      </c>
      <c r="E333" s="17" t="n">
        <v>2011</v>
      </c>
      <c r="F333" s="5" t="n"/>
      <c r="G333" s="5" t="inlineStr">
        <is>
          <t>Hindi cinema</t>
        </is>
      </c>
      <c r="H333" s="5" t="inlineStr">
        <is>
          <t>Born 23 December 1925; died 24 September 2011. An Indian film producer who served as President of the Film &amp; Television Producers Guild of India from 1995 to 2001.</t>
        </is>
      </c>
      <c r="I333" s="5" t="inlineStr">
        <is>
          <t>Producing from the 1960s.</t>
        </is>
      </c>
      <c r="J333" s="5" t="inlineStr">
        <is>
          <t>With Kapoor: Ek Shrimaan Ek Shrimati (1969). His article records that he was among the producers who won the National Film Award for Best Film on National Integration.</t>
        </is>
      </c>
      <c r="K333" s="19" t="inlineStr">
        <is>
          <t>Mainstream Hindi production across four decades.</t>
        </is>
      </c>
      <c r="L333" s="19" t="inlineStr">
        <is>
          <t>Not applicable; a producer and industry office-holder.</t>
        </is>
      </c>
      <c r="M333" s="5" t="inlineStr">
        <is>
          <t>His article places him among winners of the National Film Award for Best Film on National Integration.</t>
        </is>
      </c>
      <c r="N333" s="19" t="inlineStr">
        <is>
          <t>A long-serving figure in the institutional life of the industry as well as a producer, and the head of a family that became prominent in later Hindi cinema.</t>
        </is>
      </c>
      <c r="O333" s="19" t="inlineStr">
        <is>
          <t>One producing credit, on Ek Shrimaan Ek Shrimati (1969), directed by Bhappi Sonie (PERSON-120), written by Sachin Bhowmick (PERSON-012) and scored by Kalyanji–Anandji (PERSON-002) — a romantic comedy from the years when Kapoor was consolidating his stardom. He shares a surname with the actor but, despite both belonging to film families, no relationship is recorded. His article does not mention Kapoor.</t>
        </is>
      </c>
      <c r="P333" s="17" t="n">
        <v>1</v>
      </c>
      <c r="Q333" s="5" t="inlineStr">
        <is>
          <t>FILM-029</t>
        </is>
      </c>
      <c r="R333" s="5" t="inlineStr">
        <is>
          <t>Ek Shrimaan Ek Shrimati (1969), his only film with Kapoor</t>
        </is>
      </c>
      <c r="S333" s="5" t="inlineStr">
        <is>
          <t>Surinder Kapoor produced Ek Shrimaan Ek Shrimati in 1969, a romantic comedy directed by Bhappi Sonie and written by Sachin Bhowmick, with songs by Kalyanji–Anandji — the kind of light vehicle Shashi Kapoor took regularly in the years after Jab Jab Phool Khile made him a star. Born in 1925, Surinder Kapoor produced Hindi films across four decades and was President of the Film &amp; Television Producers Guild of India from 1995 to 2001, an unusually long tenure; his article notes a National Film Award for Best Film on National Integration among his honours. He died in 2011. The shared surname is coincidence as far as any source records: no relationship between the two Kapoor families is noted.</t>
        </is>
      </c>
      <c r="T333" s="5" t="inlineStr">
        <is>
          <t>SOURCE-292</t>
        </is>
      </c>
      <c r="U333" s="5" t="inlineStr">
        <is>
          <t>Medium</t>
        </is>
      </c>
    </row>
    <row r="334" ht="94" customHeight="1">
      <c r="A334" s="15" t="inlineStr">
        <is>
          <t>PERSON-333</t>
        </is>
      </c>
      <c r="B334" s="5" t="inlineStr">
        <is>
          <t>Surinder Prakash</t>
        </is>
      </c>
      <c r="C334" s="5" t="inlineStr">
        <is>
          <t>Writer</t>
        </is>
      </c>
      <c r="D334" s="18" t="n"/>
      <c r="E334" s="18" t="n"/>
      <c r="F334" s="5" t="n"/>
      <c r="G334" s="5" t="inlineStr">
        <is>
          <t>Hindi cinema</t>
        </is>
      </c>
      <c r="H334" s="5" t="inlineStr">
        <is>
          <t>No Wikipedia article exists for him, and none was found under any variant spelling. Everything here rests on the credit of the single film.</t>
        </is>
      </c>
      <c r="I334" s="5" t="n"/>
      <c r="J334" s="5" t="inlineStr">
        <is>
          <t>With Kapoor: Sawaal (1982).</t>
        </is>
      </c>
      <c r="K334" s="19" t="inlineStr">
        <is>
          <t>Not established from a single credit.</t>
        </is>
      </c>
      <c r="L334" s="19" t="inlineStr">
        <is>
          <t>Not established; no biographical source was located.</t>
        </is>
      </c>
      <c r="M334" s="5" t="n"/>
      <c r="N334" s="19" t="inlineStr">
        <is>
          <t>Not established.</t>
        </is>
      </c>
      <c r="O334" s="19" t="inlineStr">
        <is>
          <t>One writing credit, on Sawaal (1982), directed by Ramesh Talwar (PERSON-039), produced by Yash Chopra (PERSON-005) under the Yash Raj Films banner (PERSON-025), written also by Sagar Sarhadi (PERSON-020) and scored by Khayyam (PERSON-016).</t>
        </is>
      </c>
      <c r="P334" s="17" t="n">
        <v>1</v>
      </c>
      <c r="Q334" s="5" t="inlineStr">
        <is>
          <t>FILM-106</t>
        </is>
      </c>
      <c r="R334" s="5" t="inlineStr">
        <is>
          <t>Sawaal (1982), his only film with Kapoor</t>
        </is>
      </c>
      <c r="S334" s="5" t="inlineStr">
        <is>
          <t>Surinder Prakash shares a writing credit on Sawaal, released in 1982 — a Yash Chopra production directed by Ramesh Talwar, written principally by Sagar Sarhadi and scored by Khayyam, and the last of the four Yash Raj films in which Shashi Kapoor appeared. No Wikipedia article exists for him under this name or any variant attempted during research, and no other biographical source was located, so nothing further can be said about his career. The entry is graded Low and rests on the single film credit.</t>
        </is>
      </c>
      <c r="T334" s="5" t="inlineStr">
        <is>
          <t>SOURCE-088</t>
        </is>
      </c>
      <c r="U334" s="5" t="inlineStr">
        <is>
          <t>Low</t>
        </is>
      </c>
    </row>
    <row r="335" ht="109" customHeight="1">
      <c r="A335" s="15" t="inlineStr">
        <is>
          <t>PERSON-334</t>
        </is>
      </c>
      <c r="B335" s="5" t="inlineStr">
        <is>
          <t>Swati Studios</t>
        </is>
      </c>
      <c r="C335" s="5" t="inlineStr">
        <is>
          <t>Production banner (studio facility)</t>
        </is>
      </c>
      <c r="D335" s="18" t="n"/>
      <c r="E335" s="18" t="n"/>
      <c r="F335" s="5" t="n"/>
      <c r="G335" s="5" t="inlineStr">
        <is>
          <t>Hindi cinema</t>
        </is>
      </c>
      <c r="H335" s="5" t="inlineStr">
        <is>
          <t>No Wikipedia article exists for this studio. Everything here rests on the credit of the single film.</t>
        </is>
      </c>
      <c r="I335" s="5" t="n"/>
      <c r="J335" s="5" t="inlineStr">
        <is>
          <t>With Kapoor: Aa Gale Lag Jaa (1973).</t>
        </is>
      </c>
      <c r="K335" s="19" t="inlineStr">
        <is>
          <t>Not applicable; a facility credit.</t>
        </is>
      </c>
      <c r="L335" s="19" t="inlineStr">
        <is>
          <t>Not applicable.</t>
        </is>
      </c>
      <c r="M335" s="5" t="n"/>
      <c r="N335" s="19" t="inlineStr">
        <is>
          <t>Not established.</t>
        </is>
      </c>
      <c r="O335" s="19" t="inlineStr">
        <is>
          <t>One banner credit, on Aa Gale Lag Jaa (1973), which also carries credits for K. Asif Studios (PERSON-067) and Ranjeet Studios (PERSON-283) — three studio names on one film, and another demonstration that these record shooting facilities rather than producers.</t>
        </is>
      </c>
      <c r="P335" s="17" t="n">
        <v>1</v>
      </c>
      <c r="Q335" s="5" t="inlineStr">
        <is>
          <t>FILM-043</t>
        </is>
      </c>
      <c r="R335" s="5" t="inlineStr">
        <is>
          <t>Aa Gale Lag Jaa (1973), its only film with Kapoor</t>
        </is>
      </c>
      <c r="S335" s="5" t="inlineStr">
        <is>
          <t>Swati Studios is one of three studio names on Aa Gale Lag Jaa, released in 1973 — with K. Asif Studios and Ranjeet Studios also credited on the same Manmohan Desai picture. As with Mukti, which carries five such names, the cluster shows plainly what the production-banner field records in this data: the rented stages a film moved between, not the company that made it. This workbook keeps facility credits distinct from production ones so that collaboration counts reflect creative involvement. No Wikipedia article exists for Swati Studios and no other source was located. The entry is graded Low.</t>
        </is>
      </c>
      <c r="T335" s="5" t="inlineStr">
        <is>
          <t>SOURCE-033</t>
        </is>
      </c>
      <c r="U335" s="5" t="inlineStr">
        <is>
          <t>Low</t>
        </is>
      </c>
    </row>
    <row r="336" ht="139" customHeight="1">
      <c r="A336" s="15" t="inlineStr">
        <is>
          <t>PERSON-335</t>
        </is>
      </c>
      <c r="B336" s="5" t="inlineStr">
        <is>
          <t>T. Subbarami Reddy</t>
        </is>
      </c>
      <c r="C336" s="5" t="inlineStr">
        <is>
          <t>Producer</t>
        </is>
      </c>
      <c r="D336" s="17" t="n">
        <v>1943</v>
      </c>
      <c r="E336" s="18" t="n"/>
      <c r="F336" s="5" t="n"/>
      <c r="G336" s="5" t="inlineStr">
        <is>
          <t>Telugu and Hindi cinema; Indian politics</t>
        </is>
      </c>
      <c r="H336" s="5" t="inlineStr">
        <is>
          <t>Born Thikkavarapu Subbarami Reddy on 17 September 1943. An industrialist, politician, film producer and philanthropist, and a member of the Indian National Congress. He represented Andhra Pradesh in both houses of the Indian Parliament, serving in the Lok Sabha from 1996 and in the Rajya Sabha from 2002, and was Minister of State for Mines between 2006 and 2008. He has chaired the Tirumala Tirupati Devasthanam Board since 2004.</t>
        </is>
      </c>
      <c r="I336" s="5" t="inlineStr">
        <is>
          <t>Producing from the 1980s.</t>
        </is>
      </c>
      <c r="J336" s="5" t="inlineStr">
        <is>
          <t>With Kapoor: Swami Vivekananda (1998). Elsewhere: the Sanskrit film Bhagavad Gita (1993), which won the National Film Award for Best Feature Film at the 40th National Film Awards.</t>
        </is>
      </c>
      <c r="K336" s="19" t="inlineStr">
        <is>
          <t>Devotional and philosophical subjects made on a scale commercial producers would not attempt.</t>
        </is>
      </c>
      <c r="L336" s="19" t="inlineStr">
        <is>
          <t>Not applicable; a producer and patron rather than a filmmaker.</t>
        </is>
      </c>
      <c r="M336" s="5" t="inlineStr">
        <is>
          <t>His production of Bhagavad Gita won the National Film Award for Best Feature Film in 1993.</t>
        </is>
      </c>
      <c r="N336" s="19" t="inlineStr">
        <is>
          <t>A political and industrial figure who used his resources to finance devotional cinema of a kind the market would not support.</t>
        </is>
      </c>
      <c r="O336" s="19" t="inlineStr">
        <is>
          <t>One producing credit, on Swami Vivekananda (1998), directed and written by G. V. Iyer (PERSON-167) — the same filmmaker whose Bhagavad Gita Reddy had produced five years earlier. It is one of the last three films of Kapoor's career, made in the year he stopped acting.</t>
        </is>
      </c>
      <c r="P336" s="17" t="n">
        <v>1</v>
      </c>
      <c r="Q336" s="5" t="inlineStr">
        <is>
          <t>FILM-152</t>
        </is>
      </c>
      <c r="R336" s="5" t="inlineStr">
        <is>
          <t>Swami Vivekananda (1998), his only film with Kapoor</t>
        </is>
      </c>
      <c r="S336" s="5" t="inlineStr">
        <is>
          <t>T. Subbarami Reddy produced Swami Vivekananda in 1998, one of the last three films of Shashi Kapoor's acting career, directed and written by G. V. Iyer. The pairing was established: Reddy had produced Iyer's Sanskrit Bhagavad Gita in 1993, which won the National Film Award for Best Feature Film, and the two devotional projects belong together as work no commercial producer would have financed. Born in 1943, Reddy is an industrialist and Congress politician who has sat in both houses of the Indian Parliament, served as Minister of State for Mines, and chaired the Tirumala Tirupati Devasthanam Board. His article does not mention Kapoor.</t>
        </is>
      </c>
      <c r="T336" s="5" t="inlineStr">
        <is>
          <t>SOURCE-293</t>
        </is>
      </c>
      <c r="U336" s="5" t="inlineStr">
        <is>
          <t>High</t>
        </is>
      </c>
    </row>
    <row r="337" ht="139" customHeight="1">
      <c r="A337" s="15" t="inlineStr">
        <is>
          <t>PERSON-336</t>
        </is>
      </c>
      <c r="B337" s="5" t="inlineStr">
        <is>
          <t>Tarun Ghosh</t>
        </is>
      </c>
      <c r="C337" s="5" t="inlineStr">
        <is>
          <t>Writer</t>
        </is>
      </c>
      <c r="D337" s="18" t="n"/>
      <c r="E337" s="18" t="n"/>
      <c r="F337" s="5" t="n"/>
      <c r="G337" s="5" t="inlineStr">
        <is>
          <t>Hindi cinema</t>
        </is>
      </c>
      <c r="H337" s="5" t="inlineStr">
        <is>
          <t>No Wikipedia article exists for this writer. The article reached from the name is about a Bangladeshi art director and animation editor born in 1953 and active from 2000 to 2026, which was rejected during research as plainly a different person: he would have been twenty-one when this film was made, and his recorded career began a quarter-century later. Everything here rests on the credit of the single film.</t>
        </is>
      </c>
      <c r="I337" s="5" t="n"/>
      <c r="J337" s="5" t="inlineStr">
        <is>
          <t>With Kapoor: Chor Machaye Shor (1974).</t>
        </is>
      </c>
      <c r="K337" s="19" t="inlineStr">
        <is>
          <t>Not established from a single credit.</t>
        </is>
      </c>
      <c r="L337" s="19" t="inlineStr">
        <is>
          <t>Not established; no biographical source was located.</t>
        </is>
      </c>
      <c r="M337" s="5" t="n"/>
      <c r="N337" s="19" t="inlineStr">
        <is>
          <t>Not established, despite a credit on one of the top-grossing films of its year.</t>
        </is>
      </c>
      <c r="O337" s="19" t="inlineStr">
        <is>
          <t>One writing credit, on Chor Machaye Shor (1974) — one of the two films that made Kapoor a top-rank commercial star — directed by Ashok Roy (PERSON-026), produced by N. N. Sippy (PERSON-075), written also by S. M. Abbas (PERSON-011) and Dhruva Chatterjee (PERSON-029), and scored by Ravindra Jain (PERSON-018).</t>
        </is>
      </c>
      <c r="P337" s="17" t="n">
        <v>1</v>
      </c>
      <c r="Q337" s="5" t="inlineStr">
        <is>
          <t>FILM-048</t>
        </is>
      </c>
      <c r="R337" s="5" t="inlineStr">
        <is>
          <t>Chor Machaye Shor (1974), his only film with Kapoor</t>
        </is>
      </c>
      <c r="S337" s="5" t="inlineStr">
        <is>
          <t>Tarun Ghosh shares a writing credit on Chor Machaye Shor, released in 1974 — one of the two films, with Roti Kapda Aur Makaan, that took the top box-office places that year and made Shashi Kapoor one of the most saleable stars of the decade. No biography of the writer was established. The article reached from his name belongs to a Bangladeshi art director and animation editor born in 1953, whose recorded career runs from 2000 to 2026; he would have been twenty-one when this film was written, and the identification was rejected during research on that ground. No alternative was found under any variant. The entry is graded Low.</t>
        </is>
      </c>
      <c r="T337" s="5" t="inlineStr">
        <is>
          <t>SOURCE-035</t>
        </is>
      </c>
      <c r="U337" s="5" t="inlineStr">
        <is>
          <t>Low</t>
        </is>
      </c>
    </row>
    <row r="338" ht="109" customHeight="1">
      <c r="A338" s="15" t="inlineStr">
        <is>
          <t>PERSON-337</t>
        </is>
      </c>
      <c r="B338" s="5" t="inlineStr">
        <is>
          <t>The Quaid Project Limited</t>
        </is>
      </c>
      <c r="C338" s="5" t="inlineStr">
        <is>
          <t>Production banner</t>
        </is>
      </c>
      <c r="D338" s="18" t="n"/>
      <c r="E338" s="18" t="n"/>
      <c r="F338" s="5" t="n"/>
      <c r="G338" s="5" t="inlineStr">
        <is>
          <t>British and Pakistani cinema</t>
        </is>
      </c>
      <c r="H338" s="5" t="inlineStr">
        <is>
          <t>No Wikipedia article exists for this company, formed in the United Kingdom — the source data records the credit with a '(UK)' qualifier, which this workbook normalises out of name fields. The name refers to Quaid-e-Azam, the title by which Muhammad Ali Jinnah is known in Pakistan.</t>
        </is>
      </c>
      <c r="I338" s="5" t="n"/>
      <c r="J338" s="5" t="inlineStr">
        <is>
          <t>With Kapoor: Jinnah (1998).</t>
        </is>
      </c>
      <c r="K338" s="19" t="inlineStr">
        <is>
          <t>Not established from a single credit; the company appears to have been formed for this project.</t>
        </is>
      </c>
      <c r="L338" s="19" t="inlineStr">
        <is>
          <t>Not applicable.</t>
        </is>
      </c>
      <c r="M338" s="5" t="n"/>
      <c r="N338" s="19" t="inlineStr">
        <is>
          <t>Not established independently of the film.</t>
        </is>
      </c>
      <c r="O338" s="19" t="inlineStr">
        <is>
          <t>One banner credit, on Jinnah (1998), directed, produced and written by Jamil Dehlavi (PERSON-186) with Akbar S. Ahmed (PERSON-092), and scored by Nigel Clarke (PERSON-242) and Michael Csányi-Wills (PERSON-222). Kapoor is the film's narrator, and it is one of the last three credits of his career.</t>
        </is>
      </c>
      <c r="P338" s="17" t="n">
        <v>1</v>
      </c>
      <c r="Q338" s="5" t="inlineStr">
        <is>
          <t>FILM-153</t>
        </is>
      </c>
      <c r="R338" s="5" t="inlineStr">
        <is>
          <t>Jinnah (1998), its only film with Kapoor</t>
        </is>
      </c>
      <c r="S338" s="5" t="inlineStr">
        <is>
          <t>The Quaid Project Limited is the banner on Jinnah, released in 1998 — Jamil Dehlavi's film about the founder of Pakistan, written with the academic and former diplomat Akbar S. Ahmed, in which Shashi Kapoor provides the narration in one of the last three credits of his acting career. The company's name invokes Quaid-e-Azam, the title by which Jinnah is known in Pakistan, and it appears to have been formed in Britain for this project alone; no Wikipedia article exists for it and no other source was located. The film won prizes at several festivals, including the Grand Prize at the Festival of the Dhow Countries. The entry is graded Low.</t>
        </is>
      </c>
      <c r="T338" s="5" t="inlineStr">
        <is>
          <t>SOURCE-123</t>
        </is>
      </c>
      <c r="U338" s="5" t="inlineStr">
        <is>
          <t>Low</t>
        </is>
      </c>
    </row>
    <row r="339" ht="124" customHeight="1">
      <c r="A339" s="15" t="inlineStr">
        <is>
          <t>PERSON-338</t>
        </is>
      </c>
      <c r="B339" s="5" t="inlineStr">
        <is>
          <t>Tilak Movies Pvt. Ltd.</t>
        </is>
      </c>
      <c r="C339" s="5" t="inlineStr">
        <is>
          <t>Producer</t>
        </is>
      </c>
      <c r="D339" s="18" t="n"/>
      <c r="E339" s="18" t="n"/>
      <c r="F339" s="5" t="n"/>
      <c r="G339" s="5" t="inlineStr">
        <is>
          <t>Hindi cinema</t>
        </is>
      </c>
      <c r="H339" s="5" t="inlineStr">
        <is>
          <t>No Wikipedia article exists for this company. It is evidently the production concern of Raj Tilak (PERSON-269), who directed and produced the one film on which it is credited, though no source confirms the connection.</t>
        </is>
      </c>
      <c r="I339" s="5" t="n"/>
      <c r="J339" s="5" t="inlineStr">
        <is>
          <t>With Kapoor: Mukti (1977).</t>
        </is>
      </c>
      <c r="K339" s="19" t="inlineStr">
        <is>
          <t>Not established from a single credit.</t>
        </is>
      </c>
      <c r="L339" s="19" t="inlineStr">
        <is>
          <t>Not applicable.</t>
        </is>
      </c>
      <c r="M339" s="5" t="n"/>
      <c r="N339" s="19" t="inlineStr">
        <is>
          <t>Not established.</t>
        </is>
      </c>
      <c r="O339" s="19" t="inlineStr">
        <is>
          <t>One producing credit, on Mukti (1977), which Raj Tilak directed and produced, written by Dhruva Chatterjee (PERSON-029), Kader Khan (PERSON-007), Keka Chatterjee (PERSON-199) and Renu Khanna (PERSON-290), and scored by R. D. Burman (PERSON-003). The film carries five separate studio-facility credits, the most in this filmography.</t>
        </is>
      </c>
      <c r="P339" s="17" t="n">
        <v>1</v>
      </c>
      <c r="Q339" s="5" t="inlineStr">
        <is>
          <t>FILM-068</t>
        </is>
      </c>
      <c r="R339" s="5" t="inlineStr">
        <is>
          <t>Mukti (1977), its only film with Kapoor</t>
        </is>
      </c>
      <c r="S339" s="5" t="inlineStr">
        <is>
          <t>Tilak Movies Pvt. Ltd. produced Mukti in 1977, the film Raj Tilak directed and whose name the company plainly carries, though no source states the connection. It is the picture that carries five separate studio names in its production-banner field — Essel, Famous Cine, Natraj, R. K. Studios and Rajkamal Kalamandir — more than any other in this filmography, and the clearest demonstration that those credits record rented stages rather than producers; the actual producer is this company. R. D. Burman scored it and four writers are credited. No Wikipedia article exists for the company. The entry is graded Low.</t>
        </is>
      </c>
      <c r="T339" s="5" t="inlineStr">
        <is>
          <t>SOURCE-054</t>
        </is>
      </c>
      <c r="U339" s="5" t="inlineStr">
        <is>
          <t>Low</t>
        </is>
      </c>
    </row>
    <row r="340" ht="124" customHeight="1">
      <c r="A340" s="15" t="inlineStr">
        <is>
          <t>PERSON-339</t>
        </is>
      </c>
      <c r="B340" s="5" t="inlineStr">
        <is>
          <t>Tim Bevan</t>
        </is>
      </c>
      <c r="C340" s="5" t="inlineStr">
        <is>
          <t>Producer</t>
        </is>
      </c>
      <c r="D340" s="17" t="n">
        <v>1957</v>
      </c>
      <c r="E340" s="18" t="n"/>
      <c r="F340" s="5" t="inlineStr">
        <is>
          <t>1984–present</t>
        </is>
      </c>
      <c r="G340" s="5" t="inlineStr">
        <is>
          <t>British cinema</t>
        </is>
      </c>
      <c r="H340" s="5" t="inlineStr">
        <is>
          <t>Born Timothy John Bevan on 20 December 1957. A New Zealand-British film producer and co-chairman, with Eric Fellner, of Working Title Films (PERSON-364), which he founded with Sarah Radclyffe (PERSON-298) in 1983.</t>
        </is>
      </c>
      <c r="I340" s="5" t="inlineStr">
        <is>
          <t>Producing from 1984; Working Title's first significant production was My Beautiful Laundrette (1985).</t>
        </is>
      </c>
      <c r="J340" s="5" t="inlineStr">
        <is>
          <t>With Kapoor: Sammy and Rosie Get Laid (1987). Elsewhere, the Working Title slate, whose films through 2017 had grossed almost seven billion dollars worldwide.</t>
        </is>
      </c>
      <c r="K340" s="19" t="inlineStr">
        <is>
          <t>In the early period, socially engaged British filmmaking; later, mainstream international production.</t>
        </is>
      </c>
      <c r="L340" s="19" t="inlineStr">
        <is>
          <t>Not applicable; a producer, and with Fellner the most commercially successful of his British generation.</t>
        </is>
      </c>
      <c r="M340" s="5" t="inlineStr">
        <is>
          <t>Working Title's films had won twelve Academy Awards and thirty-nine British Academy Film Awards as of 2017. He and Fellner received the David O. Selznick Achievement Award from the Producers Guild of America in 2013, and he received the Royal Photographic Society's Cinematic Production Award in 2018.</t>
        </is>
      </c>
      <c r="N340" s="19" t="inlineStr">
        <is>
          <t>Co-founder and co-chairman of the most successful British production company of the past forty years.</t>
        </is>
      </c>
      <c r="O340" s="19" t="inlineStr">
        <is>
          <t>One producing credit, on Sammy and Rosie Get Laid (1987), directed by Stephen Frears (PERSON-320) and written by Hanif Kureishi (PERSON-176), in which Kapoor plays a former minister implicated in torture. It comes from Working Title's earliest and most politically pointed period, two years after My Beautiful Laundrette.</t>
        </is>
      </c>
      <c r="P340" s="17" t="n">
        <v>1</v>
      </c>
      <c r="Q340" s="5" t="inlineStr">
        <is>
          <t>FILM-132</t>
        </is>
      </c>
      <c r="R340" s="5" t="inlineStr">
        <is>
          <t>Sammy and Rosie Get Laid (1987), his only film with Kapoor</t>
        </is>
      </c>
      <c r="S340" s="5" t="inlineStr">
        <is>
          <t>Tim Bevan produced Sammy and Rosie Get Laid in 1987, the Stephen Frears film from a Hanif Kureishi script in which Shashi Kapoor plays Rafi, a former government minister with torture behind him. It belongs to the earliest years of Working Title Films, which Bevan had founded with Sarah Radclyffe in 1983 and whose first significant production was My Beautiful Laundrette — a period when the company made politically abrasive British films rather than the international hits that followed. Born in 1957, Bevan became co-chairman with Eric Fellner and together they are the most commercially successful British producers of their era; Working Title's films had won twelve Academy Awards by 2017. His article does not mention Kapoor.</t>
        </is>
      </c>
      <c r="T340" s="5" t="inlineStr">
        <is>
          <t>SOURCE-295</t>
        </is>
      </c>
      <c r="U340" s="5" t="inlineStr">
        <is>
          <t>High</t>
        </is>
      </c>
    </row>
    <row r="341" ht="124" customHeight="1">
      <c r="A341" s="15" t="inlineStr">
        <is>
          <t>PERSON-340</t>
        </is>
      </c>
      <c r="B341" s="5" t="inlineStr">
        <is>
          <t>Tina Films International</t>
        </is>
      </c>
      <c r="C341" s="5" t="inlineStr">
        <is>
          <t>Production banner</t>
        </is>
      </c>
      <c r="D341" s="18" t="n"/>
      <c r="E341" s="18" t="n"/>
      <c r="F341" s="5" t="n"/>
      <c r="G341" s="5" t="inlineStr">
        <is>
          <t>Hindi cinema</t>
        </is>
      </c>
      <c r="H341" s="5" t="inlineStr">
        <is>
          <t>No Wikipedia article exists for this banner. It is identified in the article on K. Ravi Shankar (PERSON-193) as the home banner for which he mostly directed; the company belongs to his family, headed by the producer A. Krishnamurthy (PERSON-050).</t>
        </is>
      </c>
      <c r="I341" s="5" t="n"/>
      <c r="J341" s="5" t="inlineStr">
        <is>
          <t>With Kapoor: Ghar Ek Mandir (1984).</t>
        </is>
      </c>
      <c r="K341" s="19" t="inlineStr">
        <is>
          <t>Family melodrama of the mid-1980s.</t>
        </is>
      </c>
      <c r="L341" s="19" t="inlineStr">
        <is>
          <t>Not applicable; a family production company.</t>
        </is>
      </c>
      <c r="M341" s="5" t="n"/>
      <c r="N341" s="19" t="inlineStr">
        <is>
          <t>Not established independently of the family that ran it.</t>
        </is>
      </c>
      <c r="O341" s="19" t="inlineStr">
        <is>
          <t>One banner credit, on Ghar Ek Mandir (1984), produced by A. Krishnamurthy, directed by K. Bapaiah (PERSON-189), written by Kader Khan (PERSON-007) and Gyandev Agnihotri (PERSON-062) and scored by Laxmikant–Pyarelal (PERSON-001). The same family unit made Sindoor with Kapoor three years later, the last commercial success of his career.</t>
        </is>
      </c>
      <c r="P341" s="17" t="n">
        <v>1</v>
      </c>
      <c r="Q341" s="5" t="inlineStr">
        <is>
          <t>FILM-112</t>
        </is>
      </c>
      <c r="R341" s="5" t="inlineStr">
        <is>
          <t>Ghar Ek Mandir (1984), its only film with Kapoor</t>
        </is>
      </c>
      <c r="S341" s="5" t="inlineStr">
        <is>
          <t>Tina Films International is the banner on Ghar Ek Mandir, released in 1984 — the first of two films Shashi Kapoor made with a single southern family production unit, the second being Sindoor in 1987, the last commercial success of his career. The company belonged to the producer A. Krishnamurthy, and his son K. Ravi Shankar's article identifies it as the home banner for which he mostly directed. Kader Khan and Gyandev Agnihotri wrote this film, K. Bapaiah directed and Laxmikant–Pyarelal scored it. No Wikipedia article exists for the banner itself, so the entry rests on the film credit and on what Ravi Shankar's article records; it is graded Low.</t>
        </is>
      </c>
      <c r="T341" s="5" t="inlineStr">
        <is>
          <t>SOURCE-093</t>
        </is>
      </c>
      <c r="U341" s="5" t="inlineStr">
        <is>
          <t>Low</t>
        </is>
      </c>
    </row>
    <row r="342" ht="139" customHeight="1">
      <c r="A342" s="15" t="inlineStr">
        <is>
          <t>PERSON-341</t>
        </is>
      </c>
      <c r="B342" s="5" t="inlineStr">
        <is>
          <t>Tinnu Anand</t>
        </is>
      </c>
      <c r="C342" s="5" t="inlineStr">
        <is>
          <t>Director</t>
        </is>
      </c>
      <c r="D342" s="17" t="n">
        <v>1945</v>
      </c>
      <c r="E342" s="18" t="n"/>
      <c r="F342" s="5" t="n"/>
      <c r="G342" s="5" t="inlineStr">
        <is>
          <t>Hindi cinema</t>
        </is>
      </c>
      <c r="H342" s="5" t="inlineStr">
        <is>
          <t>Born Virender Raj Anand on 12 October 1945. An actor, director, writer and producer in Hindi cinema and in a few Telugu and Tamil films. He is the son of the writer Inder Raj Anand (PERSON-014) and the brother of the producer Bittu Anand (PERSON-128).</t>
        </is>
      </c>
      <c r="I342" s="5" t="inlineStr">
        <is>
          <t>Directing from the late 1970s.</t>
        </is>
      </c>
      <c r="J342" s="5" t="inlineStr">
        <is>
          <t>With Kapoor: Duniya Meri Jeb Mein (1979). Elsewhere, as director: Kaalia and Shahenshah; as actor: Nayakan, Kaalapani, Anji and Salaar: Part 1 – Ceasefire.</t>
        </is>
      </c>
      <c r="K342" s="19" t="inlineStr">
        <is>
          <t>The star vehicle built on revenge and disguise; his two best-known films as director are both Amitabh Bachchan pictures.</t>
        </is>
      </c>
      <c r="L342" s="19" t="inlineStr">
        <is>
          <t>A director of commercial star vehicles who has worked far longer and more visibly as a character actor.</t>
        </is>
      </c>
      <c r="M342" s="5" t="n"/>
      <c r="N342" s="19" t="inlineStr">
        <is>
          <t>The director of Shahenshah, one of the defining Bachchan vehicles of the 1980s, and a durable character actor across five decades.</t>
        </is>
      </c>
      <c r="O342" s="19" t="inlineStr">
        <is>
          <t>One film, Duniya Meri Jeb Mein (1979), which he directed from a script by his father Inder Raj Anand and which his brother Bittu Anand produced — a family undertaking. The elder Anand had written Aag in 1948, the film in which the nine-year-old Kapoor first appeared, so the two ends of that association are thirty-one years apart. His article does not mention Kapoor.</t>
        </is>
      </c>
      <c r="P342" s="17" t="n">
        <v>1</v>
      </c>
      <c r="Q342" s="5" t="inlineStr">
        <is>
          <t>FILM-086</t>
        </is>
      </c>
      <c r="R342" s="5" t="inlineStr">
        <is>
          <t>Duniya Meri Jeb Mein (1979), his only film with Kapoor</t>
        </is>
      </c>
      <c r="S342" s="5" t="inlineStr">
        <is>
          <t>Tinnu Anand directed Duniya Meri Jeb Mein in 1979, working from a screenplay by his father, Inder Raj Anand, and for his brother Bittu Anand as producer, with Naresh Malhotra also producing and Rajesh Roshan composing — an entirely family undertaking, and one with a long reach. The elder Anand had written Aag in 1948, the film in which the nine-year-old Shashi Kapoor first appeared, so the two ends of that association stand thirty-one years apart. Born Virender Raj Anand in 1945, Tinnu Anand went on to direct Kaalia and Shahenshah for Amitabh Bachchan, the latter written by his father and released after his death, and has had a much longer and more visible career as a character actor, working in Telugu and Tamil cinema as well as Hindi across Nayakan, Kaalapani, Anji and, as recently as Salaar: Part 1 – Ceasefire. His article, which lists Shahenshah, Kaalia, Nayakan, Kaalapani and Salaar among his notable works, does not mention Shashi Kapoor.</t>
        </is>
      </c>
      <c r="T342" s="5" t="inlineStr">
        <is>
          <t>SOURCE-296</t>
        </is>
      </c>
      <c r="U342" s="5" t="inlineStr">
        <is>
          <t>High</t>
        </is>
      </c>
    </row>
    <row r="343" ht="109" customHeight="1">
      <c r="A343" s="15" t="inlineStr">
        <is>
          <t>PERSON-342</t>
        </is>
      </c>
      <c r="B343" s="5" t="inlineStr">
        <is>
          <t>Tinu International Films</t>
        </is>
      </c>
      <c r="C343" s="5" t="inlineStr">
        <is>
          <t>Production banner</t>
        </is>
      </c>
      <c r="D343" s="18" t="n"/>
      <c r="E343" s="18" t="n"/>
      <c r="F343" s="5" t="n"/>
      <c r="G343" s="5" t="inlineStr">
        <is>
          <t>Hindi cinema</t>
        </is>
      </c>
      <c r="H343" s="5" t="inlineStr">
        <is>
          <t>No Wikipedia article exists for this banner. Everything here rests on the credit of the single film.</t>
        </is>
      </c>
      <c r="I343" s="5" t="n"/>
      <c r="J343" s="5" t="inlineStr">
        <is>
          <t>With Kapoor: Sindoor (1987).</t>
        </is>
      </c>
      <c r="K343" s="19" t="inlineStr">
        <is>
          <t>Not established from a single credit.</t>
        </is>
      </c>
      <c r="L343" s="19" t="inlineStr">
        <is>
          <t>Not applicable.</t>
        </is>
      </c>
      <c r="M343" s="5" t="n"/>
      <c r="N343" s="19" t="inlineStr">
        <is>
          <t>Not established.</t>
        </is>
      </c>
      <c r="O343" s="19" t="inlineStr">
        <is>
          <t>One banner credit, on Sindoor (1987) — the last commercial success of Kapoor's career — produced by A. Krishnamurthy (PERSON-050), directed by his son K. Ravi Shankar (PERSON-193), written by Gyandev Agnihotri (PERSON-062) and K. Rangaraj (PERSON-192), and scored by Laxmikant–Pyarelal (PERSON-001).</t>
        </is>
      </c>
      <c r="P343" s="17" t="n">
        <v>1</v>
      </c>
      <c r="Q343" s="5" t="inlineStr">
        <is>
          <t>FILM-130</t>
        </is>
      </c>
      <c r="R343" s="5" t="inlineStr">
        <is>
          <t>Sindoor (1987), its only film with Kapoor</t>
        </is>
      </c>
      <c r="S343" s="5" t="inlineStr">
        <is>
          <t>Tinu International Films is the banner on Sindoor, released in 1987 and the last film of Shashi Kapoor's career to succeed commercially — a family melodrama produced by A. Krishnamurthy and directed by his son K. Ravi Shankar, with a Laxmikant–Pyarelal score. The name is close enough to Tina Films International, the same family's banner on Ghar Ek Mandir three years earlier, that the two are presumably related concerns, though no source confirms it and this workbook records them separately as the credits give them. No Wikipedia article exists for the company. The entry is graded Low.</t>
        </is>
      </c>
      <c r="T343" s="5" t="inlineStr">
        <is>
          <t>SOURCE-107</t>
        </is>
      </c>
      <c r="U343" s="5" t="inlineStr">
        <is>
          <t>Low</t>
        </is>
      </c>
    </row>
    <row r="344" ht="109" customHeight="1">
      <c r="A344" s="15" t="inlineStr">
        <is>
          <t>PERSON-343</t>
        </is>
      </c>
      <c r="B344" s="5" t="inlineStr">
        <is>
          <t>Tom Borders</t>
        </is>
      </c>
      <c r="C344" s="5" t="inlineStr">
        <is>
          <t>Producer</t>
        </is>
      </c>
      <c r="D344" s="18" t="n"/>
      <c r="E344" s="18" t="n"/>
      <c r="F344" s="5" t="n"/>
      <c r="G344" s="5" t="inlineStr">
        <is>
          <t>American independent cinema</t>
        </is>
      </c>
      <c r="H344" s="5" t="inlineStr">
        <is>
          <t>No Wikipedia article exists for him, and none was found under any variant spelling. The source data records his credit as executive producer; role qualifiers have been normalised out of the name fields across this workbook.</t>
        </is>
      </c>
      <c r="I344" s="5" t="n"/>
      <c r="J344" s="5" t="inlineStr">
        <is>
          <t>With Kapoor: Side Streets (1998).</t>
        </is>
      </c>
      <c r="K344" s="19" t="inlineStr">
        <is>
          <t>Not established from a single credit.</t>
        </is>
      </c>
      <c r="L344" s="19" t="inlineStr">
        <is>
          <t>Not applicable; no biographical source was located.</t>
        </is>
      </c>
      <c r="M344" s="5" t="n"/>
      <c r="N344" s="19" t="inlineStr">
        <is>
          <t>Not established.</t>
        </is>
      </c>
      <c r="O344" s="19" t="inlineStr">
        <is>
          <t>One producing credit, on Side Streets (1998), directed and co-written by Tony Gerber (PERSON-344), produced by Bruce Weiss (PERSON-133) with Ismail Merchant (PERSON-006) and Gregory Cascante (PERSON-171) also credited as executive producers. It is one of the last three films of Kapoor's career.</t>
        </is>
      </c>
      <c r="P344" s="17" t="n">
        <v>1</v>
      </c>
      <c r="Q344" s="5" t="inlineStr">
        <is>
          <t>FILM-154</t>
        </is>
      </c>
      <c r="R344" s="5" t="inlineStr">
        <is>
          <t>Side Streets (1998), his only film with Kapoor</t>
        </is>
      </c>
      <c r="S344" s="5" t="inlineStr">
        <is>
          <t>Tom Borders is credited as an executive producer of Side Streets, released in 1998 — the New York ensemble film directed by Tony Gerber and written with Lynn Nottage, and one of the last three credits of Shashi Kapoor's acting life, alongside Jinnah and Swami Vivekananda. Ismail Merchant appears among its executive producers too, so the film quietly closes a working relationship that had begun with The Householder thirty-five years earlier. No Wikipedia article exists for Borders under this name or any variant attempted during research. The entry is graded Low.</t>
        </is>
      </c>
      <c r="T344" s="5" t="inlineStr">
        <is>
          <t>SOURCE-125</t>
        </is>
      </c>
      <c r="U344" s="5" t="inlineStr">
        <is>
          <t>Low</t>
        </is>
      </c>
    </row>
    <row r="345" ht="139" customHeight="1">
      <c r="A345" s="15" t="inlineStr">
        <is>
          <t>PERSON-344</t>
        </is>
      </c>
      <c r="B345" s="5" t="inlineStr">
        <is>
          <t>Tony Gerber</t>
        </is>
      </c>
      <c r="C345" s="5" t="inlineStr">
        <is>
          <t>Director; Writer</t>
        </is>
      </c>
      <c r="D345" s="18" t="n"/>
      <c r="E345" s="18" t="n"/>
      <c r="F345" s="5" t="n"/>
      <c r="G345" s="5" t="inlineStr">
        <is>
          <t>American independent cinema</t>
        </is>
      </c>
      <c r="H345" s="5" t="inlineStr">
        <is>
          <t>Born in New York City; a 1981 graduate of the Hackley School and a 1995 graduate of the Columbia University School of the Arts. An American filmmaker and co-founder, in 2005, of the independent production company Market Road Films. He lives in Brooklyn with his wife, the playwright Lynn Nottage (PERSON-214), and their two children.</t>
        </is>
      </c>
      <c r="I345" s="5" t="inlineStr">
        <is>
          <t>Filmmaking from the 1990s.</t>
        </is>
      </c>
      <c r="J345" s="5" t="inlineStr">
        <is>
          <t>With Kapoor: Side Streets (1998), which he directed and co-wrote.</t>
        </is>
      </c>
      <c r="K345" s="19" t="inlineStr">
        <is>
          <t>Immigrant and working lives in New York; documentary and fiction pursued in parallel.</t>
        </is>
      </c>
      <c r="L345" s="19" t="inlineStr">
        <is>
          <t>An independent filmmaker working between documentary and narrative feature.</t>
        </is>
      </c>
      <c r="M345" s="5" t="n"/>
      <c r="N345" s="19" t="inlineStr">
        <is>
          <t>Not established beyond his independent production work and the company he founded with Nottage.</t>
        </is>
      </c>
      <c r="O345" s="19" t="inlineStr">
        <is>
          <t>One film, Side Streets (1998), which he directed and co-wrote with his wife Lynn Nottage, produced by Bruce Weiss (PERSON-133) with Ismail Merchant (PERSON-006) as an executive producer and music by Evan Lurie (PERSON-158). Kapoor appears in this New York ensemble piece in one of the last three credits of his career.</t>
        </is>
      </c>
      <c r="P345" s="17" t="n">
        <v>1</v>
      </c>
      <c r="Q345" s="5" t="inlineStr">
        <is>
          <t>FILM-154</t>
        </is>
      </c>
      <c r="R345" s="5" t="inlineStr">
        <is>
          <t>Side Streets (1998), his only film with Kapoor</t>
        </is>
      </c>
      <c r="S345" s="5" t="inlineStr">
        <is>
          <t>Tony Gerber directed and co-wrote Side Streets, the 1998 New York ensemble film in which Shashi Kapoor appeared in one of the last three roles of his career, alongside Jinnah and Swami Vivekananda. He wrote it with Lynn Nottage, his wife, who would later become the first and only woman to win the Pulitzer Prize for Drama twice; the two founded the independent production company Market Road Films together in 2005. Ismail Merchant was among the film's executive producers, which is presumably how the project reached Kapoor, so this last American credit quietly closes a working relationship that had begun with The Householder thirty-five years earlier; Evan Lurie of the Lounge Lizards wrote the music, and Bruce Weiss produced. Gerber, born in New York City, graduated from the Hackley School in 1981 and the Columbia University School of the Arts in 1995, lives in Brooklyn, and works between documentary and narrative feature. His article does not mention Kapoor.</t>
        </is>
      </c>
      <c r="T345" s="5" t="inlineStr">
        <is>
          <t>SOURCE-297</t>
        </is>
      </c>
      <c r="U345" s="5" t="inlineStr">
        <is>
          <t>High</t>
        </is>
      </c>
    </row>
    <row r="346" ht="94" customHeight="1">
      <c r="A346" s="15" t="inlineStr">
        <is>
          <t>PERSON-345</t>
        </is>
      </c>
      <c r="B346" s="5" t="inlineStr">
        <is>
          <t>UA Films</t>
        </is>
      </c>
      <c r="C346" s="5" t="inlineStr">
        <is>
          <t>Production banner</t>
        </is>
      </c>
      <c r="D346" s="18" t="n"/>
      <c r="E346" s="18" t="n"/>
      <c r="F346" s="5" t="n"/>
      <c r="G346" s="5" t="inlineStr">
        <is>
          <t>Hindi cinema</t>
        </is>
      </c>
      <c r="H346" s="5" t="inlineStr">
        <is>
          <t>No Wikipedia article exists for this banner, whose initials make searching unreliable; it is not to be confused with the American company United Artists. Everything here rests on the credit of the single film.</t>
        </is>
      </c>
      <c r="I346" s="5" t="n"/>
      <c r="J346" s="5" t="inlineStr">
        <is>
          <t>With Kapoor: Pighalta Aasman (1985).</t>
        </is>
      </c>
      <c r="K346" s="19" t="inlineStr">
        <is>
          <t>Not established from a single credit.</t>
        </is>
      </c>
      <c r="L346" s="19" t="inlineStr">
        <is>
          <t>Not applicable.</t>
        </is>
      </c>
      <c r="M346" s="5" t="n"/>
      <c r="N346" s="19" t="inlineStr">
        <is>
          <t>Not established.</t>
        </is>
      </c>
      <c r="O346" s="19" t="inlineStr">
        <is>
          <t>One banner credit, on Pighalta Aasman (1985), credited as directed and produced by Shammi (PERSON-310), written by Moin-ud-din (PERSON-231) and scored by Kalyanji–Anandji (PERSON-002).</t>
        </is>
      </c>
      <c r="P346" s="17" t="n">
        <v>1</v>
      </c>
      <c r="Q346" s="5" t="inlineStr">
        <is>
          <t>FILM-115</t>
        </is>
      </c>
      <c r="R346" s="5" t="inlineStr">
        <is>
          <t>Pighalta Aasman (1985), its only film with Kapoor</t>
        </is>
      </c>
      <c r="S346" s="5" t="inlineStr">
        <is>
          <t>UA Films is the banner on Pighalta Aasman, released in 1985 — a film whose direction and production Wikipedia attributes to the actress Shammi, an attribution this workbook records with reservation since nothing in her own biography supports it. Moin-ud-din wrote it alone, taking story, screenplay and dialogue together, and Kalyanji–Anandji scored it. No Wikipedia article exists for the banner, whose initials make any search unreliable and which should not be confused with the American United Artists. The entry is graded Low and rests on the single film credit.</t>
        </is>
      </c>
      <c r="T346" s="5" t="inlineStr">
        <is>
          <t>SOURCE-096</t>
        </is>
      </c>
      <c r="U346" s="5" t="inlineStr">
        <is>
          <t>Low</t>
        </is>
      </c>
    </row>
    <row r="347" ht="94" customHeight="1">
      <c r="A347" s="15" t="inlineStr">
        <is>
          <t>PERSON-346</t>
        </is>
      </c>
      <c r="B347" s="5" t="inlineStr">
        <is>
          <t>Uday Narayan Singh</t>
        </is>
      </c>
      <c r="C347" s="5" t="inlineStr">
        <is>
          <t>Producer</t>
        </is>
      </c>
      <c r="D347" s="18" t="n"/>
      <c r="E347" s="18" t="n"/>
      <c r="F347" s="5" t="n"/>
      <c r="G347" s="5" t="inlineStr">
        <is>
          <t>Hindi cinema</t>
        </is>
      </c>
      <c r="H347" s="5" t="inlineStr">
        <is>
          <t>No Wikipedia article exists for him, and none was found under any variant spelling. Everything here rests on the credit of the single film.</t>
        </is>
      </c>
      <c r="I347" s="5" t="n"/>
      <c r="J347" s="5" t="inlineStr">
        <is>
          <t>With Kapoor: Zameen Aasmaan (1984).</t>
        </is>
      </c>
      <c r="K347" s="19" t="inlineStr">
        <is>
          <t>Not established from a single credit.</t>
        </is>
      </c>
      <c r="L347" s="19" t="inlineStr">
        <is>
          <t>Not applicable; no biographical source was located.</t>
        </is>
      </c>
      <c r="M347" s="5" t="n"/>
      <c r="N347" s="19" t="inlineStr">
        <is>
          <t>Not established.</t>
        </is>
      </c>
      <c r="O347" s="19" t="inlineStr">
        <is>
          <t>One producing credit, on Zameen Aasmaan (1984), made with Subhash Gupta (PERSON-321), directed by Bharat Rangachary (PERSON-122), written by Sachin Bhowmick (PERSON-012) and Rahi Masoom Reza (PERSON-035), and scored by R. D. Burman (PERSON-003).</t>
        </is>
      </c>
      <c r="P347" s="17" t="n">
        <v>1</v>
      </c>
      <c r="Q347" s="5" t="inlineStr">
        <is>
          <t>FILM-113</t>
        </is>
      </c>
      <c r="R347" s="5" t="inlineStr">
        <is>
          <t>Zameen Aasmaan (1984), his only film with Kapoor</t>
        </is>
      </c>
      <c r="S347" s="5" t="inlineStr">
        <is>
          <t>Uday Narayan Singh produced Zameen Aasmaan in 1984 with Subhash Gupta, his only credit in this filmography — a commercial picture whose creative line-up was stronger than its reputation, with Sachin Bhowmick and the Urdu novelist Rahi Masoom Reza on the script and R. D. Burman composing. It belongs to the mid-1980s stretch in which Shashi Kapoor's leading roles were giving way to character work. No Wikipedia article exists for Singh under this name or any variant attempted during research, and no other biographical source was located. The entry is graded Low.</t>
        </is>
      </c>
      <c r="T347" s="5" t="inlineStr">
        <is>
          <t>SOURCE-094</t>
        </is>
      </c>
      <c r="U347" s="5" t="inlineStr">
        <is>
          <t>Low</t>
        </is>
      </c>
    </row>
    <row r="348" ht="184" customHeight="1">
      <c r="A348" s="15" t="inlineStr">
        <is>
          <t>PERSON-347</t>
        </is>
      </c>
      <c r="B348" s="5" t="inlineStr">
        <is>
          <t>Ustad Ali Akbar Khan</t>
        </is>
      </c>
      <c r="C348" s="5" t="inlineStr">
        <is>
          <t>Song composer</t>
        </is>
      </c>
      <c r="D348" s="17" t="n">
        <v>1922</v>
      </c>
      <c r="E348" s="17" t="n">
        <v>2009</v>
      </c>
      <c r="F348" s="5" t="n"/>
      <c r="G348" s="5" t="inlineStr">
        <is>
          <t>Hindustani classical music and international cinema</t>
        </is>
      </c>
      <c r="H348" s="5" t="inlineStr">
        <is>
          <t>Born 14 April 1922; died 18 June 2009. A Hindustani classical musician of the Maihar gharana, celebrated for his virtuosity on the sarod and trained by his father Allauddin Khan. He founded a music school in Calcutta in 1956 and the Ali Akbar College of Music in 1967, which moved with him to the United States and is based in San Rafael, California, with a branch in Basel. He first visited America in 1955 at the invitation of Yehudi Menuhin and later settled there, teaching as an adjunct professor at the University of California, Santa Cruz.</t>
        </is>
      </c>
      <c r="I348" s="5" t="inlineStr">
        <is>
          <t>Performing and composing from the 1930s; he composed numerous classical ragas as well as film scores.</t>
        </is>
      </c>
      <c r="J348" s="5" t="inlineStr">
        <is>
          <t>With Kapoor: The Householder (1963). Elsewhere, a vast body of classical recording and teaching.</t>
        </is>
      </c>
      <c r="K348" s="19" t="inlineStr">
        <is>
          <t>The sarod repertoire of the Maihar gharana, and the transmission of Hindustani classical music to Western audiences.</t>
        </is>
      </c>
      <c r="L348" s="19" t="inlineStr">
        <is>
          <t>A concert virtuoso whose film scoring carries the authority of the classical tradition rather than film convention.</t>
        </is>
      </c>
      <c r="M348" s="5" t="inlineStr">
        <is>
          <t>The Padma Bhushan in 1967 and the Padma Vibhushan, India's second-highest civilian honour, in 1989; five Grammy Award nominations; a MacArthur Fellowship in 1991; and the National Endowment for the Arts' National Heritage Fellowship.</t>
        </is>
      </c>
      <c r="N348" s="19" t="inlineStr">
        <is>
          <t>With Ravi Shankar, the musician most responsible for establishing Hindustani classical music in the West.</t>
        </is>
      </c>
      <c r="O348" s="19" t="inlineStr">
        <is>
          <t>One film, The Householder (1963) — the first Merchant Ivory production and Kapoor's first English-language role, directed by James Ivory (PERSON-015) from Ruth Prawer Jhabvala's (PERSON-019) novel, with a background score by Vanraj Bhatia (PERSON-048). The company's practice of commissioning concert musicians rather than film composers begins here and recurs with Satyajit Ray on Shakespeare Wallah and Zakir Hussain on the later films.</t>
        </is>
      </c>
      <c r="P348" s="17" t="n">
        <v>1</v>
      </c>
      <c r="Q348" s="5" t="inlineStr">
        <is>
          <t>FILM-010</t>
        </is>
      </c>
      <c r="R348" s="5" t="inlineStr">
        <is>
          <t>The Householder (1963), his only film with Kapoor</t>
        </is>
      </c>
      <c r="S348" s="5" t="inlineStr">
        <is>
          <t>Ali Akbar Khan composed the music for The Householder, the 1963 Merchant Ivory production that was both the company's first film and Shashi Kapoor's first English-language role, adapted by Ruth Prawer Jhabvala from her own novel and directed by James Ivory, with a background score by Vanraj Bhatia. The commission set a pattern the company kept: Satyajit Ray on Shakespeare Wallah, Zakir Hussain and Sultan Khan on the later films, Indian concert musicians rather than film composers. Khan, born in 1922 into the Maihar gharana and trained by his father Allauddin Khan, was among the greatest sarod players of the century, composing numerous classical ragas as well as film scores. He founded a music school in Calcutta in 1956 and the Ali Akbar College of Music in 1967, which moved with him to California and now has a branch in Basel; he first came to America in 1955 at Yehudi Menuhin's invitation. He received the Padma Bhushan in 1967 and the Padma Vibhushan in 1989, five Grammy nominations and a MacArthur Fellowship, and died in 2009.</t>
        </is>
      </c>
      <c r="T348" s="5" t="inlineStr">
        <is>
          <t>SOURCE-298</t>
        </is>
      </c>
      <c r="U348" s="5" t="inlineStr">
        <is>
          <t>High</t>
        </is>
      </c>
    </row>
    <row r="349" ht="154" customHeight="1">
      <c r="A349" s="15" t="inlineStr">
        <is>
          <t>PERSON-348</t>
        </is>
      </c>
      <c r="B349" s="5" t="inlineStr">
        <is>
          <t>Ustad Sultan Khan</t>
        </is>
      </c>
      <c r="C349" s="5" t="inlineStr">
        <is>
          <t>Song composer</t>
        </is>
      </c>
      <c r="D349" s="17" t="n">
        <v>1940</v>
      </c>
      <c r="E349" s="17" t="n">
        <v>2011</v>
      </c>
      <c r="F349" s="5" t="n"/>
      <c r="G349" s="5" t="inlineStr">
        <is>
          <t>Hindustani classical music and international cinema</t>
        </is>
      </c>
      <c r="H349" s="5" t="inlineStr">
        <is>
          <t>Born 15 April 1940; died 27 November 2011. An Indian sarangi player and classical vocalist of the Sikar gharana, and a founding member of the fusion group Tabla Beat Science with Zakir Hussain (PERSON-087) and Bill Laswell.</t>
        </is>
      </c>
      <c r="I349" s="5" t="inlineStr">
        <is>
          <t>Performing from childhood; his film work is occasional beside a concert career.</t>
        </is>
      </c>
      <c r="J349" s="5" t="inlineStr">
        <is>
          <t>With Kapoor: In Custody (1993). Elsewhere, a substantial body of classical and fusion recording.</t>
        </is>
      </c>
      <c r="K349" s="19" t="inlineStr">
        <is>
          <t>The sarangi repertoire and its crossing into fusion and film.</t>
        </is>
      </c>
      <c r="L349" s="19" t="inlineStr">
        <is>
          <t>A concert instrumentalist and vocalist whose film contributions carry classical authority.</t>
        </is>
      </c>
      <c r="M349" s="5" t="inlineStr">
        <is>
          <t>The Padma Bhushan, India's third-highest civilian honour, in 2010.</t>
        </is>
      </c>
      <c r="N349" s="19" t="inlineStr">
        <is>
          <t>One of the foremost sarangi players of his generation and a bridge between Hindustani classical music and international fusion.</t>
        </is>
      </c>
      <c r="O349" s="19" t="inlineStr">
        <is>
          <t>One film, In Custody (1993), Ismail Merchant's (PERSON-006) directorial debut, adapted from Anita Desai's (PERSON-105) novel, in which Kapoor plays the failing Urdu poet Nur. Zakir Hussain, his collaborator in Tabla Beat Science, is credited on the same film, and the pairing of two classical musicians on a story about the decline of Urdu literary culture is entirely of a piece with the film's subject.</t>
        </is>
      </c>
      <c r="P349" s="17" t="n">
        <v>1</v>
      </c>
      <c r="Q349" s="5" t="inlineStr">
        <is>
          <t>FILM-148</t>
        </is>
      </c>
      <c r="R349" s="5" t="inlineStr">
        <is>
          <t>In Custody (1993), his only film with Kapoor</t>
        </is>
      </c>
      <c r="S349" s="5" t="inlineStr">
        <is>
          <t>Sultan Khan contributed music to In Custody, the 1993 film in which Shashi Kapoor plays Nur, a celebrated Urdu poet found dissipated and surrounded by hangers-on, presiding over the decline of his own literary culture — among the finest performances of his late career and the source of National Film Award recognition. Zakir Hussain, with whom Khan founded the fusion group Tabla Beat Science alongside Bill Laswell, is credited on the same film, and the choice of two classical musicians for a story about a vanishing tradition suits the subject exactly; it was also entirely characteristic of Merchant Ivory, which preferred concert players to film composers throughout its Indian work. Born in 1940 into the Sikar gharana, Khan was among the foremost sarangi players of his generation and a classical vocalist besides, and his instrument — the sarangi, the one closest to the human voice and by then in decline — carries its own resonance in a film about an art form passing out of use. He received the Padma Bhushan in 2010 and died the following year.</t>
        </is>
      </c>
      <c r="T349" s="5" t="inlineStr">
        <is>
          <t>SOURCE-299</t>
        </is>
      </c>
      <c r="U349" s="5" t="inlineStr">
        <is>
          <t>High</t>
        </is>
      </c>
    </row>
    <row r="350" ht="109" customHeight="1">
      <c r="A350" s="15" t="inlineStr">
        <is>
          <t>PERSON-349</t>
        </is>
      </c>
      <c r="B350" s="5" t="inlineStr">
        <is>
          <t>Uttam Jagadish</t>
        </is>
      </c>
      <c r="C350" s="5" t="inlineStr">
        <is>
          <t>Song composer (composing duo)</t>
        </is>
      </c>
      <c r="D350" s="18" t="n"/>
      <c r="E350" s="18" t="n"/>
      <c r="F350" s="5" t="n"/>
      <c r="G350" s="5" t="inlineStr">
        <is>
          <t>Hindi cinema</t>
        </is>
      </c>
      <c r="H350" s="5" t="inlineStr">
        <is>
          <t>No Wikipedia article exists under the name as credited, and none was found under variant spellings. The form of the credit suggests a composing duo rather than an individual, in the manner of Laxmikant–Pyarelal or Kalyanji–Anandji, but no source confirms this. Everything here rests on the credit of the single film.</t>
        </is>
      </c>
      <c r="I350" s="5" t="n"/>
      <c r="J350" s="5" t="inlineStr">
        <is>
          <t>With Kapoor: Clerk (1989).</t>
        </is>
      </c>
      <c r="K350" s="19" t="inlineStr">
        <is>
          <t>Not established from a single credit.</t>
        </is>
      </c>
      <c r="L350" s="19" t="inlineStr">
        <is>
          <t>Not established; no biographical source was located.</t>
        </is>
      </c>
      <c r="M350" s="5" t="n"/>
      <c r="N350" s="19" t="inlineStr">
        <is>
          <t>Not established.</t>
        </is>
      </c>
      <c r="O350" s="19" t="inlineStr">
        <is>
          <t>One song-composing credit, on Clerk (1989), which Manoj Kumar (PERSON-033) directed, produced and wrote — the last and least successful of the three films the two men made together, twelve years after Roti Kapda Aur Makaan.</t>
        </is>
      </c>
      <c r="P350" s="17" t="n">
        <v>1</v>
      </c>
      <c r="Q350" s="5" t="inlineStr">
        <is>
          <t>FILM-143</t>
        </is>
      </c>
      <c r="R350" s="5" t="inlineStr">
        <is>
          <t>Clerk (1989), its only film with Kapoor</t>
        </is>
      </c>
      <c r="S350" s="5" t="inlineStr">
        <is>
          <t>Uttam Jagadish composed the songs for Clerk, released in 1989 — the last of the three films Manoj Kumar made with Shashi Kapoor, all of which Kumar directed, produced and wrote himself, and much the weakest. The first, Roti Kapda Aur Makaan in 1974, had been among the top box-office films of its year and helped make Kapoor a major commercial star; Clerk closed the association fifteen years later to little effect. The credited name suggests a composing duo in the style of Laxmikant–Pyarelal, but no Wikipedia article exists under it or any variant attempted during research. The entry is graded Low.</t>
        </is>
      </c>
      <c r="T350" s="5" t="inlineStr">
        <is>
          <t>SOURCE-117</t>
        </is>
      </c>
      <c r="U350" s="5" t="inlineStr">
        <is>
          <t>Low</t>
        </is>
      </c>
    </row>
    <row r="351" ht="124" customHeight="1">
      <c r="A351" s="15" t="inlineStr">
        <is>
          <t>PERSON-350</t>
        </is>
      </c>
      <c r="B351" s="5" t="inlineStr">
        <is>
          <t>V. M. Vyas</t>
        </is>
      </c>
      <c r="C351" s="5" t="inlineStr">
        <is>
          <t>Director</t>
        </is>
      </c>
      <c r="D351" s="18" t="n"/>
      <c r="E351" s="18" t="n"/>
      <c r="F351" s="5" t="n"/>
      <c r="G351" s="5" t="inlineStr">
        <is>
          <t>Hindi cinema</t>
        </is>
      </c>
      <c r="H351" s="5" t="inlineStr">
        <is>
          <t>No Wikipedia article exists for him, and none was found under any variant spelling. Everything here rests on the credit of the single film.</t>
        </is>
      </c>
      <c r="I351" s="5" t="n"/>
      <c r="J351" s="5" t="inlineStr">
        <is>
          <t>With Kapoor: Daana Paani (1953).</t>
        </is>
      </c>
      <c r="K351" s="19" t="inlineStr">
        <is>
          <t>Not established from a single credit.</t>
        </is>
      </c>
      <c r="L351" s="19" t="inlineStr">
        <is>
          <t>Not established; no biographical source was located.</t>
        </is>
      </c>
      <c r="M351" s="5" t="n"/>
      <c r="N351" s="19" t="inlineStr">
        <is>
          <t>Not established.</t>
        </is>
      </c>
      <c r="O351" s="19" t="inlineStr">
        <is>
          <t>One directing credit, on Daana Paani (1953), starring Meena Kumari and Bharat Bhushan, scored by Mohan Junior (PERSON-225) and released under the Sunrise Pictures Productions banner (PERSON-328). It is the last of Kapoor's child-actor films, in which he appears as Master Shashiraj before leaving the screen for nearly a decade.</t>
        </is>
      </c>
      <c r="P351" s="17" t="n">
        <v>1</v>
      </c>
      <c r="Q351" s="5" t="inlineStr">
        <is>
          <t>FILM-005</t>
        </is>
      </c>
      <c r="R351" s="5" t="inlineStr">
        <is>
          <t>Daana Paani (1953), his only film with Kapoor</t>
        </is>
      </c>
      <c r="S351" s="5" t="inlineStr">
        <is>
          <t>V. M. Vyas directed Daana Paani in 1953, the last of Shashi Kapoor's child-actor appearances — billed as Master Shashiraj, alongside Meena Kumari and Bharat Bhushan — after which he did not act again until Dharmputra in 1961. The film closes the first, brief phase of this filmography, the family-arranged child roles that ran from Aag in 1948. Neither its director, its composer nor its banner has any surviving biographical record: no Wikipedia article exists for Vyas under this name or any variant attempted during research. The entry is graded Low.</t>
        </is>
      </c>
      <c r="T351" s="5" t="inlineStr">
        <is>
          <t>SOURCE-005</t>
        </is>
      </c>
      <c r="U351" s="5" t="inlineStr">
        <is>
          <t>Low</t>
        </is>
      </c>
    </row>
    <row r="352" ht="139" customHeight="1">
      <c r="A352" s="15" t="inlineStr">
        <is>
          <t>PERSON-351</t>
        </is>
      </c>
      <c r="B352" s="5" t="inlineStr">
        <is>
          <t>V. P. Sathe</t>
        </is>
      </c>
      <c r="C352" s="5" t="inlineStr">
        <is>
          <t>Writer</t>
        </is>
      </c>
      <c r="D352" s="18" t="n"/>
      <c r="E352" s="18" t="n"/>
      <c r="F352" s="5" t="n"/>
      <c r="G352" s="5" t="inlineStr">
        <is>
          <t>Hindi cinema</t>
        </is>
      </c>
      <c r="H352" s="5" t="inlineStr">
        <is>
          <t>No Wikipedia article exists for him, and none was found under any variant spelling. Everything here rests on the credit of the single film.</t>
        </is>
      </c>
      <c r="I352" s="5" t="n"/>
      <c r="J352" s="5" t="inlineStr">
        <is>
          <t>With Kapoor: Awaara (1951).</t>
        </is>
      </c>
      <c r="K352" s="19" t="inlineStr">
        <is>
          <t>Not established from a single credit.</t>
        </is>
      </c>
      <c r="L352" s="19" t="inlineStr">
        <is>
          <t>Not established; no biographical source was located.</t>
        </is>
      </c>
      <c r="M352" s="5" t="n"/>
      <c r="N352" s="19" t="inlineStr">
        <is>
          <t>Not established, despite a writing credit on one of the most widely seen Indian films ever made.</t>
        </is>
      </c>
      <c r="O352" s="19" t="inlineStr">
        <is>
          <t>One writing credit, on Awaara (1951), written with Khwaja Ahmad Abbas (PERSON-202), directed and produced by Raj Kapoor (PERSON-036) under the R. K. Films banner (PERSON-078) and scored by Shankar–Jaikishan (PERSON-008). The thirteen-year-old Shashi plays the child version of his brother's tramp hero, in the second of the two child appearances that open this filmography.</t>
        </is>
      </c>
      <c r="P352" s="17" t="n">
        <v>1</v>
      </c>
      <c r="Q352" s="5" t="inlineStr">
        <is>
          <t>FILM-004</t>
        </is>
      </c>
      <c r="R352" s="5" t="inlineStr">
        <is>
          <t>Awaara (1951), his only film with Kapoor</t>
        </is>
      </c>
      <c r="S352" s="5" t="inlineStr">
        <is>
          <t>V. P. Sathe shares the writing credit on Awaara with Khwaja Ahmad Abbas — the 1951 Raj Kapoor film in which his thirteen-year-old brother Shashi plays the child version of the tramp hero, and one of the most widely seen Indian films ever made, especially across the Soviet Union. It is the second of the two child appearances that open this filmography. Abbas has a substantial Wikipedia article; Sathe has none, under this name or any variant attempted during research, which leaves one of the two credited writers of a landmark film entirely undocumented. The entry is graded Low and rests on the film credit.</t>
        </is>
      </c>
      <c r="T352" s="5" t="inlineStr">
        <is>
          <t>SOURCE-004</t>
        </is>
      </c>
      <c r="U352" s="5" t="inlineStr">
        <is>
          <t>Low</t>
        </is>
      </c>
    </row>
    <row r="353" ht="79" customHeight="1">
      <c r="A353" s="15" t="inlineStr">
        <is>
          <t>PERSON-352</t>
        </is>
      </c>
      <c r="B353" s="5" t="inlineStr">
        <is>
          <t>V. Sagar Bhagat</t>
        </is>
      </c>
      <c r="C353" s="5" t="inlineStr">
        <is>
          <t>Producer</t>
        </is>
      </c>
      <c r="D353" s="18" t="n"/>
      <c r="E353" s="18" t="n"/>
      <c r="F353" s="5" t="n"/>
      <c r="G353" s="5" t="inlineStr">
        <is>
          <t>Hindi cinema</t>
        </is>
      </c>
      <c r="H353" s="5" t="inlineStr">
        <is>
          <t>No Wikipedia article exists for him, and none was found under any variant spelling. Everything here rests on the credit of the single film.</t>
        </is>
      </c>
      <c r="I353" s="5" t="n"/>
      <c r="J353" s="5" t="inlineStr">
        <is>
          <t>With Kapoor: Bepanaah (1985).</t>
        </is>
      </c>
      <c r="K353" s="19" t="inlineStr">
        <is>
          <t>Not established from a single credit.</t>
        </is>
      </c>
      <c r="L353" s="19" t="inlineStr">
        <is>
          <t>Not applicable; no biographical source was located.</t>
        </is>
      </c>
      <c r="M353" s="5" t="n"/>
      <c r="N353" s="19" t="inlineStr">
        <is>
          <t>Not established.</t>
        </is>
      </c>
      <c r="O353" s="19" t="inlineStr">
        <is>
          <t>One producing credit, on Bepanaah (1985), made with Bhagat J. Kumar (PERSON-119), directed by Jagdish Sidana (PERSON-185) and scored by Khayyam (PERSON-016) — the last of the four Khayyam films in this filmography.</t>
        </is>
      </c>
      <c r="P353" s="17" t="n">
        <v>1</v>
      </c>
      <c r="Q353" s="5" t="inlineStr">
        <is>
          <t>FILM-117</t>
        </is>
      </c>
      <c r="R353" s="5" t="inlineStr">
        <is>
          <t>Bepanaah (1985), his only film with Kapoor</t>
        </is>
      </c>
      <c r="S353" s="5" t="inlineStr">
        <is>
          <t>V. Sagar Bhagat produced Bepanaah in 1985 with Bhagat J. Kumar, his only credit in this filmography. The film's one distinction is its music: it carries the last of Khayyam's four scores for Shashi Kapoor, closing a collaboration that had begun nine years earlier with the Filmfare-winning songs of Kabhi Kabhie. Neither producer nor the director Jagdish Sidana has any surviving biographical record, and no Wikipedia article exists for Bhagat under this name or any variant attempted during research. The entry is graded Low.</t>
        </is>
      </c>
      <c r="T353" s="5" t="inlineStr">
        <is>
          <t>SOURCE-098</t>
        </is>
      </c>
      <c r="U353" s="5" t="inlineStr">
        <is>
          <t>Low</t>
        </is>
      </c>
    </row>
    <row r="354" ht="109" customHeight="1">
      <c r="A354" s="15" t="inlineStr">
        <is>
          <t>PERSON-353</t>
        </is>
      </c>
      <c r="B354" s="5" t="inlineStr">
        <is>
          <t>Veena Sharma</t>
        </is>
      </c>
      <c r="C354" s="5" t="inlineStr">
        <is>
          <t>Producer</t>
        </is>
      </c>
      <c r="D354" s="18" t="n"/>
      <c r="E354" s="18" t="n"/>
      <c r="F354" s="5" t="n"/>
      <c r="G354" s="5" t="inlineStr">
        <is>
          <t>Hindi cinema</t>
        </is>
      </c>
      <c r="H354" s="5" t="inlineStr">
        <is>
          <t>No Wikipedia article exists for her, and none was found under any variant spelling. Everything here rests on the credit of the single film.</t>
        </is>
      </c>
      <c r="I354" s="5" t="n"/>
      <c r="J354" s="5" t="inlineStr">
        <is>
          <t>With Kapoor: Meri Zabaan (1989).</t>
        </is>
      </c>
      <c r="K354" s="19" t="inlineStr">
        <is>
          <t>Not established from a single credit.</t>
        </is>
      </c>
      <c r="L354" s="19" t="inlineStr">
        <is>
          <t>Not applicable; no biographical source was located.</t>
        </is>
      </c>
      <c r="M354" s="5" t="n"/>
      <c r="N354" s="19" t="inlineStr">
        <is>
          <t>Not established.</t>
        </is>
      </c>
      <c r="O354" s="19" t="inlineStr">
        <is>
          <t>One producing credit, on Meri Zabaan (1989), made with a producer credited simply as Vikas (PERSON-359), directed by Shibu Mitra (PERSON-024) and scored by Anu Malik (PERSON-053) — a late ensemble picture headed by Mithun Chakraborty in which Kapoor appears in support.</t>
        </is>
      </c>
      <c r="P354" s="17" t="n">
        <v>1</v>
      </c>
      <c r="Q354" s="5" t="inlineStr">
        <is>
          <t>FILM-140</t>
        </is>
      </c>
      <c r="R354" s="5" t="inlineStr">
        <is>
          <t>Meri Zabaan (1989), her only film with Kapoor</t>
        </is>
      </c>
      <c r="S354" s="5" t="inlineStr">
        <is>
          <t>Veena Sharma produced Meri Zabaan in 1989, her only credit in this filmography, working with a co-producer credited simply as Vikas. The film was directed by Shibu Mitra, the fourth and last of his pictures with Shashi Kapoor, and headed by Mithun Chakraborty, with Kapoor in a supporting role — a fair summary of where his career stood by the end of the 1980s. A woman holding a producer credit on a Hindi film of that period was uncommon. No Wikipedia article exists for her under this name or any variant attempted during research. The entry is graded Low.</t>
        </is>
      </c>
      <c r="T354" s="5" t="inlineStr">
        <is>
          <t>SOURCE-114</t>
        </is>
      </c>
      <c r="U354" s="5" t="inlineStr">
        <is>
          <t>Low</t>
        </is>
      </c>
    </row>
    <row r="355" ht="139" customHeight="1">
      <c r="A355" s="15" t="inlineStr">
        <is>
          <t>PERSON-354</t>
        </is>
      </c>
      <c r="B355" s="5" t="inlineStr">
        <is>
          <t>Verma Malik</t>
        </is>
      </c>
      <c r="C355" s="5" t="inlineStr">
        <is>
          <t>Writer</t>
        </is>
      </c>
      <c r="D355" s="17" t="n">
        <v>1925</v>
      </c>
      <c r="E355" s="17" t="n">
        <v>2009</v>
      </c>
      <c r="F355" s="5" t="inlineStr">
        <is>
          <t>1949–2001</t>
        </is>
      </c>
      <c r="G355" s="5" t="inlineStr">
        <is>
          <t>Hindi and Punjabi cinema</t>
        </is>
      </c>
      <c r="H355" s="5" t="inlineStr">
        <is>
          <t>Born Barkatrai Malik on 13 April 1925; died 15 March 2009. A lyricist and poet for Hindi and Punjabi films, and an active freedom fighter during the British Raj who wrote and recited patriotic songs and bhajans before turning to film lyrics.</t>
        </is>
      </c>
      <c r="I355" s="5" t="inlineStr">
        <is>
          <t>Writing from 1949.</t>
        </is>
      </c>
      <c r="J355" s="5" t="inlineStr">
        <is>
          <t>With Kapoor: Chakkar Pe Chakkar (1977). Elsewhere: Pehchan (1970) and Be-Imaan (1972), both of which brought him Filmfare Awards.</t>
        </is>
      </c>
      <c r="K355" s="19" t="inlineStr">
        <is>
          <t>Patriotic song and devotional verse alongside commercial film lyrics.</t>
        </is>
      </c>
      <c r="L355" s="19" t="inlineStr">
        <is>
          <t>A lyricist formed in the nationalist movement, writing in a direct popular idiom.</t>
        </is>
      </c>
      <c r="M355" s="5" t="inlineStr">
        <is>
          <t>The Filmfare Award for Best Lyricist twice, in 1971 for Pehchan and in 1973 for Be-Imaan.</t>
        </is>
      </c>
      <c r="N355" s="19" t="inlineStr">
        <is>
          <t>A prominent film lyricist of the 1970s whose career began in the independence movement.</t>
        </is>
      </c>
      <c r="O355" s="19" t="inlineStr">
        <is>
          <t>One credit in this sheet, in the writing field, on Chakkar Pe Chakkar (1977), directed and produced by Ashok Roy (PERSON-026). As with Indeevar elsewhere in this sheet, the credit should be read with care: Malik was a lyricist by trade, and his article describes him as nothing else, so this may reflect the film's own credit block rather than screenplay work.</t>
        </is>
      </c>
      <c r="P355" s="17" t="n">
        <v>1</v>
      </c>
      <c r="Q355" s="5" t="inlineStr">
        <is>
          <t>FILM-066</t>
        </is>
      </c>
      <c r="R355" s="5" t="inlineStr">
        <is>
          <t>Chakkar Pe Chakkar (1977), his only credit in this sheet</t>
        </is>
      </c>
      <c r="S355" s="5" t="inlineStr">
        <is>
          <t>Verma Malik appears in this sheet through a writing credit on Chakkar Pe Chakkar in 1977, though his trade was lyric-writing and his article describes him as nothing else — the credit may well reflect how the film's titles were arranged rather than screenplay work, and it is recorded here with that caution. Born Barkatrai Malik in 1925, he was an active freedom fighter under the Raj and wrote and recited patriotic songs and bhajans before entering films in 1949. He won the Filmfare Award for Best Lyricist twice, for Pehchan in 1971 and Be-Imaan in 1973, and worked in Punjabi as well as Hindi until 2001. He died in 2009. His article does not mention Kapoor.</t>
        </is>
      </c>
      <c r="T355" s="5" t="inlineStr">
        <is>
          <t>SOURCE-300</t>
        </is>
      </c>
      <c r="U355" s="5" t="inlineStr">
        <is>
          <t>Medium</t>
        </is>
      </c>
    </row>
    <row r="356" ht="154" customHeight="1">
      <c r="A356" s="15" t="inlineStr">
        <is>
          <t>PERSON-355</t>
        </is>
      </c>
      <c r="B356" s="5" t="inlineStr">
        <is>
          <t>Vijay</t>
        </is>
      </c>
      <c r="C356" s="5" t="inlineStr">
        <is>
          <t>Director</t>
        </is>
      </c>
      <c r="D356" s="17" t="n">
        <v>1936</v>
      </c>
      <c r="E356" s="17" t="n">
        <v>2020</v>
      </c>
      <c r="F356" s="5" t="n"/>
      <c r="G356" s="5" t="inlineStr">
        <is>
          <t>Kannada, Hindi, Tamil, Telugu and Malayalam cinema</t>
        </is>
      </c>
      <c r="H356" s="5" t="inlineStr">
        <is>
          <t>Born B. Vijaya Reddy on 15 July 1936; died 9 October 2020. Known as Vijay Reddy or simply Vijay, he directed more than fifty films, primarily in Kannada but also a few in Hindi, Tamil, Telugu and Malayalam, and produced several.</t>
        </is>
      </c>
      <c r="I356" s="5" t="inlineStr">
        <is>
          <t>Rangamahal Rahasya (1970) was his debut as director.</t>
        </is>
      </c>
      <c r="J356" s="5" t="inlineStr">
        <is>
          <t>With Kapoor: Suhana Safar (1970). Elsewhere: Gandhada Gudi (1973), Mayura (1975), Naa Ninna Mareyalare (1976) and Sanaadi Appanna (1977), all with the Kannada star Rajkumar and all considered classics of that cinema.</t>
        </is>
      </c>
      <c r="K356" s="19" t="inlineStr">
        <is>
          <t>Star vehicles for Rajkumar; popular Kannada drama.</t>
        </is>
      </c>
      <c r="L356" s="19" t="inlineStr">
        <is>
          <t>A prolific commercial director of the Kannada industry who worked occasionally in other languages.</t>
        </is>
      </c>
      <c r="M356" s="5" t="inlineStr">
        <is>
          <t>The Puttanna Kanagal Award for 2002–2003, in recognition of his contribution to Kannada cinema.</t>
        </is>
      </c>
      <c r="N356" s="19" t="inlineStr">
        <is>
          <t>One of the most successful Kannada directors of the 1970s, through his long association with Rajkumar.</t>
        </is>
      </c>
      <c r="O356" s="19" t="inlineStr">
        <is>
          <t>One film, Suhana Safar (1970), scored by Laxmikant–Pyarelal (PERSON-001) and starring Kapoor opposite Sharmila Tagore. The identification carries some doubt: the film's credit gives only 'Vijay', and while the article for the Kannada director Vijay Reddy records that he made a few Hindi films and that his career began in 1970, nothing links him to this title directly. The entry is graded Medium for that reason.</t>
        </is>
      </c>
      <c r="P356" s="17" t="n">
        <v>1</v>
      </c>
      <c r="Q356" s="5" t="inlineStr">
        <is>
          <t>FILM-033</t>
        </is>
      </c>
      <c r="R356" s="5" t="inlineStr">
        <is>
          <t>Suhana Safar (1970), his only film with Kapoor</t>
        </is>
      </c>
      <c r="S356" s="5" t="inlineStr">
        <is>
          <t>Suhana Safar, released in 1970 and pairing Shashi Kapoor with Sharmila Tagore under a Laxmikant–Pyarelal score, is credited to a director named simply 'Vijay'. The most plausible identification is B. Vijaya Reddy, known as Vijay Reddy or Vijay, who made his own directing debut that same year with Rangamahal Rahasya and whose article records a few Hindi films among more than fifty made mostly in Kannada. Those include Gandhada Gudi, Mayura, Naa Ninna Mareyalare and Sanaadi Appanna, all made with the Kannada star Rajkumar and all considered classics of that cinema; he also produced several films and received the Puttanna Kanagal Award for 2002–2003 in recognition of his contribution. Nothing in his article names Suhana Safar, however, so the identification is probable rather than established and this entry is graded Medium accordingly — the kind of judgement this workbook records openly rather than resolving silently. Born on 15 July 1936, he died on 9 October 2020.</t>
        </is>
      </c>
      <c r="T356" s="5" t="inlineStr">
        <is>
          <t>SOURCE-301</t>
        </is>
      </c>
      <c r="U356" s="5" t="inlineStr">
        <is>
          <t>Medium</t>
        </is>
      </c>
    </row>
    <row r="357" ht="139" customHeight="1">
      <c r="A357" s="15" t="inlineStr">
        <is>
          <t>PERSON-356</t>
        </is>
      </c>
      <c r="B357" s="5" t="inlineStr">
        <is>
          <t>Vijay Bhatt</t>
        </is>
      </c>
      <c r="C357" s="5" t="inlineStr">
        <is>
          <t>Director</t>
        </is>
      </c>
      <c r="D357" s="17" t="n">
        <v>1907</v>
      </c>
      <c r="E357" s="17" t="n">
        <v>1993</v>
      </c>
      <c r="F357" s="5" t="inlineStr">
        <is>
          <t>1929–1977</t>
        </is>
      </c>
      <c r="G357" s="5" t="inlineStr">
        <is>
          <t>Hindi cinema</t>
        </is>
      </c>
      <c r="H357" s="5" t="inlineStr">
        <is>
          <t>Born Vrajlal Jagneshwar Bhatt on 12 May 1907; died 17 October 1993. A producer, director and screenwriter who founded Prakash Pictures and Prakash Studios in Andheri East, Mumbai, which produced sixty-four feature films. He was a founding member of the Film and Television Producers Guild of India.</t>
        </is>
      </c>
      <c r="I357" s="5" t="inlineStr">
        <is>
          <t>Working in film from 1929.</t>
        </is>
      </c>
      <c r="J357" s="5" t="inlineStr">
        <is>
          <t>With Kapoor: Hira Aur Patthar (1977). Elsewhere: Ram Rajya (1943), Baiju Bawra (1952), Goonj Uthi Shehnai (1959) and Himalaya Ki God Mein (1965).</t>
        </is>
      </c>
      <c r="K357" s="19" t="inlineStr">
        <is>
          <t>Devotional and mythological subjects, and music-centred drama.</t>
        </is>
      </c>
      <c r="L357" s="19" t="inlineStr">
        <is>
          <t>A studio-builder of the classical era whose films are closely identified with their scores.</t>
        </is>
      </c>
      <c r="M357" s="5" t="inlineStr">
        <is>
          <t>The Filmfare Best Movie Award in 1966 for Himalaya Ki God Mein. He launched Meena Kumari as a child actress, billed Baby Meena, in his 1939 film.</t>
        </is>
      </c>
      <c r="N357" s="19" t="inlineStr">
        <is>
          <t>The maker of Baiju Bawra, among the most celebrated musical films in Hindi cinema, and the founder of a studio that produced sixty-four features.</t>
        </is>
      </c>
      <c r="O357" s="19" t="inlineStr">
        <is>
          <t>One film, Hira Aur Patthar (1977) — and his article dates his working life as ending that same year, so this was among his last pictures, made nearly fifty years after he entered the industry. Satyadev Dubey (PERSON-022) was among its writers, in an early point of contact between Kapoor and the writer of his later Film-Valas productions. His article does not mention Kapoor.</t>
        </is>
      </c>
      <c r="P357" s="17" t="n">
        <v>1</v>
      </c>
      <c r="Q357" s="5" t="inlineStr">
        <is>
          <t>FILM-063</t>
        </is>
      </c>
      <c r="R357" s="5" t="inlineStr">
        <is>
          <t>Hira Aur Patthar (1977), his only film with Kapoor</t>
        </is>
      </c>
      <c r="S357" s="5" t="inlineStr">
        <is>
          <t>Vijay Bhatt directed Hira Aur Patthar in 1977, and his article dates the end of his working life to that same year — so one of the founding figures of the Hindi studio era closed a career of nearly fifty years on a Shashi Kapoor film. Born Vrajlal Jagneshwar Bhatt in 1907 and working from 1929, he founded Prakash Pictures and Prakash Studios in Andheri East, which produced sixty-four features, and was a founding member of the Film and Television Producers Guild of India. He made Ram Rajya in 1943, Baiju Bawra in 1952 — among the most celebrated musical films in Indian cinema — Goonj Uthi Shehnai in 1959 and Himalaya Ki God Mein in 1965, which won him the Filmfare Best Movie Award. He also launched Meena Kumari as a child actress, billed Baby Meena, in a 1939 film. Hira Aur Patthar is additionally an early point of contact between Kapoor and Satyadev Dubey, who would later write three of his own Film-Valas productions. Bhatt died in 1993.</t>
        </is>
      </c>
      <c r="T357" s="5" t="inlineStr">
        <is>
          <t>SOURCE-302</t>
        </is>
      </c>
      <c r="U357" s="5" t="inlineStr">
        <is>
          <t>High</t>
        </is>
      </c>
    </row>
    <row r="358" ht="94" customHeight="1">
      <c r="A358" s="15" t="inlineStr">
        <is>
          <t>PERSON-357</t>
        </is>
      </c>
      <c r="B358" s="5" t="inlineStr">
        <is>
          <t>Vijay Singh</t>
        </is>
      </c>
      <c r="C358" s="5" t="inlineStr">
        <is>
          <t>Song composer</t>
        </is>
      </c>
      <c r="D358" s="18" t="n"/>
      <c r="E358" s="18" t="n"/>
      <c r="F358" s="5" t="n"/>
      <c r="G358" s="5" t="inlineStr">
        <is>
          <t>Hindi cinema</t>
        </is>
      </c>
      <c r="H358" s="5" t="inlineStr">
        <is>
          <t>No Wikipedia article exists for this composer. The name reaches the article on the Fijian professional golfer, rejected during research as plainly a different person. Everything here rests on the credit of the single film.</t>
        </is>
      </c>
      <c r="I358" s="5" t="n"/>
      <c r="J358" s="5" t="inlineStr">
        <is>
          <t>With Kapoor: Hum To Chale Pardes (1988).</t>
        </is>
      </c>
      <c r="K358" s="19" t="inlineStr">
        <is>
          <t>Not established from a single credit.</t>
        </is>
      </c>
      <c r="L358" s="19" t="inlineStr">
        <is>
          <t>Not established; no biographical source was located.</t>
        </is>
      </c>
      <c r="M358" s="5" t="n"/>
      <c r="N358" s="19" t="inlineStr">
        <is>
          <t>Not established.</t>
        </is>
      </c>
      <c r="O358" s="19" t="inlineStr">
        <is>
          <t>One song-composing credit, on Hum To Chale Pardes (1988), directed and produced by Ravindra Peepat (PERSON-288) and written by Anees Bazmee (PERSON-103) early in that writer's career.</t>
        </is>
      </c>
      <c r="P358" s="17" t="n">
        <v>1</v>
      </c>
      <c r="Q358" s="5" t="inlineStr">
        <is>
          <t>FILM-135</t>
        </is>
      </c>
      <c r="R358" s="5" t="inlineStr">
        <is>
          <t>Hum To Chale Pardes (1988), his only film with Kapoor</t>
        </is>
      </c>
      <c r="S358" s="5" t="inlineStr">
        <is>
          <t>Vijay Singh composed the songs for Hum To Chale Pardes, released in 1988 — a late commercial picture directed and produced by Ravindra Peepat and written by Anees Bazmee long before his own success as a comedy director. No biography of the composer was established: the name reaches the article on the Fijian professional golfer, which was rejected during research for obvious reasons, and no alternative was found under any variant spelling. The pattern recurs throughout this sheet, where common names return well-formed articles about entirely unrelated people. The entry is graded Low.</t>
        </is>
      </c>
      <c r="T358" s="5" t="inlineStr">
        <is>
          <t>SOURCE-112</t>
        </is>
      </c>
      <c r="U358" s="5" t="inlineStr">
        <is>
          <t>Low</t>
        </is>
      </c>
    </row>
    <row r="359" ht="154" customHeight="1">
      <c r="A359" s="15" t="inlineStr">
        <is>
          <t>PERSON-358</t>
        </is>
      </c>
      <c r="B359" s="5" t="inlineStr">
        <is>
          <t>Vijaya Bhaskar</t>
        </is>
      </c>
      <c r="C359" s="5" t="inlineStr">
        <is>
          <t>Background-score composer</t>
        </is>
      </c>
      <c r="D359" s="17" t="n">
        <v>1931</v>
      </c>
      <c r="E359" s="17" t="n">
        <v>2002</v>
      </c>
      <c r="F359" s="5" t="inlineStr">
        <is>
          <t>1953–2001</t>
        </is>
      </c>
      <c r="G359" s="5" t="inlineStr">
        <is>
          <t>Kannada cinema, and Tamil, Malayalam, Telugu, Marathi, Tulu and Konkani films</t>
        </is>
      </c>
      <c r="H359" s="5" t="inlineStr">
        <is>
          <t>Born 7 September 1931; died 3 March 2002. A music director and composer who scored more than seven hundred and twenty films, principally in Kannada but also in six other languages. He was influenced by R. C. Boral and Mukul Mehta and had long associations with the directors K. S. L. Swamy, Puttanna Kanagal and Adoor Gopalakrishnan and with the singers P. Susheela and Vani Jairam.</t>
        </is>
      </c>
      <c r="I359" s="5" t="inlineStr">
        <is>
          <t>Composing from 1953.</t>
        </is>
      </c>
      <c r="J359" s="5" t="inlineStr">
        <is>
          <t>With Kapoor: Swami Vivekananda (1998), for which he scored the Hindi version. Elsewhere, an enormous body of Kannada film music including the classical score of Malaya Marutha.</t>
        </is>
      </c>
      <c r="K359" s="19" t="inlineStr">
        <is>
          <t>Film scores for mainstream and experimental Kannada cinema; theme music, a concept his article credits him with introducing to that industry.</t>
        </is>
      </c>
      <c r="L359" s="19" t="inlineStr">
        <is>
          <t>A composer who developed a personal style from Bengali and Hindi influences and is credited with persuading producers to set the work of Kannada poets to music.</t>
        </is>
      </c>
      <c r="M359" s="5" t="inlineStr">
        <is>
          <t>The Dr. Rajkumar Award and the Sur Singar Award from Mumbai music lovers, the latter for his classical score for Malaya Marutha.</t>
        </is>
      </c>
      <c r="N359" s="19" t="inlineStr">
        <is>
          <t>The dominant composer of Kannada cinema across five decades, with more than seven hundred films to his name.</t>
        </is>
      </c>
      <c r="O359" s="19" t="inlineStr">
        <is>
          <t>One film, Swami Vivekananda (1998), and the credit is version-specific: Bhaskar scored the Hindi version while B. V. Karanth (PERSON-115) scored the English, a split this workbook records in the film's research notes. It is one of the last three films of Kapoor's career.</t>
        </is>
      </c>
      <c r="P359" s="17" t="n">
        <v>1</v>
      </c>
      <c r="Q359" s="5" t="inlineStr">
        <is>
          <t>FILM-152</t>
        </is>
      </c>
      <c r="R359" s="5" t="inlineStr">
        <is>
          <t>Swami Vivekananda (1998), his only film with Kapoor</t>
        </is>
      </c>
      <c r="S359" s="5" t="inlineStr">
        <is>
          <t>Vijaya Bhaskar wrote the background score for the Hindi version of Swami Vivekananda, released in 1998 and among the last three films of Shashi Kapoor's acting career; B. V. Karanth scored the English version separately, a split this workbook records in the film's research notes and one of several unusual production details attaching to that picture. Bhaskar was a figure of enormous productivity. Born in 1931, he composed for more than seven hundred and twenty films across seven languages — principally Kannada, but also Tamil, Malayalam, Telugu, Marathi, Tulu and Konkani — dominating Kannada film music for five decades from 1953. He worked repeatedly with the directors K. S. L. Swamy, Puttanna Kanagal and Adoor Gopalakrishnan and with the singers P. Susheela and Vani Jairam, was influenced by R. C. Boral and Mukul Mehta, and is credited in his article with introducing the concept of theme music to Kannada cinema and with persuading producers to set the work of Kannada poets. He received the Dr. Rajkumar Award and the Sur Singar Award, and died in 2002.</t>
        </is>
      </c>
      <c r="T359" s="5" t="inlineStr">
        <is>
          <t>SOURCE-303</t>
        </is>
      </c>
      <c r="U359" s="5" t="inlineStr">
        <is>
          <t>High</t>
        </is>
      </c>
    </row>
    <row r="360" ht="109" customHeight="1">
      <c r="A360" s="15" t="inlineStr">
        <is>
          <t>PERSON-359</t>
        </is>
      </c>
      <c r="B360" s="5" t="inlineStr">
        <is>
          <t>Vikas</t>
        </is>
      </c>
      <c r="C360" s="5" t="inlineStr">
        <is>
          <t>Producer</t>
        </is>
      </c>
      <c r="D360" s="18" t="n"/>
      <c r="E360" s="18" t="n"/>
      <c r="F360" s="5" t="n"/>
      <c r="G360" s="5" t="inlineStr">
        <is>
          <t>Hindi cinema</t>
        </is>
      </c>
      <c r="H360" s="5" t="inlineStr">
        <is>
          <t>No Wikipedia article exists for this producer. The name — a common Sanskrit word meaning progress or development — reaches only a word and given-name page, rejected during research. The credit appears in the film's infobox as a single name. Everything here rests on the credit of the single film.</t>
        </is>
      </c>
      <c r="I360" s="5" t="n"/>
      <c r="J360" s="5" t="inlineStr">
        <is>
          <t>With Kapoor: Meri Zabaan (1989).</t>
        </is>
      </c>
      <c r="K360" s="19" t="inlineStr">
        <is>
          <t>Not established from a single credit.</t>
        </is>
      </c>
      <c r="L360" s="19" t="inlineStr">
        <is>
          <t>Not applicable; no biographical source was located.</t>
        </is>
      </c>
      <c r="M360" s="5" t="n"/>
      <c r="N360" s="19" t="inlineStr">
        <is>
          <t>Not established.</t>
        </is>
      </c>
      <c r="O360" s="19" t="inlineStr">
        <is>
          <t>One producing credit, on Meri Zabaan (1989), made with Veena Sharma (PERSON-353), directed by Shibu Mitra (PERSON-024) and scored by Anu Malik (PERSON-053) — an ensemble headed by Mithun Chakraborty in which Kapoor appears in support.</t>
        </is>
      </c>
      <c r="P360" s="17" t="n">
        <v>1</v>
      </c>
      <c r="Q360" s="5" t="inlineStr">
        <is>
          <t>FILM-140</t>
        </is>
      </c>
      <c r="R360" s="5" t="inlineStr">
        <is>
          <t>Meri Zabaan (1989), his only film with Kapoor</t>
        </is>
      </c>
      <c r="S360" s="5" t="inlineStr">
        <is>
          <t>Vikas is credited, under that single name, as a co-producer of Meri Zabaan in 1989, working with Veena Sharma — the fourth and last of Shibu Mitra's films with Shashi Kapoor, an ensemble headed by Mithun Chakraborty with Kapoor in support. Nothing further could be established. The name is a common Sanskrit word meaning progress or development, and a search returns only a word and given-name page, rejected during research; no biographical source exists under it. Mononym credits of this kind appear several times in this filmography, and almost none of them can be resolved. The entry is graded Low.</t>
        </is>
      </c>
      <c r="T360" s="5" t="inlineStr">
        <is>
          <t>SOURCE-114</t>
        </is>
      </c>
      <c r="U360" s="5" t="inlineStr">
        <is>
          <t>Low</t>
        </is>
      </c>
    </row>
    <row r="361" ht="124" customHeight="1">
      <c r="A361" s="15" t="inlineStr">
        <is>
          <t>PERSON-360</t>
        </is>
      </c>
      <c r="B361" s="5" t="inlineStr">
        <is>
          <t>Vrajendra Gaur</t>
        </is>
      </c>
      <c r="C361" s="5" t="inlineStr">
        <is>
          <t>Writer</t>
        </is>
      </c>
      <c r="D361" s="18" t="n"/>
      <c r="E361" s="18" t="n"/>
      <c r="F361" s="5" t="n"/>
      <c r="G361" s="5" t="inlineStr">
        <is>
          <t>Hindi cinema</t>
        </is>
      </c>
      <c r="H361" s="5" t="inlineStr">
        <is>
          <t>No Wikipedia article exists for him, and none was found under any variant spelling. Everything here rests on the credit of the single film, where the film's own infobox assigns him the dialogue while Gyan Mukherjee took story and screenplay.</t>
        </is>
      </c>
      <c r="I361" s="5" t="n"/>
      <c r="J361" s="5" t="inlineStr">
        <is>
          <t>With Kapoor: Sangram (1950).</t>
        </is>
      </c>
      <c r="K361" s="19" t="inlineStr">
        <is>
          <t>Not established from a single credit.</t>
        </is>
      </c>
      <c r="L361" s="19" t="inlineStr">
        <is>
          <t>Not established; no biographical source was located.</t>
        </is>
      </c>
      <c r="M361" s="5" t="n"/>
      <c r="N361" s="19" t="inlineStr">
        <is>
          <t>Not established.</t>
        </is>
      </c>
      <c r="O361" s="19" t="inlineStr">
        <is>
          <t>One writing credit, on Sangram (1950) — a Bombay Talkies (PERSON-130) production directed and co-written by Gyan Mukherjee (PERSON-174), produced by Sargam Pictures' Unit (PERSON-299) and scored by C. Ramchandra (PERSON-028), in which the twelve-year-old Kapoor appears as a child actor billed Shashiraj.</t>
        </is>
      </c>
      <c r="P361" s="17" t="n">
        <v>1</v>
      </c>
      <c r="Q361" s="5" t="inlineStr">
        <is>
          <t>FILM-002</t>
        </is>
      </c>
      <c r="R361" s="5" t="inlineStr">
        <is>
          <t>Sangram (1950), his only film with Kapoor</t>
        </is>
      </c>
      <c r="S361" s="5" t="inlineStr">
        <is>
          <t>Vrajendra Gaur wrote the dialogue of Sangram, released in 1950 — a Bombay Talkies production directed by Gyan Mukherjee, who had made Kismet seven years earlier, with a C. Ramchandra score, and one of the child-actor films that open this filmography, in which the twelve-year-old Shashi Kapoor appears as Shashiraj. The film's infobox divides the writing explicitly, giving story and screenplay to Mukherjee and dialogue to Gaur, a separation this workbook preserves in its research notes rather than in the name fields. No Wikipedia article exists for Gaur under this name or any variant attempted during research. The entry is graded Low.</t>
        </is>
      </c>
      <c r="T361" s="5" t="inlineStr">
        <is>
          <t>SOURCE-003</t>
        </is>
      </c>
      <c r="U361" s="5" t="inlineStr">
        <is>
          <t>Low</t>
        </is>
      </c>
    </row>
    <row r="362" ht="139" customHeight="1">
      <c r="A362" s="15" t="inlineStr">
        <is>
          <t>PERSON-361</t>
        </is>
      </c>
      <c r="B362" s="5" t="inlineStr">
        <is>
          <t>Wahid Chowhan</t>
        </is>
      </c>
      <c r="C362" s="5" t="inlineStr">
        <is>
          <t>Producer</t>
        </is>
      </c>
      <c r="D362" s="18" t="n"/>
      <c r="E362" s="18" t="n"/>
      <c r="F362" s="5" t="n"/>
      <c r="G362" s="5" t="inlineStr">
        <is>
          <t>English-language international cinema</t>
        </is>
      </c>
      <c r="H362" s="5" t="inlineStr">
        <is>
          <t>No Wikipedia article exists for him, and none was found under any variant spelling. Everything here rests on the credit of the single film.</t>
        </is>
      </c>
      <c r="I362" s="5" t="n"/>
      <c r="J362" s="5" t="inlineStr">
        <is>
          <t>With Kapoor: In Custody (1993).</t>
        </is>
      </c>
      <c r="K362" s="19" t="inlineStr">
        <is>
          <t>Not established from a single credit.</t>
        </is>
      </c>
      <c r="L362" s="19" t="inlineStr">
        <is>
          <t>Not applicable; no biographical source was located.</t>
        </is>
      </c>
      <c r="M362" s="5" t="n"/>
      <c r="N362" s="19" t="inlineStr">
        <is>
          <t>Not established.</t>
        </is>
      </c>
      <c r="O362" s="19" t="inlineStr">
        <is>
          <t>One producing credit, on In Custody (1993), Ismail Merchant's (PERSON-006) directorial debut, produced with Paul Bradley (PERSON-249) and Donald Rosenfeld (PERSON-156) and adapted from Anita Desai's (PERSON-105) novel, in which Kapoor plays the failing Urdu poet Nur — among the most admired performances of his late career, and the source of National Film Award recognition.</t>
        </is>
      </c>
      <c r="P362" s="17" t="n">
        <v>1</v>
      </c>
      <c r="Q362" s="5" t="inlineStr">
        <is>
          <t>FILM-148</t>
        </is>
      </c>
      <c r="R362" s="5" t="inlineStr">
        <is>
          <t>In Custody (1993), his only film with Kapoor</t>
        </is>
      </c>
      <c r="S362" s="5" t="inlineStr">
        <is>
          <t>Wahid Chowhan is credited as a producer of In Custody, the 1993 film in which Shashi Kapoor gave one of the finest performances of his later years as a dissipated Urdu poet presiding over the decline of his own literary culture. Ismail Merchant directed — his first film as director after three decades of producing — with Donald Rosenfeld, then president of Merchant Ivory, and Paul Bradley also credited. No Wikipedia article exists for Chowhan under this name or any variant attempted during research, and no other biographical source was located, so nothing further can be said about his work. The entry is graded Low.</t>
        </is>
      </c>
      <c r="T362" s="5" t="inlineStr">
        <is>
          <t>SOURCE-122</t>
        </is>
      </c>
      <c r="U362" s="5" t="inlineStr">
        <is>
          <t>Low</t>
        </is>
      </c>
    </row>
    <row r="363" ht="139" customHeight="1">
      <c r="A363" s="15" t="inlineStr">
        <is>
          <t>PERSON-362</t>
        </is>
      </c>
      <c r="B363" s="5" t="inlineStr">
        <is>
          <t>Wasi Khan</t>
        </is>
      </c>
      <c r="C363" s="5" t="inlineStr">
        <is>
          <t>Director; Writer</t>
        </is>
      </c>
      <c r="D363" s="18" t="n"/>
      <c r="E363" s="18" t="n"/>
      <c r="F363" s="5" t="n"/>
      <c r="G363" s="5" t="inlineStr">
        <is>
          <t>Hindi cinema</t>
        </is>
      </c>
      <c r="H363" s="5" t="inlineStr">
        <is>
          <t>No Wikipedia article exists for him, and none was found under any variant spelling. Everything here rests on the credit of the single film.</t>
        </is>
      </c>
      <c r="I363" s="5" t="n"/>
      <c r="J363" s="5" t="inlineStr">
        <is>
          <t>With Kapoor: Oonch Neech Beech (1989), which he both directed and wrote.</t>
        </is>
      </c>
      <c r="K363" s="19" t="inlineStr">
        <is>
          <t>Not established from a single credit.</t>
        </is>
      </c>
      <c r="L363" s="19" t="inlineStr">
        <is>
          <t>Not established; no biographical source was located.</t>
        </is>
      </c>
      <c r="M363" s="5" t="n"/>
      <c r="N363" s="19" t="inlineStr">
        <is>
          <t>Not established.</t>
        </is>
      </c>
      <c r="O363" s="19" t="inlineStr">
        <is>
          <t>One film, Oonch Neech Beech (1989), which he directed and wrote with Parvez Mehdi (PERSON-248), produced by Jagdish Varma (PERSON-065) and Satpal Varma (PERSON-082) under the J. V. Films banner (PERSON-064) and scored by Laxmikant–Pyarelal (PERSON-001) — the second of the two Varma family productions in this filmography, fifteen years after the first.</t>
        </is>
      </c>
      <c r="P363" s="17" t="n">
        <v>1</v>
      </c>
      <c r="Q363" s="5" t="inlineStr">
        <is>
          <t>FILM-144</t>
        </is>
      </c>
      <c r="R363" s="5" t="inlineStr">
        <is>
          <t>Oonch Neech Beech (1989), his only film with Kapoor</t>
        </is>
      </c>
      <c r="S363" s="5" t="inlineStr">
        <is>
          <t>Wasi Khan directed and co-wrote Oonch Neech Beech, released in 1989 — the second film the Varma family made with Shashi Kapoor under the J. V. Films banner, fifteen years after Insaaniyat, with a Laxmikant–Pyarelal score that was among the last of that duo's twenty-seven for the actor. No Wikipedia article exists for Khan under this name or any variant attempted during research, and no other biographical source was located; nor is there one for his co-writer. The entry is graded Low and rests on the single film credit.</t>
        </is>
      </c>
      <c r="T363" s="5" t="inlineStr">
        <is>
          <t>SOURCE-119</t>
        </is>
      </c>
      <c r="U363" s="5" t="inlineStr">
        <is>
          <t>Low</t>
        </is>
      </c>
    </row>
    <row r="364" ht="184" customHeight="1">
      <c r="A364" s="15" t="inlineStr">
        <is>
          <t>PERSON-363</t>
        </is>
      </c>
      <c r="B364" s="5" t="inlineStr">
        <is>
          <t>Willis Hall</t>
        </is>
      </c>
      <c r="C364" s="5" t="inlineStr">
        <is>
          <t>Writer</t>
        </is>
      </c>
      <c r="D364" s="17" t="n">
        <v>1929</v>
      </c>
      <c r="E364" s="17" t="n">
        <v>2005</v>
      </c>
      <c r="F364" s="5" t="n"/>
      <c r="G364" s="5" t="inlineStr">
        <is>
          <t>British theatre, television and cinema</t>
        </is>
      </c>
      <c r="H364" s="5" t="inlineStr">
        <is>
          <t>Born Willis Edward Hall on 6 April 1929; died 7 March 2005. An English playwright and radio, television and film writer who drew on his working-class roots in Leeds. His military service inspired his first play, The Disciplines of War, which premiered on the Edinburgh fringe in 1957 and, renamed The Long and the Short and the Tall, was professionally produced at the Nottingham Playhouse. He formed an extremely prolific partnership with his lifelong friend Keith Waterhouse (PERSON-198), producing more than two hundred and fifty works together.</t>
        </is>
      </c>
      <c r="I364" s="5" t="inlineStr">
        <is>
          <t>The Disciplines of War (1957), later The Long and the Short and the Tall.</t>
        </is>
      </c>
      <c r="J364" s="5" t="inlineStr">
        <is>
          <t>With Kapoor: Pretty Polly (1967). Elsewhere: the plays Billy Liar and Celebration; the screenplays for Whistle Down the Wind, A Kind of Loving and Hitchcock's Torn Curtain; and the television series Budgie, Worzel Gummidge and Minder. His musical theatre work includes Wind in the Willows and Peter Pan: A Musical Adventure.</t>
        </is>
      </c>
      <c r="K364" s="19" t="inlineStr">
        <is>
          <t>Working-class English life, fantasy and self-invention, and comic social observation.</t>
        </is>
      </c>
      <c r="L364" s="19" t="inlineStr">
        <is>
          <t>A prolific writer across every medium, at his best in collaboration and in comic dialogue.</t>
        </is>
      </c>
      <c r="M364" s="5" t="n"/>
      <c r="N364" s="19" t="inlineStr">
        <is>
          <t>With Waterhouse, one of the most productive writing partnerships in British postwar theatre and television.</t>
        </is>
      </c>
      <c r="O364" s="19" t="inlineStr">
        <is>
          <t>One writing credit, on Pretty Polly (1967), written with Keith Waterhouse, directed by Guy Green (PERSON-173) and scored by Michel Legrand (PERSON-224), in which Kapoor appears opposite Hayley Mills. The film placed him in a British production written by the country's most prolific writing partnership and scored by a composer about to win his first Oscar.</t>
        </is>
      </c>
      <c r="P364" s="17" t="n">
        <v>1</v>
      </c>
      <c r="Q364" s="5" t="inlineStr">
        <is>
          <t>FILM-024</t>
        </is>
      </c>
      <c r="R364" s="5" t="inlineStr">
        <is>
          <t>Pretty Polly (1967), his only film with Kapoor</t>
        </is>
      </c>
      <c r="S364" s="5" t="inlineStr">
        <is>
          <t>Willis Hall co-wrote Pretty Polly, the 1967 British film in which Shashi Kapoor appeared opposite Hayley Mills, with his lifelong collaborator Keith Waterhouse — a partnership that produced more than two hundred and fifty works across theatre, television and film. The picture is a good measure of Kapoor's international standing two years after Shakespeare Wallah: a mainstream British production directed by an Oscar-winning cinematographer, scored by Michel Legrand and written by that partnership. Born in Leeds in 1929, Hall wrote Billy Liar with Waterhouse, the screenplays of Whistle Down the Wind, A Kind of Loving and Torn Curtain, and the television series Worzel Gummidge and Minder. He died in 2005.</t>
        </is>
      </c>
      <c r="T364" s="5" t="inlineStr">
        <is>
          <t>SOURCE-304</t>
        </is>
      </c>
      <c r="U364" s="5" t="inlineStr">
        <is>
          <t>High</t>
        </is>
      </c>
    </row>
    <row r="365" ht="154" customHeight="1">
      <c r="A365" s="15" t="inlineStr">
        <is>
          <t>PERSON-364</t>
        </is>
      </c>
      <c r="B365" s="5" t="inlineStr">
        <is>
          <t>Working Title Films</t>
        </is>
      </c>
      <c r="C365" s="5" t="inlineStr">
        <is>
          <t>Production banner</t>
        </is>
      </c>
      <c r="D365" s="18" t="n"/>
      <c r="E365" s="18" t="n"/>
      <c r="F365" s="5" t="inlineStr">
        <is>
          <t>1983–present</t>
        </is>
      </c>
      <c r="G365" s="5" t="inlineStr">
        <is>
          <t>British cinema and television</t>
        </is>
      </c>
      <c r="H365" s="5" t="inlineStr">
        <is>
          <t>A British film and television production company, formerly Visionensure Limited and Working Title Limited, founded by Tim Bevan (PERSON-339) and Sarah Radclyffe (PERSON-298) in 1983. It was owned by PolyGram Filmed Entertainment from 1992 to 1998 and by Universal Pictures thereafter, and is now a subsidiary of NBCUniversal. Bevan and Eric Fellner are its co-chairmen.</t>
        </is>
      </c>
      <c r="I365" s="5" t="inlineStr">
        <is>
          <t>My Beautiful Laundrette (1985) was its first significant production.</t>
        </is>
      </c>
      <c r="J365" s="5" t="inlineStr">
        <is>
          <t>With Kapoor: Sammy and Rosie Get Laid (1987). Elsewhere: My Beautiful Laundrette (1985), The Hudsucker Proxy (1994), Dead Man Walking and Four Weddings and a Funeral (1994), which became the highest-grossing British film of all time with a worldwide gross of $245 million.</t>
        </is>
      </c>
      <c r="K365" s="19" t="inlineStr">
        <is>
          <t>In the 1980s, socially engaged British filmmaking on race, class and sexuality; from the 1990s, mainstream international comedy and drama.</t>
        </is>
      </c>
      <c r="L365" s="19" t="inlineStr">
        <is>
          <t>Not applicable; a company, whose early identity was formed by the Frears–Kureishi films.</t>
        </is>
      </c>
      <c r="M365" s="5" t="inlineStr">
        <is>
          <t>Dead Man Walking was the company's first film to win an Academy Award; its productions have since won many more.</t>
        </is>
      </c>
      <c r="N365" s="19" t="inlineStr">
        <is>
          <t>The most commercially successful British production company of the past forty years, and in its first years the home of the decade's most politically pointed British cinema.</t>
        </is>
      </c>
      <c r="O365" s="19" t="inlineStr">
        <is>
          <t>One banner credit, on Sammy and Rosie Get Laid (1987), directed by Stephen Frears (PERSON-320), written by Hanif Kureishi (PERSON-176), produced by Bevan and Radclyffe and scored by Stanley Myers (PERSON-319), in which Kapoor plays a former minister implicated in torture. The film belongs to the company's earliest phase, two years after My Beautiful Laundrette and well before Four Weddings and a Funeral changed its direction.</t>
        </is>
      </c>
      <c r="P365" s="17" t="n">
        <v>1</v>
      </c>
      <c r="Q365" s="5" t="inlineStr">
        <is>
          <t>FILM-132</t>
        </is>
      </c>
      <c r="R365" s="5" t="inlineStr">
        <is>
          <t>Sammy and Rosie Get Laid (1987), its only film with Kapoor</t>
        </is>
      </c>
      <c r="S365" s="5" t="inlineStr">
        <is>
          <t>Working Title Films produced Sammy and Rosie Get Laid in 1987, Stephen Frears's film from a Hanif Kureishi script in which Shashi Kapoor plays Rafi, a former government minister with a record of torture, visiting his son in a rioting London. It is the hardest role of his career and it came from the company at its most politically abrasive: founded by Tim Bevan and Sarah Radclyffe in 1983, Working Title had made My Beautiful Laundrette two years earlier and would not become a mainstream international studio until Four Weddings and a Funeral in 1994, then the highest-grossing British film ever made. The company is now a subsidiary of NBCUniversal. Its article does not mention Kapoor.</t>
        </is>
      </c>
      <c r="T365" s="5" t="inlineStr">
        <is>
          <t>SOURCE-305</t>
        </is>
      </c>
      <c r="U365" s="5" t="inlineStr">
        <is>
          <t>High</t>
        </is>
      </c>
    </row>
    <row r="366" ht="109" customHeight="1">
      <c r="A366" s="15" t="inlineStr">
        <is>
          <t>PERSON-365</t>
        </is>
      </c>
      <c r="B366" s="5" t="inlineStr">
        <is>
          <t>Yakub Hasan Rizvi</t>
        </is>
      </c>
      <c r="C366" s="5" t="inlineStr">
        <is>
          <t>Director</t>
        </is>
      </c>
      <c r="D366" s="18" t="n"/>
      <c r="E366" s="18" t="n"/>
      <c r="F366" s="5" t="n"/>
      <c r="G366" s="5" t="inlineStr">
        <is>
          <t>Hindi cinema</t>
        </is>
      </c>
      <c r="H366" s="5" t="inlineStr">
        <is>
          <t>No Wikipedia article exists for him, and none was found under any variant spelling. Everything here rests on the credit of the single film.</t>
        </is>
      </c>
      <c r="I366" s="5" t="n"/>
      <c r="J366" s="5" t="inlineStr">
        <is>
          <t>With Kapoor: Naach Uthe Sansaar (1976).</t>
        </is>
      </c>
      <c r="K366" s="19" t="inlineStr">
        <is>
          <t>Not established from a single credit.</t>
        </is>
      </c>
      <c r="L366" s="19" t="inlineStr">
        <is>
          <t>Not established; no biographical source was located.</t>
        </is>
      </c>
      <c r="M366" s="5" t="n"/>
      <c r="N366" s="19" t="inlineStr">
        <is>
          <t>Not established.</t>
        </is>
      </c>
      <c r="O366" s="19" t="inlineStr">
        <is>
          <t>One directing credit, on Naach Uthe Sansaar (1976), scored by Laxmikant–Pyarelal (PERSON-001). The film is the one remaining open question in this workbook's validation: its Films row records a central romance, but no Romances row has been written for it, so the pairing has still to be researched.</t>
        </is>
      </c>
      <c r="P366" s="17" t="n">
        <v>1</v>
      </c>
      <c r="Q366" s="5" t="inlineStr">
        <is>
          <t>FILM-056</t>
        </is>
      </c>
      <c r="R366" s="5" t="inlineStr">
        <is>
          <t>Naach Uthe Sansaar (1976), his only film with Kapoor</t>
        </is>
      </c>
      <c r="S366" s="5" t="inlineStr">
        <is>
          <t>Yakub Hasan Rizvi directed Naach Uthe Sansaar in 1976, his only credit in this filmography — a commercial picture from the middle of Shashi Kapoor's busiest years, scored by Laxmikant–Pyarelal. The film carries a small outstanding question in this research: its Films row records romance as central to the story, but no corresponding row has yet been written in the Romances sheet, and the validation flags it. No Wikipedia article exists for the director under this name or any variant attempted during research, and no other biographical source was located, which is part of why the film's romantic content has been harder to establish than most. The entry is graded Low.</t>
        </is>
      </c>
      <c r="T366" s="5" t="inlineStr">
        <is>
          <t>SOURCE-048</t>
        </is>
      </c>
      <c r="U366" s="5" t="inlineStr">
        <is>
          <t>Low</t>
        </is>
      </c>
    </row>
    <row r="367" ht="94" customHeight="1">
      <c r="A367" s="15" t="inlineStr">
        <is>
          <t>PERSON-366</t>
        </is>
      </c>
      <c r="B367" s="5" t="inlineStr">
        <is>
          <t>Ziaul Hasan</t>
        </is>
      </c>
      <c r="C367" s="5" t="inlineStr">
        <is>
          <t>Producer</t>
        </is>
      </c>
      <c r="D367" s="18" t="n"/>
      <c r="E367" s="18" t="n"/>
      <c r="F367" s="5" t="n"/>
      <c r="G367" s="5" t="inlineStr">
        <is>
          <t>Hindi cinema</t>
        </is>
      </c>
      <c r="H367" s="5" t="inlineStr">
        <is>
          <t>No Wikipedia article exists for him, and none was found under any variant spelling. Everything here rests on the credit of the single film.</t>
        </is>
      </c>
      <c r="I367" s="5" t="n"/>
      <c r="J367" s="5" t="inlineStr">
        <is>
          <t>With Kapoor: Farishta Ya Qatil (1977).</t>
        </is>
      </c>
      <c r="K367" s="19" t="inlineStr">
        <is>
          <t>Not established from a single credit.</t>
        </is>
      </c>
      <c r="L367" s="19" t="inlineStr">
        <is>
          <t>Not applicable; no biographical source was located.</t>
        </is>
      </c>
      <c r="M367" s="5" t="n"/>
      <c r="N367" s="19" t="inlineStr">
        <is>
          <t>Not established.</t>
        </is>
      </c>
      <c r="O367" s="19" t="inlineStr">
        <is>
          <t>One producing credit, on Farishta Ya Qatil (1977), made with Mohd Ilyas (PERSON-230) — the one film in this filmography that S. M. Abbas (PERSON-011) both wrote and directed, scored by Kalyanji–Anandji (PERSON-002).</t>
        </is>
      </c>
      <c r="P367" s="17" t="n">
        <v>1</v>
      </c>
      <c r="Q367" s="5" t="inlineStr">
        <is>
          <t>FILM-064</t>
        </is>
      </c>
      <c r="R367" s="5" t="inlineStr">
        <is>
          <t>Farishta Ya Qatil (1977), his only film with Kapoor</t>
        </is>
      </c>
      <c r="S367" s="5" t="inlineStr">
        <is>
          <t>Ziaul Hasan produced Farishta Ya Qatil in 1977 with Mohd Ilyas, his only credit in this filmography and the last entry in this sheet by person id. The film has a small distinction: of the five S. M. Abbas films in the filmography it is the only one he both wrote and directed, the other four being writing credits alone. Kalyanji–Anandji scored it, in one of the nineteen films they made with Shashi Kapoor. No Wikipedia article exists for Hasan under this name or any variant attempted during research, and no other biographical source was located. The entry is graded Low.</t>
        </is>
      </c>
      <c r="T367" s="5" t="inlineStr">
        <is>
          <t>SOURCE-056</t>
        </is>
      </c>
      <c r="U367" s="5" t="inlineStr">
        <is>
          <t>Low</t>
        </is>
      </c>
    </row>
  </sheetData>
  <autoFilter ref="A1:U367"/>
  <dataValidations count="1">
    <dataValidation sqref="U2:U567"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7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2" customWidth="1" min="5" max="5"/>
    <col width="20" customWidth="1" min="6" max="6"/>
    <col width="16" customWidth="1" min="7" max="7"/>
    <col width="12" customWidth="1" min="8" max="8"/>
    <col width="30" customWidth="1" min="9" max="9"/>
    <col width="30" customWidth="1" min="10" max="10"/>
    <col width="50" customWidth="1" min="11" max="11"/>
    <col width="30" customWidth="1" min="12" max="12"/>
    <col width="22" customWidth="1" min="13" max="13"/>
  </cols>
  <sheetData>
    <row r="1" ht="36" customHeight="1">
      <c r="A1" s="12" t="inlineStr">
        <is>
          <t>Cast ID</t>
        </is>
      </c>
      <c r="B1" s="12" t="inlineStr">
        <is>
          <t>Film ID</t>
        </is>
      </c>
      <c r="C1" s="12" t="inlineStr">
        <is>
          <t>Film</t>
        </is>
      </c>
      <c r="D1" s="12" t="inlineStr">
        <is>
          <t>Release Year</t>
        </is>
      </c>
      <c r="E1" s="12" t="inlineStr">
        <is>
          <t>Actor</t>
        </is>
      </c>
      <c r="F1" s="12" t="inlineStr">
        <is>
          <t>Character</t>
        </is>
      </c>
      <c r="G1" s="12" t="inlineStr">
        <is>
          <t>Cast Function</t>
        </is>
      </c>
      <c r="H1" s="12" t="inlineStr">
        <is>
          <t>Importance Level</t>
        </is>
      </c>
      <c r="I1" s="12" t="inlineStr">
        <is>
          <t>Relationship to Protagonist</t>
        </is>
      </c>
      <c r="J1" s="12" t="inlineStr">
        <is>
          <t>Relationship to Romantic Plot</t>
        </is>
      </c>
      <c r="K1" s="13" t="inlineStr">
        <is>
          <t>Character Gist</t>
        </is>
      </c>
      <c r="L1" s="12" t="inlineStr">
        <is>
          <t>Performance Recognition</t>
        </is>
      </c>
      <c r="M1" s="12" t="inlineStr">
        <is>
          <t>Source IDs</t>
        </is>
      </c>
    </row>
    <row r="2" ht="79" customHeight="1">
      <c r="A2" s="15" t="inlineStr">
        <is>
          <t>CAST-001</t>
        </is>
      </c>
      <c r="B2" s="18" t="inlineStr">
        <is>
          <t>FILM-001</t>
        </is>
      </c>
      <c r="C2" s="5" t="inlineStr">
        <is>
          <t>Aag</t>
        </is>
      </c>
      <c r="D2" s="17" t="n">
        <v>1948</v>
      </c>
      <c r="E2" s="5" t="inlineStr">
        <is>
          <t>Raj Kapoor</t>
        </is>
      </c>
      <c r="F2" s="5" t="inlineStr">
        <is>
          <t>Kewal Khanna</t>
        </is>
      </c>
      <c r="G2" s="5" t="inlineStr">
        <is>
          <t>Co-lead</t>
        </is>
      </c>
      <c r="H2" s="5" t="inlineStr">
        <is>
          <t>Major</t>
        </is>
      </c>
      <c r="I2" s="5" t="inlineStr">
        <is>
          <t>The adult Kewal: Kapoor's child role is the same man in his schooldays, so the two never share a scene and the part is a handover rather than a relationship.</t>
        </is>
      </c>
      <c r="J2" s="5" t="inlineStr">
        <is>
          <t>Carries all three of the film's romances; the schoolroom infatuation Kapoor plays is the first of them.</t>
        </is>
      </c>
      <c r="K2" s="19" t="inlineStr">
        <is>
          <t>Son of a family of lawyers who is obsessed with the theatre, submits to his father's demand that he study law, fails, leaves home to build his own theatre company, is disfigured in a fire, and narrates the whole story to his bride on their wedding night.</t>
        </is>
      </c>
      <c r="L2" s="5" t="n"/>
      <c r="M2" s="5" t="inlineStr">
        <is>
          <t>SOURCE-002</t>
        </is>
      </c>
    </row>
    <row r="3" ht="49" customHeight="1">
      <c r="A3" s="15" t="inlineStr">
        <is>
          <t>CAST-002</t>
        </is>
      </c>
      <c r="B3" s="18" t="inlineStr">
        <is>
          <t>FILM-001</t>
        </is>
      </c>
      <c r="C3" s="5" t="inlineStr">
        <is>
          <t>Aag</t>
        </is>
      </c>
      <c r="D3" s="17" t="n">
        <v>1948</v>
      </c>
      <c r="E3" s="5" t="inlineStr">
        <is>
          <t>Nargis</t>
        </is>
      </c>
      <c r="F3" s="5" t="inlineStr">
        <is>
          <t>Nimmi</t>
        </is>
      </c>
      <c r="G3" s="5" t="inlineStr">
        <is>
          <t>Supporting</t>
        </is>
      </c>
      <c r="H3" s="5" t="inlineStr">
        <is>
          <t>Major</t>
        </is>
      </c>
      <c r="I3" s="5" t="inlineStr">
        <is>
          <t>No scenes with the child Kewal; she belongs to the adult narrative.</t>
        </is>
      </c>
      <c r="J3" s="5" t="inlineStr">
        <is>
          <t>The third and last of the women Kewal calls Nimmi, and the one present at the film's resolution.</t>
        </is>
      </c>
      <c r="K3" s="19" t="inlineStr">
        <is>
          <t>A woman made homeless by Partition whom Kewal takes into his theatre company and names Nimmi after his lost childhood love.</t>
        </is>
      </c>
      <c r="L3" s="5" t="n"/>
      <c r="M3" s="5" t="inlineStr">
        <is>
          <t>SOURCE-002</t>
        </is>
      </c>
    </row>
    <row r="4" ht="64" customHeight="1">
      <c r="A4" s="15" t="inlineStr">
        <is>
          <t>CAST-003</t>
        </is>
      </c>
      <c r="B4" s="18" t="inlineStr">
        <is>
          <t>FILM-001</t>
        </is>
      </c>
      <c r="C4" s="5" t="inlineStr">
        <is>
          <t>Aag</t>
        </is>
      </c>
      <c r="D4" s="17" t="n">
        <v>1948</v>
      </c>
      <c r="E4" s="5" t="inlineStr">
        <is>
          <t>Kamini Kaushal</t>
        </is>
      </c>
      <c r="F4" s="5" t="inlineStr">
        <is>
          <t>Miss Nirmala</t>
        </is>
      </c>
      <c r="G4" s="5" t="inlineStr">
        <is>
          <t>Supporting</t>
        </is>
      </c>
      <c r="H4" s="5" t="inlineStr">
        <is>
          <t>Medium</t>
        </is>
      </c>
      <c r="I4" s="5" t="inlineStr">
        <is>
          <t>No scenes with the child Kewal.</t>
        </is>
      </c>
      <c r="J4" s="5" t="inlineStr">
        <is>
          <t>The college-era Nirmala, who repeats the desertion Kapoor's segment establishes.</t>
        </is>
      </c>
      <c r="K4" s="19" t="inlineStr">
        <is>
          <t>The second Nirmala, met at college, who asks to be called Nimmi after hearing Kewal's story of childhood love and then abandons his play on premiere day for a marriage arranged to a man in England.</t>
        </is>
      </c>
      <c r="L4" s="5" t="n"/>
      <c r="M4" s="5" t="inlineStr">
        <is>
          <t>SOURCE-002</t>
        </is>
      </c>
    </row>
    <row r="5" ht="64" customHeight="1">
      <c r="A5" s="15" t="inlineStr">
        <is>
          <t>CAST-004</t>
        </is>
      </c>
      <c r="B5" s="18" t="inlineStr">
        <is>
          <t>FILM-001</t>
        </is>
      </c>
      <c r="C5" s="5" t="inlineStr">
        <is>
          <t>Aag</t>
        </is>
      </c>
      <c r="D5" s="17" t="n">
        <v>1948</v>
      </c>
      <c r="E5" s="5" t="inlineStr">
        <is>
          <t>Kamal Kapoor</t>
        </is>
      </c>
      <c r="F5" s="5" t="inlineStr">
        <is>
          <t>Kewal Khanna's father</t>
        </is>
      </c>
      <c r="G5" s="5" t="inlineStr">
        <is>
          <t>Family</t>
        </is>
      </c>
      <c r="H5" s="5" t="inlineStr">
        <is>
          <t>Major</t>
        </is>
      </c>
      <c r="I5" s="5" t="inlineStr">
        <is>
          <t>Father to the boy Kapoor plays, and the pressure the child segment sets up: the family tradition of law against the child's theatre.</t>
        </is>
      </c>
      <c r="J5" s="5" t="inlineStr">
        <is>
          <t>No direct part in the romances; his opposition is to the vocation rather than to any of the women.</t>
        </is>
      </c>
      <c r="K5" s="19" t="inlineStr">
        <is>
          <t>A successful lawyer descended from lawyers who requires his son to continue the family tradition and turns him out of the house when he refuses.</t>
        </is>
      </c>
      <c r="L5" s="5" t="n"/>
      <c r="M5" s="5" t="inlineStr">
        <is>
          <t>SOURCE-002</t>
        </is>
      </c>
    </row>
    <row r="6" ht="49" customHeight="1">
      <c r="A6" s="15" t="inlineStr">
        <is>
          <t>CAST-005</t>
        </is>
      </c>
      <c r="B6" s="18" t="inlineStr">
        <is>
          <t>FILM-001</t>
        </is>
      </c>
      <c r="C6" s="5" t="inlineStr">
        <is>
          <t>Aag</t>
        </is>
      </c>
      <c r="D6" s="17" t="n">
        <v>1948</v>
      </c>
      <c r="E6" s="5" t="inlineStr">
        <is>
          <t>Nigar Sultana</t>
        </is>
      </c>
      <c r="F6" s="5" t="inlineStr">
        <is>
          <t>Sudha</t>
        </is>
      </c>
      <c r="G6" s="5" t="inlineStr">
        <is>
          <t>Supporting</t>
        </is>
      </c>
      <c r="H6" s="5" t="inlineStr">
        <is>
          <t>Medium</t>
        </is>
      </c>
      <c r="I6" s="5" t="inlineStr">
        <is>
          <t>No scenes with the child Kewal; she frames the story he tells.</t>
        </is>
      </c>
      <c r="J6" s="5" t="inlineStr">
        <is>
          <t>The listener rather than a participant: the marriage that occasions the flashback.</t>
        </is>
      </c>
      <c r="K6" s="19" t="inlineStr">
        <is>
          <t>The bride who screams at her disfigured groom on their wedding night and to whom the entire film is narrated as a flashback.</t>
        </is>
      </c>
      <c r="L6" s="5" t="n"/>
      <c r="M6" s="5" t="inlineStr">
        <is>
          <t>SOURCE-002</t>
        </is>
      </c>
    </row>
    <row r="7" ht="49" customHeight="1">
      <c r="A7" s="15" t="inlineStr">
        <is>
          <t>CAST-006</t>
        </is>
      </c>
      <c r="B7" s="18" t="inlineStr">
        <is>
          <t>FILM-001</t>
        </is>
      </c>
      <c r="C7" s="5" t="inlineStr">
        <is>
          <t>Aag</t>
        </is>
      </c>
      <c r="D7" s="17" t="n">
        <v>1948</v>
      </c>
      <c r="E7" s="5" t="inlineStr">
        <is>
          <t>Premnath</t>
        </is>
      </c>
      <c r="F7" s="5" t="inlineStr">
        <is>
          <t>Rajan</t>
        </is>
      </c>
      <c r="G7" s="5" t="inlineStr">
        <is>
          <t>Friend</t>
        </is>
      </c>
      <c r="H7" s="5" t="inlineStr">
        <is>
          <t>Medium</t>
        </is>
      </c>
      <c r="I7" s="5" t="inlineStr">
        <is>
          <t>No scenes with the child Kewal.</t>
        </is>
      </c>
      <c r="J7" s="5" t="inlineStr">
        <is>
          <t>Outside the romances; his function is the theatre company.</t>
        </is>
      </c>
      <c r="K7" s="19" t="inlineStr">
        <is>
          <t>A patron of the arts who owns a shuttered theatre company and forms a creative partnership and friendship with the adult Kewal, financing the plays Kewal writes and produces.</t>
        </is>
      </c>
      <c r="L7" s="5" t="n"/>
      <c r="M7" s="5" t="inlineStr">
        <is>
          <t>SOURCE-002</t>
        </is>
      </c>
    </row>
    <row r="8" ht="64" customHeight="1">
      <c r="A8" s="15" t="inlineStr">
        <is>
          <t>CAST-007</t>
        </is>
      </c>
      <c r="B8" s="18" t="inlineStr">
        <is>
          <t>FILM-002</t>
        </is>
      </c>
      <c r="C8" s="5" t="inlineStr">
        <is>
          <t>Sangram</t>
        </is>
      </c>
      <c r="D8" s="17" t="n">
        <v>1950</v>
      </c>
      <c r="E8" s="5" t="inlineStr">
        <is>
          <t>Ashok Kumar</t>
        </is>
      </c>
      <c r="F8" s="5" t="inlineStr">
        <is>
          <t>Kunwar Rajendra K. Singh</t>
        </is>
      </c>
      <c r="G8" s="5" t="inlineStr">
        <is>
          <t>Co-lead</t>
        </is>
      </c>
      <c r="H8" s="5" t="inlineStr">
        <is>
          <t>Major</t>
        </is>
      </c>
      <c r="I8" s="5" t="inlineStr">
        <is>
          <t>The grown Kunwar; Kapoor plays the same character as a spoiled boy, so the roles are consecutive rather than shared.</t>
        </is>
      </c>
      <c r="J8" s="5" t="inlineStr">
        <is>
          <t>Holds both of the film's relationships, with Kanta and with the dancing girl.</t>
        </is>
      </c>
      <c r="K8" s="19" t="inlineStr">
        <is>
          <t>A policeman's indulged son who grows into a casino proprietor, is blackmailed by a former accomplice, kills a dancer who betrays him, and is finally shot dead by his own father.</t>
        </is>
      </c>
      <c r="L8" s="5" t="n"/>
      <c r="M8" s="5" t="inlineStr">
        <is>
          <t>SOURCE-003</t>
        </is>
      </c>
    </row>
    <row r="9" ht="94" customHeight="1">
      <c r="A9" s="15" t="inlineStr">
        <is>
          <t>CAST-008</t>
        </is>
      </c>
      <c r="B9" s="18" t="inlineStr">
        <is>
          <t>FILM-002</t>
        </is>
      </c>
      <c r="C9" s="5" t="inlineStr">
        <is>
          <t>Sangram</t>
        </is>
      </c>
      <c r="D9" s="17" t="n">
        <v>1950</v>
      </c>
      <c r="E9" s="5" t="inlineStr">
        <is>
          <t>Nawab</t>
        </is>
      </c>
      <c r="F9" s="5" t="inlineStr">
        <is>
          <t>Thakur Narendra Singh</t>
        </is>
      </c>
      <c r="G9" s="5" t="inlineStr">
        <is>
          <t>Family</t>
        </is>
      </c>
      <c r="H9" s="5" t="inlineStr">
        <is>
          <t>Major</t>
        </is>
      </c>
      <c r="I9" s="5" t="inlineStr">
        <is>
          <t>Father to the boy Kapoor plays, and the one who intervenes when the child fires a pistol at a friend; the indulgence the child scenes show is the film's stated cause of everything after.</t>
        </is>
      </c>
      <c r="J9" s="5" t="inlineStr">
        <is>
          <t>No part in the romances.</t>
        </is>
      </c>
      <c r="K9" s="19" t="inlineStr">
        <is>
          <t>A widowed policeman who spoils his motherless son into criminality, saves him from the lock-up as a boy, and kills him at the end when the son bluffs him with an empty pistol.</t>
        </is>
      </c>
      <c r="L9" s="5" t="n"/>
      <c r="M9" s="5" t="inlineStr">
        <is>
          <t>SOURCE-003</t>
        </is>
      </c>
    </row>
    <row r="10" ht="49" customHeight="1">
      <c r="A10" s="15" t="inlineStr">
        <is>
          <t>CAST-009</t>
        </is>
      </c>
      <c r="B10" s="18" t="inlineStr">
        <is>
          <t>FILM-002</t>
        </is>
      </c>
      <c r="C10" s="5" t="inlineStr">
        <is>
          <t>Sangram</t>
        </is>
      </c>
      <c r="D10" s="17" t="n">
        <v>1950</v>
      </c>
      <c r="E10" s="5" t="inlineStr">
        <is>
          <t>Nalini Jaywant</t>
        </is>
      </c>
      <c r="F10" s="5" t="inlineStr">
        <is>
          <t>Kanta (Munni)</t>
        </is>
      </c>
      <c r="G10" s="5" t="inlineStr">
        <is>
          <t>Supporting</t>
        </is>
      </c>
      <c r="H10" s="5" t="inlineStr">
        <is>
          <t>Major</t>
        </is>
      </c>
      <c r="I10" s="5" t="inlineStr">
        <is>
          <t>No scenes with Kapoor's young Kunwar; her childhood counterpart is played by Tabassum.</t>
        </is>
      </c>
      <c r="J10" s="5" t="inlineStr">
        <is>
          <t>The film's principal romance, and the reason for the jailbreak and abduction in the last act.</t>
        </is>
      </c>
      <c r="K10" s="19" t="inlineStr">
        <is>
          <t>The childhood companion, grown into a young woman, whom Kunwar meets again after fleeing a police raid and abducts from her arranged wedding.</t>
        </is>
      </c>
      <c r="L10" s="5" t="n"/>
      <c r="M10" s="5" t="inlineStr">
        <is>
          <t>SOURCE-003</t>
        </is>
      </c>
    </row>
    <row r="11" ht="49" customHeight="1">
      <c r="A11" s="15" t="inlineStr">
        <is>
          <t>CAST-010</t>
        </is>
      </c>
      <c r="B11" s="18" t="inlineStr">
        <is>
          <t>FILM-002</t>
        </is>
      </c>
      <c r="C11" s="5" t="inlineStr">
        <is>
          <t>Sangram</t>
        </is>
      </c>
      <c r="D11" s="17" t="n">
        <v>1950</v>
      </c>
      <c r="E11" s="5" t="inlineStr">
        <is>
          <t>Tabassum</t>
        </is>
      </c>
      <c r="F11" s="5" t="inlineStr">
        <is>
          <t>Young Kanta</t>
        </is>
      </c>
      <c r="G11" s="5" t="inlineStr">
        <is>
          <t>Friend</t>
        </is>
      </c>
      <c r="H11" s="5" t="inlineStr">
        <is>
          <t>Medium</t>
        </is>
      </c>
      <c r="I11" s="5" t="inlineStr">
        <is>
          <t>The childhood companion of the boy Kapoor plays, and his only sustained scene partner in the early stretch.</t>
        </is>
      </c>
      <c r="J11" s="5" t="inlineStr">
        <is>
          <t>Establishes the attachment the adult romance resumes.</t>
        </is>
      </c>
      <c r="K11" s="19" t="inlineStr">
        <is>
          <t>Kunwar's childhood friend, whose bond with him is the one thread the film carries from the boyhood section into the adult story.</t>
        </is>
      </c>
      <c r="L11" s="5" t="n"/>
      <c r="M11" s="5" t="inlineStr">
        <is>
          <t>SOURCE-003</t>
        </is>
      </c>
    </row>
    <row r="12" ht="49" customHeight="1">
      <c r="A12" s="15" t="inlineStr">
        <is>
          <t>CAST-011</t>
        </is>
      </c>
      <c r="B12" s="18" t="inlineStr">
        <is>
          <t>FILM-002</t>
        </is>
      </c>
      <c r="C12" s="5" t="inlineStr">
        <is>
          <t>Sangram</t>
        </is>
      </c>
      <c r="D12" s="17" t="n">
        <v>1950</v>
      </c>
      <c r="E12" s="5" t="inlineStr">
        <is>
          <t>Ramayan Tiwari</t>
        </is>
      </c>
      <c r="F12" s="5" t="inlineStr">
        <is>
          <t>Pyare Lal</t>
        </is>
      </c>
      <c r="G12" s="5" t="inlineStr">
        <is>
          <t>Antagonist</t>
        </is>
      </c>
      <c r="H12" s="5" t="inlineStr">
        <is>
          <t>Major</t>
        </is>
      </c>
      <c r="I12" s="5" t="inlineStr">
        <is>
          <t>No scenes with the child; he is the adult Kunwar's nemesis.</t>
        </is>
      </c>
      <c r="J12" s="5" t="inlineStr">
        <is>
          <t>Threatens the marriage directly, blackmailing Kunwar as the wedding approaches.</t>
        </is>
      </c>
      <c r="K12" s="19" t="inlineStr">
        <is>
          <t>An old accomplice who resurfaces to blackmail Kunwar on the eve of his marriage and dies falling from a moving train during their fight.</t>
        </is>
      </c>
      <c r="L12" s="5" t="n"/>
      <c r="M12" s="5" t="inlineStr">
        <is>
          <t>SOURCE-003</t>
        </is>
      </c>
    </row>
    <row r="13" ht="64" customHeight="1">
      <c r="A13" s="15" t="inlineStr">
        <is>
          <t>CAST-012</t>
        </is>
      </c>
      <c r="B13" s="18" t="inlineStr">
        <is>
          <t>FILM-002</t>
        </is>
      </c>
      <c r="C13" s="5" t="inlineStr">
        <is>
          <t>Sangram</t>
        </is>
      </c>
      <c r="D13" s="17" t="n">
        <v>1950</v>
      </c>
      <c r="E13" s="5" t="inlineStr">
        <is>
          <t>Hemawati Sapru</t>
        </is>
      </c>
      <c r="F13" s="5" t="inlineStr">
        <is>
          <t>Mohini</t>
        </is>
      </c>
      <c r="G13" s="5" t="inlineStr">
        <is>
          <t>Romantic rival</t>
        </is>
      </c>
      <c r="H13" s="5" t="inlineStr">
        <is>
          <t>Medium</t>
        </is>
      </c>
      <c r="I13" s="5" t="inlineStr">
        <is>
          <t>No scenes with the child.</t>
        </is>
      </c>
      <c r="J13" s="5" t="inlineStr">
        <is>
          <t>The competing attachment: she loves Kunwar, shelters the abducted Kanta, and turns on him out of jealousy.</t>
        </is>
      </c>
      <c r="K13" s="19" t="inlineStr">
        <is>
          <t>The dancing girl at Kunwar's casino, who is arrested helping him steal his mother's jewellery, gives the fugitive couple refuge, and is shot by him when she tries to alert the police.</t>
        </is>
      </c>
      <c r="L13" s="5" t="n"/>
      <c r="M13" s="5" t="inlineStr">
        <is>
          <t>SOURCE-003</t>
        </is>
      </c>
    </row>
    <row r="14" ht="64" customHeight="1">
      <c r="A14" s="15" t="inlineStr">
        <is>
          <t>CAST-013</t>
        </is>
      </c>
      <c r="B14" s="18" t="inlineStr">
        <is>
          <t>FILM-003</t>
        </is>
      </c>
      <c r="C14" s="5" t="inlineStr">
        <is>
          <t>Samadhi</t>
        </is>
      </c>
      <c r="D14" s="17" t="n">
        <v>1950</v>
      </c>
      <c r="E14" s="5" t="inlineStr">
        <is>
          <t>Ashok Kumar</t>
        </is>
      </c>
      <c r="F14" s="5" t="inlineStr">
        <is>
          <t>Shekhar</t>
        </is>
      </c>
      <c r="G14" s="5" t="inlineStr">
        <is>
          <t>Co-lead</t>
        </is>
      </c>
      <c r="H14" s="5" t="inlineStr">
        <is>
          <t>Major</t>
        </is>
      </c>
      <c r="I14" s="5" t="inlineStr">
        <is>
          <t>Elder brother of Kapoor's Pratap, and the brother who leaves the boy and their blind father behind to join the Indian National Army.</t>
        </is>
      </c>
      <c r="J14" s="5" t="inlineStr">
        <is>
          <t>Carries the film's romance, with Lily D'Souza.</t>
        </is>
      </c>
      <c r="K14" s="19" t="inlineStr">
        <is>
          <t>A young man so moved by Subhas Chandra Bose's call in Malaya that he buys the auctioned garland and joins the INA, leaving his blind father and small brother, and falls in love with the sister of a British spy.</t>
        </is>
      </c>
      <c r="L14" s="5" t="n"/>
      <c r="M14" s="5" t="inlineStr">
        <is>
          <t>SOURCE-127</t>
        </is>
      </c>
    </row>
    <row r="15" ht="49" customHeight="1">
      <c r="A15" s="15" t="inlineStr">
        <is>
          <t>CAST-014</t>
        </is>
      </c>
      <c r="B15" s="18" t="inlineStr">
        <is>
          <t>FILM-003</t>
        </is>
      </c>
      <c r="C15" s="5" t="inlineStr">
        <is>
          <t>Samadhi</t>
        </is>
      </c>
      <c r="D15" s="17" t="n">
        <v>1950</v>
      </c>
      <c r="E15" s="5" t="inlineStr">
        <is>
          <t>Nalini Jaywant</t>
        </is>
      </c>
      <c r="F15" s="5" t="inlineStr">
        <is>
          <t>Lily D'Souza</t>
        </is>
      </c>
      <c r="G15" s="5" t="inlineStr">
        <is>
          <t>Supporting</t>
        </is>
      </c>
      <c r="H15" s="5" t="inlineStr">
        <is>
          <t>Major</t>
        </is>
      </c>
      <c r="I15" s="5" t="inlineStr">
        <is>
          <t>No scenes with Kapoor's Pratap in what the article documents.</t>
        </is>
      </c>
      <c r="J15" s="5" t="inlineStr">
        <is>
          <t>The romance itself: Shekhar falls for her during the song 'Gore Gore O Banke Chore'.</t>
        </is>
      </c>
      <c r="K15" s="19" t="inlineStr">
        <is>
          <t>The younger D'Souza sister, a dancer, with whom Shekhar falls in love, and whose sister is working for the British.</t>
        </is>
      </c>
      <c r="L15" s="5" t="n"/>
      <c r="M15" s="5" t="inlineStr">
        <is>
          <t>SOURCE-127</t>
        </is>
      </c>
    </row>
    <row r="16" ht="64" customHeight="1">
      <c r="A16" s="15" t="inlineStr">
        <is>
          <t>CAST-015</t>
        </is>
      </c>
      <c r="B16" s="18" t="inlineStr">
        <is>
          <t>FILM-003</t>
        </is>
      </c>
      <c r="C16" s="5" t="inlineStr">
        <is>
          <t>Samadhi</t>
        </is>
      </c>
      <c r="D16" s="17" t="n">
        <v>1950</v>
      </c>
      <c r="E16" s="5" t="inlineStr">
        <is>
          <t>Kuldip Kaur</t>
        </is>
      </c>
      <c r="F16" s="5" t="inlineStr">
        <is>
          <t>Dolly D'Souza</t>
        </is>
      </c>
      <c r="G16" s="5" t="inlineStr">
        <is>
          <t>Antagonist</t>
        </is>
      </c>
      <c r="H16" s="5" t="inlineStr">
        <is>
          <t>Major</t>
        </is>
      </c>
      <c r="I16" s="5" t="inlineStr">
        <is>
          <t>No documented scenes with Pratap.</t>
        </is>
      </c>
      <c r="J16" s="5" t="inlineStr">
        <is>
          <t>Compromises it from the outside: the woman Suresh loves is the enemy agent inside the family Shekhar is marrying into.</t>
        </is>
      </c>
      <c r="K16" s="19" t="inlineStr">
        <is>
          <t>A British spy who passes as a singer, is loved by the loyalist brother Suresh, and is the elder sister of Shekhar's Lily.</t>
        </is>
      </c>
      <c r="L16" s="5" t="n"/>
      <c r="M16" s="5" t="inlineStr">
        <is>
          <t>SOURCE-127</t>
        </is>
      </c>
    </row>
    <row r="17" ht="49" customHeight="1">
      <c r="A17" s="15" t="inlineStr">
        <is>
          <t>CAST-016</t>
        </is>
      </c>
      <c r="B17" s="18" t="inlineStr">
        <is>
          <t>FILM-003</t>
        </is>
      </c>
      <c r="C17" s="5" t="inlineStr">
        <is>
          <t>Samadhi</t>
        </is>
      </c>
      <c r="D17" s="17" t="n">
        <v>1950</v>
      </c>
      <c r="E17" s="5" t="inlineStr">
        <is>
          <t>Shyam</t>
        </is>
      </c>
      <c r="F17" s="5" t="inlineStr">
        <is>
          <t>Suresh</t>
        </is>
      </c>
      <c r="G17" s="5" t="inlineStr">
        <is>
          <t>Family</t>
        </is>
      </c>
      <c r="H17" s="5" t="inlineStr">
        <is>
          <t>Major</t>
        </is>
      </c>
      <c r="I17" s="5" t="inlineStr">
        <is>
          <t>Eldest brother in Pratap's family, and the one who objects to Shekhar abandoning the household.</t>
        </is>
      </c>
      <c r="J17" s="5" t="inlineStr">
        <is>
          <t>His own attachment to Dolly sets the family against itself.</t>
        </is>
      </c>
      <c r="K17" s="19" t="inlineStr">
        <is>
          <t>An officer in the British Indian Army who disapproves of his brother joining the INA and is in love with the spy Dolly D'Souza.</t>
        </is>
      </c>
      <c r="L17" s="5" t="n"/>
      <c r="M17" s="5" t="inlineStr">
        <is>
          <t>SOURCE-127</t>
        </is>
      </c>
    </row>
    <row r="18" ht="79" customHeight="1">
      <c r="A18" s="15" t="inlineStr">
        <is>
          <t>CAST-017</t>
        </is>
      </c>
      <c r="B18" s="18" t="inlineStr">
        <is>
          <t>FILM-003</t>
        </is>
      </c>
      <c r="C18" s="5" t="inlineStr">
        <is>
          <t>Samadhi</t>
        </is>
      </c>
      <c r="D18" s="17" t="n">
        <v>1950</v>
      </c>
      <c r="E18" s="5" t="inlineStr">
        <is>
          <t>Badri Prasad</t>
        </is>
      </c>
      <c r="F18" s="5" t="inlineStr">
        <is>
          <t>Ram Prasad</t>
        </is>
      </c>
      <c r="G18" s="5" t="inlineStr">
        <is>
          <t>Family</t>
        </is>
      </c>
      <c r="H18" s="5" t="inlineStr">
        <is>
          <t>Medium</t>
        </is>
      </c>
      <c r="I18" s="5" t="inlineStr">
        <is>
          <t>The blind father left in the boy Pratap's care when Shekhar goes to war; the pairing of the two is what gives Kapoor's child role its weight in the plot.</t>
        </is>
      </c>
      <c r="J18" s="5" t="inlineStr">
        <is>
          <t>No part in the romances.</t>
        </is>
      </c>
      <c r="K18" s="19" t="inlineStr">
        <is>
          <t>The blind father of the three brothers, left behind with his youngest son when Shekhar joins the Indian National Army.</t>
        </is>
      </c>
      <c r="L18" s="5" t="n"/>
      <c r="M18" s="5" t="inlineStr">
        <is>
          <t>SOURCE-127</t>
        </is>
      </c>
    </row>
    <row r="19" ht="49" customHeight="1">
      <c r="A19" s="15" t="inlineStr">
        <is>
          <t>CAST-018</t>
        </is>
      </c>
      <c r="B19" s="18" t="inlineStr">
        <is>
          <t>FILM-003</t>
        </is>
      </c>
      <c r="C19" s="5" t="inlineStr">
        <is>
          <t>Samadhi</t>
        </is>
      </c>
      <c r="D19" s="17" t="n">
        <v>1950</v>
      </c>
      <c r="E19" s="5" t="inlineStr">
        <is>
          <t>Collins</t>
        </is>
      </c>
      <c r="F19" s="5" t="inlineStr">
        <is>
          <t>"Netaji" Subhas Chandra Bose</t>
        </is>
      </c>
      <c r="G19" s="5" t="inlineStr">
        <is>
          <t>Authority figure</t>
        </is>
      </c>
      <c r="H19" s="5" t="inlineStr">
        <is>
          <t>Medium</t>
        </is>
      </c>
      <c r="I19" s="5" t="inlineStr">
        <is>
          <t>No scenes with Pratap.</t>
        </is>
      </c>
      <c r="J19" s="5" t="inlineStr">
        <is>
          <t>Outside the romance entirely.</t>
        </is>
      </c>
      <c r="K19" s="19" t="inlineStr">
        <is>
          <t>Subhas Chandra Bose, whose call to the youth of Malaya to join the Indian National Army, and whose auctioned garland, set the story in motion.</t>
        </is>
      </c>
      <c r="L19" s="5" t="n"/>
      <c r="M19" s="5" t="inlineStr">
        <is>
          <t>SOURCE-127</t>
        </is>
      </c>
    </row>
    <row r="20" ht="64" customHeight="1">
      <c r="A20" s="15" t="inlineStr">
        <is>
          <t>CAST-019</t>
        </is>
      </c>
      <c r="B20" s="18" t="inlineStr">
        <is>
          <t>FILM-004</t>
        </is>
      </c>
      <c r="C20" s="5" t="inlineStr">
        <is>
          <t>Awaara</t>
        </is>
      </c>
      <c r="D20" s="17" t="n">
        <v>1951</v>
      </c>
      <c r="E20" s="5" t="inlineStr">
        <is>
          <t>Raj Kapoor</t>
        </is>
      </c>
      <c r="F20" s="5" t="inlineStr">
        <is>
          <t>Raj "Raju"</t>
        </is>
      </c>
      <c r="G20" s="5" t="inlineStr">
        <is>
          <t>Co-lead</t>
        </is>
      </c>
      <c r="H20" s="5" t="inlineStr">
        <is>
          <t>Major</t>
        </is>
      </c>
      <c r="I20" s="5" t="inlineStr">
        <is>
          <t>The adult Raj; Kapoor plays his childhood, so the two halves of one character are divided between the brothers rather than acted together.</t>
        </is>
      </c>
      <c r="J20" s="5" t="inlineStr">
        <is>
          <t>Holds the film's romance with Rita, which begins in the schoolroom scenes Kapoor plays.</t>
        </is>
      </c>
      <c r="K20" s="19" t="inlineStr">
        <is>
          <t>Born on the streets after his mother is thrown out, drawn into theft by Jagga to feed her, grown into a skilled criminal who loves the judge's ward Rita and is finally tried for the attempted murder of the father who disowned him.</t>
        </is>
      </c>
      <c r="L20" s="5" t="n"/>
      <c r="M20" s="5" t="inlineStr">
        <is>
          <t>SOURCE-004</t>
        </is>
      </c>
    </row>
    <row r="21" ht="49" customHeight="1">
      <c r="A21" s="15" t="inlineStr">
        <is>
          <t>CAST-020</t>
        </is>
      </c>
      <c r="B21" s="18" t="inlineStr">
        <is>
          <t>FILM-004</t>
        </is>
      </c>
      <c r="C21" s="5" t="inlineStr">
        <is>
          <t>Awaara</t>
        </is>
      </c>
      <c r="D21" s="17" t="n">
        <v>1951</v>
      </c>
      <c r="E21" s="5" t="inlineStr">
        <is>
          <t>Nargis</t>
        </is>
      </c>
      <c r="F21" s="5" t="inlineStr">
        <is>
          <t>Rita</t>
        </is>
      </c>
      <c r="G21" s="5" t="inlineStr">
        <is>
          <t>Supporting</t>
        </is>
      </c>
      <c r="H21" s="5" t="inlineStr">
        <is>
          <t>Major</t>
        </is>
      </c>
      <c r="I21" s="5" t="inlineStr">
        <is>
          <t>Her childhood self is Kapoor's scene partner at school, before she moves away and the adult story resumes.</t>
        </is>
      </c>
      <c r="J21" s="5" t="inlineStr">
        <is>
          <t>The romance, and later the defence: she is both the beloved and the lawyer.</t>
        </is>
      </c>
      <c r="K21" s="19" t="inlineStr">
        <is>
          <t>Raj's schoolfriend, later a law student and ward of Judge Raghunath, who loves Raj knowing he is a thief and defends him at his trial.</t>
        </is>
      </c>
      <c r="L21" s="5" t="n"/>
      <c r="M21" s="5" t="inlineStr">
        <is>
          <t>SOURCE-004</t>
        </is>
      </c>
    </row>
    <row r="22" ht="79" customHeight="1">
      <c r="A22" s="15" t="inlineStr">
        <is>
          <t>CAST-021</t>
        </is>
      </c>
      <c r="B22" s="18" t="inlineStr">
        <is>
          <t>FILM-004</t>
        </is>
      </c>
      <c r="C22" s="5" t="inlineStr">
        <is>
          <t>Awaara</t>
        </is>
      </c>
      <c r="D22" s="17" t="n">
        <v>1951</v>
      </c>
      <c r="E22" s="5" t="inlineStr">
        <is>
          <t>Prithviraj Kapoor</t>
        </is>
      </c>
      <c r="F22" s="5" t="inlineStr">
        <is>
          <t>Judge Raghunath</t>
        </is>
      </c>
      <c r="G22" s="5" t="inlineStr">
        <is>
          <t>Family</t>
        </is>
      </c>
      <c r="H22" s="5" t="inlineStr">
        <is>
          <t>Major</t>
        </is>
      </c>
      <c r="I22" s="5" t="inlineStr">
        <is>
          <t>Father of the boy Kapoor plays, though he does not know it; his creed that criminals are born to criminals is the premise of the child's whole life.</t>
        </is>
      </c>
      <c r="J22" s="5" t="inlineStr">
        <is>
          <t>The obstacle: as Rita's guardian he is suspicious of a suitor who does not know his father.</t>
        </is>
      </c>
      <c r="K22" s="19" t="inlineStr">
        <is>
          <t>A wealthy district judge who holds that good people are born to good people and criminals to criminals, casts out his pregnant wife on a false suspicion, and unknowingly tries his own son.</t>
        </is>
      </c>
      <c r="L22" s="5" t="n"/>
      <c r="M22" s="5" t="inlineStr">
        <is>
          <t>SOURCE-004</t>
        </is>
      </c>
    </row>
    <row r="23" ht="49" customHeight="1">
      <c r="A23" s="15" t="inlineStr">
        <is>
          <t>CAST-022</t>
        </is>
      </c>
      <c r="B23" s="18" t="inlineStr">
        <is>
          <t>FILM-004</t>
        </is>
      </c>
      <c r="C23" s="5" t="inlineStr">
        <is>
          <t>Awaara</t>
        </is>
      </c>
      <c r="D23" s="17" t="n">
        <v>1951</v>
      </c>
      <c r="E23" s="5" t="inlineStr">
        <is>
          <t>K. N. Singh</t>
        </is>
      </c>
      <c r="F23" s="5" t="inlineStr">
        <is>
          <t>Jagga</t>
        </is>
      </c>
      <c r="G23" s="5" t="inlineStr">
        <is>
          <t>Antagonist</t>
        </is>
      </c>
      <c r="H23" s="5" t="inlineStr">
        <is>
          <t>Major</t>
        </is>
      </c>
      <c r="I23" s="5" t="inlineStr">
        <is>
          <t>Recruits the boy Kapoor plays into theft, making him the direct author of the child's ruin.</t>
        </is>
      </c>
      <c r="J23" s="5" t="inlineStr">
        <is>
          <t>Obstructs it later, mocking Raj's attempts to reform and pressing him back into crime.</t>
        </is>
      </c>
      <c r="K23" s="19" t="inlineStr">
        <is>
          <t>The son of a criminal, wrongly convicted by Raghunath, who avenges himself by abducting the judge's wife and then by turning the judge's son into a thief.</t>
        </is>
      </c>
      <c r="L23" s="5" t="n"/>
      <c r="M23" s="5" t="inlineStr">
        <is>
          <t>SOURCE-004</t>
        </is>
      </c>
    </row>
    <row r="24" ht="49" customHeight="1">
      <c r="A24" s="15" t="inlineStr">
        <is>
          <t>CAST-023</t>
        </is>
      </c>
      <c r="B24" s="18" t="inlineStr">
        <is>
          <t>FILM-004</t>
        </is>
      </c>
      <c r="C24" s="5" t="inlineStr">
        <is>
          <t>Awaara</t>
        </is>
      </c>
      <c r="D24" s="17" t="n">
        <v>1951</v>
      </c>
      <c r="E24" s="5" t="inlineStr">
        <is>
          <t>Leela Chitnis</t>
        </is>
      </c>
      <c r="F24" s="5" t="inlineStr">
        <is>
          <t>Leela</t>
        </is>
      </c>
      <c r="G24" s="5" t="inlineStr">
        <is>
          <t>Family</t>
        </is>
      </c>
      <c r="H24" s="5" t="inlineStr">
        <is>
          <t>Major</t>
        </is>
      </c>
      <c r="I24" s="5" t="inlineStr">
        <is>
          <t>Mother of the boy Kapoor plays, and the reason the child steals; the starving mother is Jagga's lever.</t>
        </is>
      </c>
      <c r="J24" s="5" t="inlineStr">
        <is>
          <t>No part in the romance.</t>
        </is>
      </c>
      <c r="K24" s="19" t="inlineStr">
        <is>
          <t>Raghunath's wife, abducted by Jagga and cast out on suspicion of adultery, who gives birth to Raj on the streets and raises him in poverty believing he is a businessman.</t>
        </is>
      </c>
      <c r="L24" s="5" t="n"/>
      <c r="M24" s="5" t="inlineStr">
        <is>
          <t>SOURCE-004</t>
        </is>
      </c>
    </row>
    <row r="25" ht="49" customHeight="1">
      <c r="A25" s="15" t="inlineStr">
        <is>
          <t>CAST-024</t>
        </is>
      </c>
      <c r="B25" s="18" t="inlineStr">
        <is>
          <t>FILM-004</t>
        </is>
      </c>
      <c r="C25" s="5" t="inlineStr">
        <is>
          <t>Awaara</t>
        </is>
      </c>
      <c r="D25" s="17" t="n">
        <v>1951</v>
      </c>
      <c r="E25" s="5" t="inlineStr">
        <is>
          <t>Baby Zubeida</t>
        </is>
      </c>
      <c r="F25" s="5" t="inlineStr">
        <is>
          <t>Young Rita</t>
        </is>
      </c>
      <c r="G25" s="5" t="inlineStr">
        <is>
          <t>Friend</t>
        </is>
      </c>
      <c r="H25" s="5" t="inlineStr">
        <is>
          <t>Medium</t>
        </is>
      </c>
      <c r="I25" s="5" t="inlineStr">
        <is>
          <t>The boy Raj's schoolfriend and Kapoor's principal scene partner in the child section.</t>
        </is>
      </c>
      <c r="J25" s="5" t="inlineStr">
        <is>
          <t>Plants the attachment: the birthday picture Raj keeps into adulthood is of her.</t>
        </is>
      </c>
      <c r="K25" s="19" t="inlineStr">
        <is>
          <t>Raj's schoolfriend, who moves to another city after he is removed from the school rolls, and whose birthday photograph he keeps for years.</t>
        </is>
      </c>
      <c r="L25" s="5" t="n"/>
      <c r="M25" s="5" t="inlineStr">
        <is>
          <t>SOURCE-004</t>
        </is>
      </c>
    </row>
    <row r="26" ht="79" customHeight="1">
      <c r="A26" s="15" t="inlineStr">
        <is>
          <t>CAST-025</t>
        </is>
      </c>
      <c r="B26" s="18" t="inlineStr">
        <is>
          <t>FILM-005</t>
        </is>
      </c>
      <c r="C26" s="5" t="inlineStr">
        <is>
          <t>Daana Paani</t>
        </is>
      </c>
      <c r="D26" s="17" t="n">
        <v>1953</v>
      </c>
      <c r="E26" s="5" t="inlineStr">
        <is>
          <t>Bharat Bhushan</t>
        </is>
      </c>
      <c r="F26" s="5" t="n"/>
      <c r="G26" s="5" t="inlineStr">
        <is>
          <t>Co-lead</t>
        </is>
      </c>
      <c r="H26" s="5" t="inlineStr">
        <is>
          <t>Major</t>
        </is>
      </c>
      <c r="I26" s="5" t="inlineStr">
        <is>
          <t>Not documented. The film article carries no plot section and no character names, so the relation of the fifteen-year-old Kapoor's part to the leads cannot be stated.</t>
        </is>
      </c>
      <c r="J26" s="5" t="inlineStr">
        <is>
          <t>Not documented.</t>
        </is>
      </c>
      <c r="K26" s="19" t="inlineStr">
        <is>
          <t>Billed first in a vehicle built for Bharat Bhushan and Meena Kumari after the success of Baiju Bawra. The article gives no character name and no plot, so nothing further is recorded.</t>
        </is>
      </c>
      <c r="L26" s="5" t="n"/>
      <c r="M26" s="5" t="inlineStr">
        <is>
          <t>SOURCE-005</t>
        </is>
      </c>
    </row>
    <row r="27" ht="49" customHeight="1">
      <c r="A27" s="15" t="inlineStr">
        <is>
          <t>CAST-026</t>
        </is>
      </c>
      <c r="B27" s="18" t="inlineStr">
        <is>
          <t>FILM-005</t>
        </is>
      </c>
      <c r="C27" s="5" t="inlineStr">
        <is>
          <t>Daana Paani</t>
        </is>
      </c>
      <c r="D27" s="17" t="n">
        <v>1953</v>
      </c>
      <c r="E27" s="5" t="inlineStr">
        <is>
          <t>Meena Kumari</t>
        </is>
      </c>
      <c r="F27" s="5" t="n"/>
      <c r="G27" s="5" t="inlineStr">
        <is>
          <t>Co-lead</t>
        </is>
      </c>
      <c r="H27" s="5" t="inlineStr">
        <is>
          <t>Major</t>
        </is>
      </c>
      <c r="I27" s="5" t="inlineStr">
        <is>
          <t>Not documented; the article gives no plot and no character names.</t>
        </is>
      </c>
      <c r="J27" s="5" t="inlineStr">
        <is>
          <t>Not documented.</t>
        </is>
      </c>
      <c r="K27" s="19" t="inlineStr">
        <is>
          <t>The female lead opposite Bharat Bhushan, uncharacterised in the article, which lists the cast without character names or a synopsis.</t>
        </is>
      </c>
      <c r="L27" s="5" t="n"/>
      <c r="M27" s="5" t="inlineStr">
        <is>
          <t>SOURCE-005</t>
        </is>
      </c>
    </row>
    <row r="28" ht="94" customHeight="1">
      <c r="A28" s="15" t="inlineStr">
        <is>
          <t>CAST-027</t>
        </is>
      </c>
      <c r="B28" s="18" t="inlineStr">
        <is>
          <t>FILM-007</t>
        </is>
      </c>
      <c r="C28" s="5" t="inlineStr">
        <is>
          <t>Dharmputra</t>
        </is>
      </c>
      <c r="D28" s="17" t="n">
        <v>1961</v>
      </c>
      <c r="E28" s="5" t="inlineStr">
        <is>
          <t>Mala Sinha</t>
        </is>
      </c>
      <c r="F28" s="5" t="inlineStr">
        <is>
          <t>Husn Bano</t>
        </is>
      </c>
      <c r="G28" s="5" t="inlineStr">
        <is>
          <t>Co-lead</t>
        </is>
      </c>
      <c r="H28" s="5" t="inlineStr">
        <is>
          <t>Major</t>
        </is>
      </c>
      <c r="I28" s="5" t="inlineStr">
        <is>
          <t>Dilip's birth mother, who gave him up and returns years later to find the child she left has become a Muslim-hating extremist; the film's central question is whether the two can face each other.</t>
        </is>
      </c>
      <c r="J28" s="5" t="inlineStr">
        <is>
          <t>Not a romantic partner to Kapoor's character. Her own affair with Javed is the film's romance, and it belongs to the generation before.</t>
        </is>
      </c>
      <c r="K28" s="19" t="inlineStr">
        <is>
          <t>A nawab's daughter who bears Javed's child out of wedlock, gives the boy to the Rai family, later marries Javed, and comes home to a son who has become a communal fanatic.</t>
        </is>
      </c>
      <c r="L28" s="5" t="n"/>
      <c r="M28" s="5" t="inlineStr">
        <is>
          <t>SOURCE-006</t>
        </is>
      </c>
    </row>
    <row r="29" ht="49" customHeight="1">
      <c r="A29" s="15" t="inlineStr">
        <is>
          <t>CAST-028</t>
        </is>
      </c>
      <c r="B29" s="18" t="inlineStr">
        <is>
          <t>FILM-007</t>
        </is>
      </c>
      <c r="C29" s="5" t="inlineStr">
        <is>
          <t>Dharmputra</t>
        </is>
      </c>
      <c r="D29" s="17" t="n">
        <v>1961</v>
      </c>
      <c r="E29" s="5" t="inlineStr">
        <is>
          <t>Rehman</t>
        </is>
      </c>
      <c r="F29" s="5" t="inlineStr">
        <is>
          <t>Javed</t>
        </is>
      </c>
      <c r="G29" s="5" t="inlineStr">
        <is>
          <t>Family</t>
        </is>
      </c>
      <c r="H29" s="5" t="inlineStr">
        <is>
          <t>Major</t>
        </is>
      </c>
      <c r="I29" s="5" t="inlineStr">
        <is>
          <t>Dilip's birth father, absent for the whole of his upbringing.</t>
        </is>
      </c>
      <c r="J29" s="5" t="inlineStr">
        <is>
          <t>The other half of the film's one romance, with Husn Bano.</t>
        </is>
      </c>
      <c r="K29" s="19" t="inlineStr">
        <is>
          <t>The young man who fathers Husn Bano's child and disappears when marriage is proposed, then returns, marries her, and comes back with her to the Rai household years later.</t>
        </is>
      </c>
      <c r="L29" s="5" t="n"/>
      <c r="M29" s="5" t="inlineStr">
        <is>
          <t>SOURCE-006</t>
        </is>
      </c>
    </row>
    <row r="30" ht="64" customHeight="1">
      <c r="A30" s="15" t="inlineStr">
        <is>
          <t>CAST-029</t>
        </is>
      </c>
      <c r="B30" s="18" t="inlineStr">
        <is>
          <t>FILM-007</t>
        </is>
      </c>
      <c r="C30" s="5" t="inlineStr">
        <is>
          <t>Dharmputra</t>
        </is>
      </c>
      <c r="D30" s="17" t="n">
        <v>1961</v>
      </c>
      <c r="E30" s="5" t="inlineStr">
        <is>
          <t>Manmohan Krishna</t>
        </is>
      </c>
      <c r="F30" s="5" t="inlineStr">
        <is>
          <t>Dr. Amrit Rai</t>
        </is>
      </c>
      <c r="G30" s="5" t="inlineStr">
        <is>
          <t>Family</t>
        </is>
      </c>
      <c r="H30" s="5" t="inlineStr">
        <is>
          <t>Major</t>
        </is>
      </c>
      <c r="I30" s="5" t="inlineStr">
        <is>
          <t>The adoptive father who gives Dilip his name and raises him as a Hindu, which is the irony the plot turns on.</t>
        </is>
      </c>
      <c r="J30" s="5" t="inlineStr">
        <is>
          <t>No romantic function.</t>
        </is>
      </c>
      <c r="K30" s="19" t="inlineStr">
        <is>
          <t>The Hindu neighbour and friend of the Nawab who helps deliver Husn Bano's son, adopts him and gives him the Rai family name.</t>
        </is>
      </c>
      <c r="L30" s="5" t="n"/>
      <c r="M30" s="5" t="inlineStr">
        <is>
          <t>SOURCE-006</t>
        </is>
      </c>
    </row>
    <row r="31" ht="34" customHeight="1">
      <c r="A31" s="15" t="inlineStr">
        <is>
          <t>CAST-030</t>
        </is>
      </c>
      <c r="B31" s="18" t="inlineStr">
        <is>
          <t>FILM-007</t>
        </is>
      </c>
      <c r="C31" s="5" t="inlineStr">
        <is>
          <t>Dharmputra</t>
        </is>
      </c>
      <c r="D31" s="17" t="n">
        <v>1961</v>
      </c>
      <c r="E31" s="5" t="inlineStr">
        <is>
          <t>Nirupa Roy</t>
        </is>
      </c>
      <c r="F31" s="5" t="inlineStr">
        <is>
          <t>Mrs. Savitri Amrit Rai</t>
        </is>
      </c>
      <c r="G31" s="5" t="inlineStr">
        <is>
          <t>Family</t>
        </is>
      </c>
      <c r="H31" s="5" t="inlineStr">
        <is>
          <t>Major</t>
        </is>
      </c>
      <c r="I31" s="5" t="inlineStr">
        <is>
          <t>The adoptive mother who raises Dilip as her own son.</t>
        </is>
      </c>
      <c r="J31" s="5" t="inlineStr">
        <is>
          <t>No romantic function.</t>
        </is>
      </c>
      <c r="K31" s="19" t="inlineStr">
        <is>
          <t>Amrit Rai's wife, who assists at the birth of Husn Bano's child and brings him up as a Rai.</t>
        </is>
      </c>
      <c r="L31" s="5" t="n"/>
      <c r="M31" s="5" t="inlineStr">
        <is>
          <t>SOURCE-006</t>
        </is>
      </c>
    </row>
    <row r="32" ht="64" customHeight="1">
      <c r="A32" s="15" t="inlineStr">
        <is>
          <t>CAST-031</t>
        </is>
      </c>
      <c r="B32" s="18" t="inlineStr">
        <is>
          <t>FILM-007</t>
        </is>
      </c>
      <c r="C32" s="5" t="inlineStr">
        <is>
          <t>Dharmputra</t>
        </is>
      </c>
      <c r="D32" s="17" t="n">
        <v>1961</v>
      </c>
      <c r="E32" s="5" t="inlineStr">
        <is>
          <t>Ashok Kumar</t>
        </is>
      </c>
      <c r="F32" s="5" t="inlineStr">
        <is>
          <t>Nawab Badruddin</t>
        </is>
      </c>
      <c r="G32" s="5" t="inlineStr">
        <is>
          <t>Family</t>
        </is>
      </c>
      <c r="H32" s="5" t="inlineStr">
        <is>
          <t>Medium</t>
        </is>
      </c>
      <c r="I32" s="5" t="inlineStr">
        <is>
          <t>Dilip's maternal grandfather, dead before the grown Dilip's story begins; he is killed protesting against British rule.</t>
        </is>
      </c>
      <c r="J32" s="5" t="inlineStr">
        <is>
          <t>Tries to arrange his daughter's marriage to Javed and finds the man gone.</t>
        </is>
      </c>
      <c r="K32" s="19" t="inlineStr">
        <is>
          <t>The Muslim nobleman whose family shares a house with the Rais, who seeks to marry his pregnant daughter to Javed and is killed during an independence protest. Played uncredited.</t>
        </is>
      </c>
      <c r="L32" s="5" t="n"/>
      <c r="M32" s="5" t="inlineStr">
        <is>
          <t>SOURCE-006</t>
        </is>
      </c>
    </row>
    <row r="33" ht="49" customHeight="1">
      <c r="A33" s="15" t="inlineStr">
        <is>
          <t>CAST-032</t>
        </is>
      </c>
      <c r="B33" s="18" t="inlineStr">
        <is>
          <t>FILM-007</t>
        </is>
      </c>
      <c r="C33" s="5" t="inlineStr">
        <is>
          <t>Dharmputra</t>
        </is>
      </c>
      <c r="D33" s="17" t="n">
        <v>1961</v>
      </c>
      <c r="E33" s="5" t="inlineStr">
        <is>
          <t>Indrani Mukherjee</t>
        </is>
      </c>
      <c r="F33" s="5" t="inlineStr">
        <is>
          <t>Meena</t>
        </is>
      </c>
      <c r="G33" s="5" t="inlineStr">
        <is>
          <t>Supporting</t>
        </is>
      </c>
      <c r="H33" s="5" t="inlineStr">
        <is>
          <t>Medium</t>
        </is>
      </c>
      <c r="I33" s="5" t="inlineStr">
        <is>
          <t>Credited in Dilip's circle, but the article's storyline does not set out her part in it.</t>
        </is>
      </c>
      <c r="J33" s="5" t="inlineStr">
        <is>
          <t>The article develops no romance for Kapoor's character; romance presence is recorded as None for the film.</t>
        </is>
      </c>
      <c r="K33" s="19" t="inlineStr">
        <is>
          <t>Credited as Meena, with Leela Chitnis as her mother. The article's summary of the story does not describe her, so no more is recorded.</t>
        </is>
      </c>
      <c r="L33" s="5" t="n"/>
      <c r="M33" s="5" t="inlineStr">
        <is>
          <t>SOURCE-006</t>
        </is>
      </c>
    </row>
    <row r="34" ht="79" customHeight="1">
      <c r="A34" s="15" t="inlineStr">
        <is>
          <t>CAST-033</t>
        </is>
      </c>
      <c r="B34" s="18" t="inlineStr">
        <is>
          <t>FILM-008</t>
        </is>
      </c>
      <c r="C34" s="5" t="inlineStr">
        <is>
          <t>Prem Patra</t>
        </is>
      </c>
      <c r="D34" s="17" t="n">
        <v>1962</v>
      </c>
      <c r="E34" s="5" t="inlineStr">
        <is>
          <t>Sadhana</t>
        </is>
      </c>
      <c r="F34" s="5" t="inlineStr">
        <is>
          <t>Kavita Kapoor / Tara Choudhary</t>
        </is>
      </c>
      <c r="G34" s="5" t="inlineStr">
        <is>
          <t>Co-lead</t>
        </is>
      </c>
      <c r="H34" s="5" t="inlineStr">
        <is>
          <t>Major</t>
        </is>
      </c>
      <c r="I34" s="5" t="inlineStr">
        <is>
          <t>The female lead opposite Kapoor's Arun, in a double part. The article has no plot section, so how the two identities relate to him is not documented.</t>
        </is>
      </c>
      <c r="J34" s="5" t="inlineStr">
        <is>
          <t>The romance of a film titled 'the love letter' and described as a romantic drama, but the article records nothing of its course.</t>
        </is>
      </c>
      <c r="K34" s="19" t="inlineStr">
        <is>
          <t>A double role, credited as Kavita Kapoor and Tara Choudhary. Seema Deo is separately credited as a Tara Choudhary, which the article does not explain.</t>
        </is>
      </c>
      <c r="L34" s="5" t="n"/>
      <c r="M34" s="5" t="inlineStr">
        <is>
          <t>SOURCE-007</t>
        </is>
      </c>
    </row>
    <row r="35" ht="64" customHeight="1">
      <c r="A35" s="15" t="inlineStr">
        <is>
          <t>CAST-034</t>
        </is>
      </c>
      <c r="B35" s="18" t="inlineStr">
        <is>
          <t>FILM-008</t>
        </is>
      </c>
      <c r="C35" s="5" t="inlineStr">
        <is>
          <t>Prem Patra</t>
        </is>
      </c>
      <c r="D35" s="17" t="n">
        <v>1962</v>
      </c>
      <c r="E35" s="5" t="inlineStr">
        <is>
          <t>Kanu Roy</t>
        </is>
      </c>
      <c r="F35" s="5" t="inlineStr">
        <is>
          <t>Barrister Kapoor</t>
        </is>
      </c>
      <c r="G35" s="5" t="inlineStr">
        <is>
          <t>Family</t>
        </is>
      </c>
      <c r="H35" s="5" t="inlineStr">
        <is>
          <t>Medium</t>
        </is>
      </c>
      <c r="I35" s="5" t="inlineStr">
        <is>
          <t>Not documented; the shared surname suggests a connection to Kavita Kapoor, but the article carries no plot to confirm it.</t>
        </is>
      </c>
      <c r="J35" s="5" t="inlineStr">
        <is>
          <t>Not documented.</t>
        </is>
      </c>
      <c r="K35" s="19" t="inlineStr">
        <is>
          <t>Credited as Barrister Kapoor. The article gives no plot section, so the part's function is unrecorded.</t>
        </is>
      </c>
      <c r="L35" s="5" t="n"/>
      <c r="M35" s="5" t="inlineStr">
        <is>
          <t>SOURCE-007</t>
        </is>
      </c>
    </row>
    <row r="36" ht="49" customHeight="1">
      <c r="A36" s="15" t="inlineStr">
        <is>
          <t>CAST-035</t>
        </is>
      </c>
      <c r="B36" s="18" t="inlineStr">
        <is>
          <t>FILM-008</t>
        </is>
      </c>
      <c r="C36" s="5" t="inlineStr">
        <is>
          <t>Prem Patra</t>
        </is>
      </c>
      <c r="D36" s="17" t="n">
        <v>1962</v>
      </c>
      <c r="E36" s="5" t="inlineStr">
        <is>
          <t>Seema Deo</t>
        </is>
      </c>
      <c r="F36" s="5" t="inlineStr">
        <is>
          <t>Tara Choudhary</t>
        </is>
      </c>
      <c r="G36" s="5" t="inlineStr">
        <is>
          <t>Supporting</t>
        </is>
      </c>
      <c r="H36" s="5" t="inlineStr">
        <is>
          <t>Medium</t>
        </is>
      </c>
      <c r="I36" s="5" t="inlineStr">
        <is>
          <t>Not documented.</t>
        </is>
      </c>
      <c r="J36" s="5" t="inlineStr">
        <is>
          <t>Not documented.</t>
        </is>
      </c>
      <c r="K36" s="19" t="inlineStr">
        <is>
          <t>Credited as Tara Choudhary, the same name given as Sadhana's second identity. With no plot section the article leaves the duplication unexplained.</t>
        </is>
      </c>
      <c r="L36" s="5" t="n"/>
      <c r="M36" s="5" t="inlineStr">
        <is>
          <t>SOURCE-007</t>
        </is>
      </c>
    </row>
    <row r="37" ht="49" customHeight="1">
      <c r="A37" s="15" t="inlineStr">
        <is>
          <t>CAST-036</t>
        </is>
      </c>
      <c r="B37" s="18" t="inlineStr">
        <is>
          <t>FILM-008</t>
        </is>
      </c>
      <c r="C37" s="5" t="inlineStr">
        <is>
          <t>Prem Patra</t>
        </is>
      </c>
      <c r="D37" s="17" t="n">
        <v>1962</v>
      </c>
      <c r="E37" s="5" t="inlineStr">
        <is>
          <t>Rajendra Nath</t>
        </is>
      </c>
      <c r="F37" s="5" t="inlineStr">
        <is>
          <t>Kedar</t>
        </is>
      </c>
      <c r="G37" s="5" t="inlineStr">
        <is>
          <t>Comic support</t>
        </is>
      </c>
      <c r="H37" s="5" t="inlineStr">
        <is>
          <t>Medium</t>
        </is>
      </c>
      <c r="I37" s="5" t="inlineStr">
        <is>
          <t>Not documented.</t>
        </is>
      </c>
      <c r="J37" s="5" t="inlineStr">
        <is>
          <t>Not documented.</t>
        </is>
      </c>
      <c r="K37" s="19" t="inlineStr">
        <is>
          <t>Credited as Kedar. Rajendra Nath's standing role in this period is comic support, but the article carries no plot to confirm the function here.</t>
        </is>
      </c>
      <c r="L37" s="5" t="n"/>
      <c r="M37" s="5" t="inlineStr">
        <is>
          <t>SOURCE-007</t>
        </is>
      </c>
    </row>
    <row r="38" ht="64" customHeight="1">
      <c r="A38" s="15" t="inlineStr">
        <is>
          <t>CAST-037</t>
        </is>
      </c>
      <c r="B38" s="18" t="inlineStr">
        <is>
          <t>FILM-010</t>
        </is>
      </c>
      <c r="C38" s="5" t="inlineStr">
        <is>
          <t>The Householder</t>
        </is>
      </c>
      <c r="D38" s="17" t="n">
        <v>1963</v>
      </c>
      <c r="E38" s="5" t="inlineStr">
        <is>
          <t>Leela Naidu</t>
        </is>
      </c>
      <c r="F38" s="5" t="inlineStr">
        <is>
          <t>Indu</t>
        </is>
      </c>
      <c r="G38" s="5" t="inlineStr">
        <is>
          <t>Co-lead</t>
        </is>
      </c>
      <c r="H38" s="5" t="inlineStr">
        <is>
          <t>Major</t>
        </is>
      </c>
      <c r="I38" s="5" t="inlineStr">
        <is>
          <t>Prem's wife by arranged marriage, and the person he is learning to be married to; her departure is the crisis of the film.</t>
        </is>
      </c>
      <c r="J38" s="5" t="inlineStr">
        <is>
          <t>The whole of it. The film is about a marriage acquiring affection after the fact rather than a courtship.</t>
        </is>
      </c>
      <c r="K38" s="19" t="inlineStr">
        <is>
          <t>A young wife in an arranged marriage who cannot manage her mother-in-law's interference in the household and returns to her own family, leaving Prem to work out what a husband is.</t>
        </is>
      </c>
      <c r="L38" s="5" t="n"/>
      <c r="M38" s="5" t="inlineStr">
        <is>
          <t>SOURCE-008</t>
        </is>
      </c>
    </row>
    <row r="39" ht="49" customHeight="1">
      <c r="A39" s="15" t="inlineStr">
        <is>
          <t>CAST-038</t>
        </is>
      </c>
      <c r="B39" s="18" t="inlineStr">
        <is>
          <t>FILM-010</t>
        </is>
      </c>
      <c r="C39" s="5" t="inlineStr">
        <is>
          <t>The Householder</t>
        </is>
      </c>
      <c r="D39" s="17" t="n">
        <v>1963</v>
      </c>
      <c r="E39" s="5" t="inlineStr">
        <is>
          <t>Durga Khote</t>
        </is>
      </c>
      <c r="F39" s="5" t="inlineStr">
        <is>
          <t>Prem's mother</t>
        </is>
      </c>
      <c r="G39" s="5" t="inlineStr">
        <is>
          <t>Family</t>
        </is>
      </c>
      <c r="H39" s="5" t="inlineStr">
        <is>
          <t>Major</t>
        </is>
      </c>
      <c r="I39" s="5" t="inlineStr">
        <is>
          <t>His mother, and the presence whose arrival unsettles the marriage he is still learning.</t>
        </is>
      </c>
      <c r="J39" s="5" t="inlineStr">
        <is>
          <t>The principal obstacle, and an internal rather than a villainous one: her interference drives Indu out.</t>
        </is>
      </c>
      <c r="K39" s="19" t="inlineStr">
        <is>
          <t>Prem's widowed mother, whose arrival in the young couple's home and management of it spells doom to their budding relationship.</t>
        </is>
      </c>
      <c r="L39" s="5" t="n"/>
      <c r="M39" s="5" t="inlineStr">
        <is>
          <t>SOURCE-008</t>
        </is>
      </c>
    </row>
    <row r="40" ht="49" customHeight="1">
      <c r="A40" s="15" t="inlineStr">
        <is>
          <t>CAST-039</t>
        </is>
      </c>
      <c r="B40" s="18" t="inlineStr">
        <is>
          <t>FILM-010</t>
        </is>
      </c>
      <c r="C40" s="5" t="inlineStr">
        <is>
          <t>The Householder</t>
        </is>
      </c>
      <c r="D40" s="17" t="n">
        <v>1963</v>
      </c>
      <c r="E40" s="5" t="inlineStr">
        <is>
          <t>Pahari Sanyal</t>
        </is>
      </c>
      <c r="F40" s="5" t="inlineStr">
        <is>
          <t>Swami</t>
        </is>
      </c>
      <c r="G40" s="5" t="inlineStr">
        <is>
          <t>Mentor</t>
        </is>
      </c>
      <c r="H40" s="5" t="inlineStr">
        <is>
          <t>Medium</t>
        </is>
      </c>
      <c r="I40" s="5" t="inlineStr">
        <is>
          <t>One of the several people Prem consults, and the one the article credits with the answer.</t>
        </is>
      </c>
      <c r="J40" s="5" t="inlineStr">
        <is>
          <t>Supplies the insight that lets Prem love his wife.</t>
        </is>
      </c>
      <c r="K40" s="19" t="inlineStr">
        <is>
          <t>A swami among the figures Prem turns to for guidance, who reveals to him what makes a marriage work.</t>
        </is>
      </c>
      <c r="L40" s="5" t="n"/>
      <c r="M40" s="5" t="inlineStr">
        <is>
          <t>SOURCE-008</t>
        </is>
      </c>
    </row>
    <row r="41" ht="49" customHeight="1">
      <c r="A41" s="15" t="inlineStr">
        <is>
          <t>CAST-040</t>
        </is>
      </c>
      <c r="B41" s="18" t="inlineStr">
        <is>
          <t>FILM-010</t>
        </is>
      </c>
      <c r="C41" s="5" t="inlineStr">
        <is>
          <t>The Householder</t>
        </is>
      </c>
      <c r="D41" s="17" t="n">
        <v>1963</v>
      </c>
      <c r="E41" s="5" t="inlineStr">
        <is>
          <t>Harindranath Chattopadhyay</t>
        </is>
      </c>
      <c r="F41" s="5" t="inlineStr">
        <is>
          <t>Mr. Chadda</t>
        </is>
      </c>
      <c r="G41" s="5" t="inlineStr">
        <is>
          <t>Supporting</t>
        </is>
      </c>
      <c r="H41" s="5" t="inlineStr">
        <is>
          <t>Medium</t>
        </is>
      </c>
      <c r="I41" s="5" t="inlineStr">
        <is>
          <t>Among the people Prem consults about his marriage in the course of the film.</t>
        </is>
      </c>
      <c r="J41" s="5" t="inlineStr">
        <is>
          <t>Indirect: one of the sources of advice that shapes his idea of a husband.</t>
        </is>
      </c>
      <c r="K41" s="19" t="inlineStr">
        <is>
          <t>One of the figures in the Delhi world around Prem whom he approaches while trying to understand his marriage.</t>
        </is>
      </c>
      <c r="L41" s="5" t="n"/>
      <c r="M41" s="5" t="inlineStr">
        <is>
          <t>SOURCE-008</t>
        </is>
      </c>
    </row>
    <row r="42" ht="49" customHeight="1">
      <c r="A42" s="15" t="inlineStr">
        <is>
          <t>CAST-041</t>
        </is>
      </c>
      <c r="B42" s="18" t="inlineStr">
        <is>
          <t>FILM-010</t>
        </is>
      </c>
      <c r="C42" s="5" t="inlineStr">
        <is>
          <t>The Householder</t>
        </is>
      </c>
      <c r="D42" s="17" t="n">
        <v>1963</v>
      </c>
      <c r="E42" s="5" t="inlineStr">
        <is>
          <t>Romesh Thapar</t>
        </is>
      </c>
      <c r="F42" s="5" t="inlineStr">
        <is>
          <t>Mr. Khanna</t>
        </is>
      </c>
      <c r="G42" s="5" t="inlineStr">
        <is>
          <t>Authority figure</t>
        </is>
      </c>
      <c r="H42" s="5" t="inlineStr">
        <is>
          <t>Medium</t>
        </is>
      </c>
      <c r="I42" s="5" t="inlineStr">
        <is>
          <t>The principal of the private college where Prem teaches, and so his employer.</t>
        </is>
      </c>
      <c r="J42" s="5" t="inlineStr">
        <is>
          <t>No direct part, beyond the precariousness of the job Prem is supporting a wife on.</t>
        </is>
      </c>
      <c r="K42" s="19" t="inlineStr">
        <is>
          <t>The principal of the private Delhi college where Prem Sagar teaches, credited with Indu Lele as Mrs. Khanna.</t>
        </is>
      </c>
      <c r="L42" s="5" t="n"/>
      <c r="M42" s="5" t="inlineStr">
        <is>
          <t>SOURCE-008</t>
        </is>
      </c>
    </row>
    <row r="43" ht="49" customHeight="1">
      <c r="A43" s="15" t="inlineStr">
        <is>
          <t>CAST-042</t>
        </is>
      </c>
      <c r="B43" s="18" t="inlineStr">
        <is>
          <t>FILM-010</t>
        </is>
      </c>
      <c r="C43" s="5" t="inlineStr">
        <is>
          <t>The Householder</t>
        </is>
      </c>
      <c r="D43" s="17" t="n">
        <v>1963</v>
      </c>
      <c r="E43" s="5" t="inlineStr">
        <is>
          <t>Achala Sachdev</t>
        </is>
      </c>
      <c r="F43" s="5" t="inlineStr">
        <is>
          <t>Mrs. Saigal</t>
        </is>
      </c>
      <c r="G43" s="5" t="inlineStr">
        <is>
          <t>Supporting</t>
        </is>
      </c>
      <c r="H43" s="5" t="inlineStr">
        <is>
          <t>Minor</t>
        </is>
      </c>
      <c r="I43" s="5" t="inlineStr">
        <is>
          <t>A figure in the couple's social circle; the article's short synopsis does not detail the part.</t>
        </is>
      </c>
      <c r="J43" s="5" t="inlineStr">
        <is>
          <t>Not detailed by the article.</t>
        </is>
      </c>
      <c r="K43" s="19" t="inlineStr">
        <is>
          <t>Credited as Mrs. Saigal, with Pinchoo Kapoor as Mr. Saigal, in the Delhi milieu around the young couple.</t>
        </is>
      </c>
      <c r="L43" s="5" t="n"/>
      <c r="M43" s="5" t="inlineStr">
        <is>
          <t>SOURCE-008</t>
        </is>
      </c>
    </row>
    <row r="44" ht="64" customHeight="1">
      <c r="A44" s="15" t="inlineStr">
        <is>
          <t>CAST-043</t>
        </is>
      </c>
      <c r="B44" s="18" t="inlineStr">
        <is>
          <t>FILM-011</t>
        </is>
      </c>
      <c r="C44" s="5" t="inlineStr">
        <is>
          <t>Yeh Dil Kisko Doon</t>
        </is>
      </c>
      <c r="D44" s="17" t="n">
        <v>1963</v>
      </c>
      <c r="E44" s="5" t="inlineStr">
        <is>
          <t>Ragini</t>
        </is>
      </c>
      <c r="F44" s="5" t="inlineStr">
        <is>
          <t>Sherry</t>
        </is>
      </c>
      <c r="G44" s="5" t="inlineStr">
        <is>
          <t>Co-lead</t>
        </is>
      </c>
      <c r="H44" s="5" t="inlineStr">
        <is>
          <t>Major</t>
        </is>
      </c>
      <c r="I44" s="5" t="inlineStr">
        <is>
          <t>The female lead opposite Kapoor's Anand. The article has no plot section, so the course of the romance is undocumented.</t>
        </is>
      </c>
      <c r="J44" s="5" t="inlineStr">
        <is>
          <t>The romance of a film titled 'to whom should I give this heart' and described as a romantic comedy, though nothing of its shape is recorded.</t>
        </is>
      </c>
      <c r="K44" s="19" t="inlineStr">
        <is>
          <t>Credited as Sherry, the female lead. The article carries a cast list and no synopsis, so the part is not characterised.</t>
        </is>
      </c>
      <c r="L44" s="5" t="n"/>
      <c r="M44" s="5" t="inlineStr">
        <is>
          <t>SOURCE-009</t>
        </is>
      </c>
    </row>
    <row r="45" ht="79" customHeight="1">
      <c r="A45" s="15" t="inlineStr">
        <is>
          <t>CAST-044</t>
        </is>
      </c>
      <c r="B45" s="18" t="inlineStr">
        <is>
          <t>FILM-011</t>
        </is>
      </c>
      <c r="C45" s="5" t="inlineStr">
        <is>
          <t>Yeh Dil Kisko Doon</t>
        </is>
      </c>
      <c r="D45" s="17" t="n">
        <v>1963</v>
      </c>
      <c r="E45" s="5" t="inlineStr">
        <is>
          <t>Agha</t>
        </is>
      </c>
      <c r="F45" s="5" t="inlineStr">
        <is>
          <t>Raja / Pandu</t>
        </is>
      </c>
      <c r="G45" s="5" t="inlineStr">
        <is>
          <t>Comic support</t>
        </is>
      </c>
      <c r="H45" s="5" t="inlineStr">
        <is>
          <t>Medium</t>
        </is>
      </c>
      <c r="I45" s="5" t="inlineStr">
        <is>
          <t>Not documented. Agha's double credit includes a Raja, which is also Kapoor's second identity; with no plot the article leaves the overlap unexplained.</t>
        </is>
      </c>
      <c r="J45" s="5" t="inlineStr">
        <is>
          <t>Not documented.</t>
        </is>
      </c>
      <c r="K45" s="19" t="inlineStr">
        <is>
          <t>A double credit, Raja and Pandu, in a film whose own lead also carries a Raja identity. The article records no plot, so the doubling cannot be described.</t>
        </is>
      </c>
      <c r="L45" s="5" t="n"/>
      <c r="M45" s="5" t="inlineStr">
        <is>
          <t>SOURCE-009</t>
        </is>
      </c>
    </row>
    <row r="46" ht="49" customHeight="1">
      <c r="A46" s="15" t="inlineStr">
        <is>
          <t>CAST-045</t>
        </is>
      </c>
      <c r="B46" s="18" t="inlineStr">
        <is>
          <t>FILM-011</t>
        </is>
      </c>
      <c r="C46" s="5" t="inlineStr">
        <is>
          <t>Yeh Dil Kisko Doon</t>
        </is>
      </c>
      <c r="D46" s="17" t="n">
        <v>1963</v>
      </c>
      <c r="E46" s="5" t="inlineStr">
        <is>
          <t>Jeevan</t>
        </is>
      </c>
      <c r="F46" s="5" t="inlineStr">
        <is>
          <t>Master</t>
        </is>
      </c>
      <c r="G46" s="5" t="inlineStr">
        <is>
          <t>Antagonist</t>
        </is>
      </c>
      <c r="H46" s="5" t="inlineStr">
        <is>
          <t>Medium</t>
        </is>
      </c>
      <c r="I46" s="5" t="inlineStr">
        <is>
          <t>Not documented; Jeevan's parts of the period are usually antagonists, but the article confirms nothing.</t>
        </is>
      </c>
      <c r="J46" s="5" t="inlineStr">
        <is>
          <t>Not documented.</t>
        </is>
      </c>
      <c r="K46" s="19" t="inlineStr">
        <is>
          <t>Credited as Master. The article has no plot section and the function of the part is not recorded.</t>
        </is>
      </c>
      <c r="L46" s="5" t="n"/>
      <c r="M46" s="5" t="inlineStr">
        <is>
          <t>SOURCE-009</t>
        </is>
      </c>
    </row>
    <row r="47" ht="49" customHeight="1">
      <c r="A47" s="15" t="inlineStr">
        <is>
          <t>CAST-046</t>
        </is>
      </c>
      <c r="B47" s="18" t="inlineStr">
        <is>
          <t>FILM-011</t>
        </is>
      </c>
      <c r="C47" s="5" t="inlineStr">
        <is>
          <t>Yeh Dil Kisko Doon</t>
        </is>
      </c>
      <c r="D47" s="17" t="n">
        <v>1963</v>
      </c>
      <c r="E47" s="5" t="inlineStr">
        <is>
          <t>Jayshree Gadkar</t>
        </is>
      </c>
      <c r="F47" s="5" t="inlineStr">
        <is>
          <t>Champa</t>
        </is>
      </c>
      <c r="G47" s="5" t="inlineStr">
        <is>
          <t>Supporting</t>
        </is>
      </c>
      <c r="H47" s="5" t="inlineStr">
        <is>
          <t>Medium</t>
        </is>
      </c>
      <c r="I47" s="5" t="inlineStr">
        <is>
          <t>Not documented.</t>
        </is>
      </c>
      <c r="J47" s="5" t="inlineStr">
        <is>
          <t>Not documented.</t>
        </is>
      </c>
      <c r="K47" s="19" t="inlineStr">
        <is>
          <t>Credited as Champa. A Marathi star of the period in a Hindi supporting credit; the article gives no plot to place the part.</t>
        </is>
      </c>
      <c r="L47" s="5" t="n"/>
      <c r="M47" s="5" t="inlineStr">
        <is>
          <t>SOURCE-009</t>
        </is>
      </c>
    </row>
    <row r="48" ht="79" customHeight="1">
      <c r="A48" s="15" t="inlineStr">
        <is>
          <t>CAST-047</t>
        </is>
      </c>
      <c r="B48" s="18" t="inlineStr">
        <is>
          <t>FILM-014</t>
        </is>
      </c>
      <c r="C48" s="5" t="inlineStr">
        <is>
          <t>Benazir</t>
        </is>
      </c>
      <c r="D48" s="17" t="n">
        <v>1964</v>
      </c>
      <c r="E48" s="5" t="inlineStr">
        <is>
          <t>Meena Kumari</t>
        </is>
      </c>
      <c r="F48" s="5" t="inlineStr">
        <is>
          <t>Benazir</t>
        </is>
      </c>
      <c r="G48" s="5" t="inlineStr">
        <is>
          <t>Co-lead</t>
        </is>
      </c>
      <c r="H48" s="5" t="inlineStr">
        <is>
          <t>Major</t>
        </is>
      </c>
      <c r="I48" s="5" t="inlineStr">
        <is>
          <t>The title character, and the senior figure in the household Kapoor's Anwar belongs to. The article carries no plot section, so the relation is not set out.</t>
        </is>
      </c>
      <c r="J48" s="5" t="inlineStr">
        <is>
          <t>Not Kapoor's partner; his romance is with Tanuja's Shahida, and Benazir's story runs beside it.</t>
        </is>
      </c>
      <c r="K48" s="19" t="inlineStr">
        <is>
          <t>The title role opposite Ashok Kumar's Nawab. With no plot section in the article the part is documented only by its billing and its name.</t>
        </is>
      </c>
      <c r="L48" s="5" t="n"/>
      <c r="M48" s="5" t="inlineStr">
        <is>
          <t>SOURCE-010</t>
        </is>
      </c>
    </row>
    <row r="49" ht="64" customHeight="1">
      <c r="A49" s="15" t="inlineStr">
        <is>
          <t>CAST-048</t>
        </is>
      </c>
      <c r="B49" s="18" t="inlineStr">
        <is>
          <t>FILM-014</t>
        </is>
      </c>
      <c r="C49" s="5" t="inlineStr">
        <is>
          <t>Benazir</t>
        </is>
      </c>
      <c r="D49" s="17" t="n">
        <v>1964</v>
      </c>
      <c r="E49" s="5" t="inlineStr">
        <is>
          <t>Ashok Kumar</t>
        </is>
      </c>
      <c r="F49" s="5" t="inlineStr">
        <is>
          <t>Nawab</t>
        </is>
      </c>
      <c r="G49" s="5" t="inlineStr">
        <is>
          <t>Co-lead</t>
        </is>
      </c>
      <c r="H49" s="5" t="inlineStr">
        <is>
          <t>Major</t>
        </is>
      </c>
      <c r="I49" s="5" t="inlineStr">
        <is>
          <t>The Nawab of the household, in a film where Kapoor's Anwar is a supporting part; the article does not state their connection.</t>
        </is>
      </c>
      <c r="J49" s="5" t="inlineStr">
        <is>
          <t>The senior romance of the film, with Benazir, opposite which Kapoor's is the younger pairing.</t>
        </is>
      </c>
      <c r="K49" s="19" t="inlineStr">
        <is>
          <t>The Nawab, first-billed with Meena Kumari. The article gives no synopsis, so the part is recorded from the cast list alone.</t>
        </is>
      </c>
      <c r="L49" s="5" t="n"/>
      <c r="M49" s="5" t="inlineStr">
        <is>
          <t>SOURCE-010</t>
        </is>
      </c>
    </row>
    <row r="50" ht="64" customHeight="1">
      <c r="A50" s="15" t="inlineStr">
        <is>
          <t>CAST-049</t>
        </is>
      </c>
      <c r="B50" s="18" t="inlineStr">
        <is>
          <t>FILM-014</t>
        </is>
      </c>
      <c r="C50" s="5" t="inlineStr">
        <is>
          <t>Benazir</t>
        </is>
      </c>
      <c r="D50" s="17" t="n">
        <v>1964</v>
      </c>
      <c r="E50" s="5" t="inlineStr">
        <is>
          <t>Tanuja</t>
        </is>
      </c>
      <c r="F50" s="5" t="inlineStr">
        <is>
          <t>Shahida</t>
        </is>
      </c>
      <c r="G50" s="5" t="inlineStr">
        <is>
          <t>Supporting</t>
        </is>
      </c>
      <c r="H50" s="5" t="inlineStr">
        <is>
          <t>Major</t>
        </is>
      </c>
      <c r="I50" s="5" t="inlineStr">
        <is>
          <t>Kapoor's romantic partner in the film, and the reason his supporting part carries a romance at all.</t>
        </is>
      </c>
      <c r="J50" s="5" t="inlineStr">
        <is>
          <t>The pairing recorded in the Romances sheet: a frictionless attachment running beneath the Nawab and Benazir story.</t>
        </is>
      </c>
      <c r="K50" s="19" t="inlineStr">
        <is>
          <t>Credited as Shahida, the young woman paired with Kapoor's Anwar. The article's brief storyline note does not follow the couple to an outcome.</t>
        </is>
      </c>
      <c r="L50" s="5" t="n"/>
      <c r="M50" s="5" t="inlineStr">
        <is>
          <t>SOURCE-010</t>
        </is>
      </c>
    </row>
    <row r="51" ht="49" customHeight="1">
      <c r="A51" s="15" t="inlineStr">
        <is>
          <t>CAST-050</t>
        </is>
      </c>
      <c r="B51" s="18" t="inlineStr">
        <is>
          <t>FILM-014</t>
        </is>
      </c>
      <c r="C51" s="5" t="inlineStr">
        <is>
          <t>Benazir</t>
        </is>
      </c>
      <c r="D51" s="17" t="n">
        <v>1964</v>
      </c>
      <c r="E51" s="5" t="inlineStr">
        <is>
          <t>Nirupa Roy</t>
        </is>
      </c>
      <c r="F51" s="5" t="inlineStr">
        <is>
          <t>Nawab's wife</t>
        </is>
      </c>
      <c r="G51" s="5" t="inlineStr">
        <is>
          <t>Family</t>
        </is>
      </c>
      <c r="H51" s="5" t="inlineStr">
        <is>
          <t>Medium</t>
        </is>
      </c>
      <c r="I51" s="5" t="inlineStr">
        <is>
          <t>A member of the household; the article does not describe her dealings with Anwar.</t>
        </is>
      </c>
      <c r="J51" s="5" t="inlineStr">
        <is>
          <t>Structurally the obstacle to the Nawab and Benazir, being the wife, though the article does not narrate it.</t>
        </is>
      </c>
      <c r="K51" s="19" t="inlineStr">
        <is>
          <t>Credited as the Nawab's wife. The film article has no plot section, so the part is documented only by the credit.</t>
        </is>
      </c>
      <c r="L51" s="5" t="n"/>
      <c r="M51" s="5" t="inlineStr">
        <is>
          <t>SOURCE-010</t>
        </is>
      </c>
    </row>
    <row r="52" ht="34" customHeight="1">
      <c r="A52" s="15" t="inlineStr">
        <is>
          <t>CAST-051</t>
        </is>
      </c>
      <c r="B52" s="18" t="inlineStr">
        <is>
          <t>FILM-014</t>
        </is>
      </c>
      <c r="C52" s="5" t="inlineStr">
        <is>
          <t>Benazir</t>
        </is>
      </c>
      <c r="D52" s="17" t="n">
        <v>1964</v>
      </c>
      <c r="E52" s="5" t="inlineStr">
        <is>
          <t>Tarun Bose</t>
        </is>
      </c>
      <c r="F52" s="5" t="inlineStr">
        <is>
          <t>Shauket</t>
        </is>
      </c>
      <c r="G52" s="5" t="inlineStr">
        <is>
          <t>Supporting</t>
        </is>
      </c>
      <c r="H52" s="5" t="inlineStr">
        <is>
          <t>Medium</t>
        </is>
      </c>
      <c r="I52" s="5" t="inlineStr">
        <is>
          <t>Not documented.</t>
        </is>
      </c>
      <c r="J52" s="5" t="inlineStr">
        <is>
          <t>Not documented.</t>
        </is>
      </c>
      <c r="K52" s="19" t="inlineStr">
        <is>
          <t>Credited as Shauket. With no synopsis in the article the function of the part is unrecorded.</t>
        </is>
      </c>
      <c r="L52" s="5" t="n"/>
      <c r="M52" s="5" t="inlineStr">
        <is>
          <t>SOURCE-010</t>
        </is>
      </c>
    </row>
    <row r="53" ht="64" customHeight="1">
      <c r="A53" s="15" t="inlineStr">
        <is>
          <t>CAST-052</t>
        </is>
      </c>
      <c r="B53" s="18" t="inlineStr">
        <is>
          <t>FILM-015</t>
        </is>
      </c>
      <c r="C53" s="5" t="inlineStr">
        <is>
          <t>Shakespeare Wallah</t>
        </is>
      </c>
      <c r="D53" s="17" t="n">
        <v>1965</v>
      </c>
      <c r="E53" s="5" t="inlineStr">
        <is>
          <t>Felicity Kendal</t>
        </is>
      </c>
      <c r="F53" s="5" t="inlineStr">
        <is>
          <t>Lizzie Buckingham</t>
        </is>
      </c>
      <c r="G53" s="5" t="inlineStr">
        <is>
          <t>Co-lead</t>
        </is>
      </c>
      <c r="H53" s="5" t="inlineStr">
        <is>
          <t>Major</t>
        </is>
      </c>
      <c r="I53" s="5" t="inlineStr">
        <is>
          <t>The young actress who falls in love with Kapoor's Sanju, and the half of the triangle he ultimately fails.</t>
        </is>
      </c>
      <c r="J53" s="5" t="inlineStr">
        <is>
          <t>One of the film's two romances for Sanju, and the one the film treats as the loss.</t>
        </is>
      </c>
      <c r="K53" s="19" t="inlineStr">
        <is>
          <t>Daughter of the travelling Shakespeareana company's actor-managers, who grows up on the road performing Shakespeare in small-town India and falls in love with a rich Indian playboy already attached to a film star.</t>
        </is>
      </c>
      <c r="L53" s="5" t="n"/>
      <c r="M53" s="5" t="inlineStr">
        <is>
          <t>SOURCE-011</t>
        </is>
      </c>
    </row>
    <row r="54" ht="49" customHeight="1">
      <c r="A54" s="15" t="inlineStr">
        <is>
          <t>CAST-053</t>
        </is>
      </c>
      <c r="B54" s="18" t="inlineStr">
        <is>
          <t>FILM-015</t>
        </is>
      </c>
      <c r="C54" s="5" t="inlineStr">
        <is>
          <t>Shakespeare Wallah</t>
        </is>
      </c>
      <c r="D54" s="17" t="n">
        <v>1965</v>
      </c>
      <c r="E54" s="5" t="inlineStr">
        <is>
          <t>Madhur Jaffrey</t>
        </is>
      </c>
      <c r="F54" s="5" t="inlineStr">
        <is>
          <t>Manjula</t>
        </is>
      </c>
      <c r="G54" s="5" t="inlineStr">
        <is>
          <t>Romantic rival</t>
        </is>
      </c>
      <c r="H54" s="5" t="inlineStr">
        <is>
          <t>Major</t>
        </is>
      </c>
      <c r="I54" s="5" t="inlineStr">
        <is>
          <t>Sanju's established attachment, and the woman who keeps him.</t>
        </is>
      </c>
      <c r="J54" s="5" t="inlineStr">
        <is>
          <t>The rival claim, and the one that prevails: she outlasts Lizzie rather than defeating her.</t>
        </is>
      </c>
      <c r="K54" s="19" t="inlineStr">
        <is>
          <t>A very popular Bombay film star, imperious and secure in her fame, who is romancing Sanju when Lizzie appears and does not intend to give him up.</t>
        </is>
      </c>
      <c r="L54" s="5" t="inlineStr">
        <is>
          <t>Silver Bear for Best Actress, Berlin International Film Festival, 1965.</t>
        </is>
      </c>
      <c r="M54" s="5" t="inlineStr">
        <is>
          <t>SOURCE-011</t>
        </is>
      </c>
    </row>
    <row r="55" ht="64" customHeight="1">
      <c r="A55" s="15" t="inlineStr">
        <is>
          <t>CAST-054</t>
        </is>
      </c>
      <c r="B55" s="18" t="inlineStr">
        <is>
          <t>FILM-015</t>
        </is>
      </c>
      <c r="C55" s="5" t="inlineStr">
        <is>
          <t>Shakespeare Wallah</t>
        </is>
      </c>
      <c r="D55" s="17" t="n">
        <v>1965</v>
      </c>
      <c r="E55" s="5" t="inlineStr">
        <is>
          <t>Geoffrey Kendal</t>
        </is>
      </c>
      <c r="F55" s="5" t="inlineStr">
        <is>
          <t>Tony Buckingham</t>
        </is>
      </c>
      <c r="G55" s="5" t="inlineStr">
        <is>
          <t>Family</t>
        </is>
      </c>
      <c r="H55" s="5" t="inlineStr">
        <is>
          <t>Major</t>
        </is>
      </c>
      <c r="I55" s="5" t="inlineStr">
        <is>
          <t>Lizzie's father and the head of the troupe Sanju is courting into; the film is loosely based on Kendal's own touring company.</t>
        </is>
      </c>
      <c r="J55" s="5" t="inlineStr">
        <is>
          <t>The world Lizzie would have to leave, and so a structural obstacle rather than an active opponent.</t>
        </is>
      </c>
      <c r="K55" s="19" t="inlineStr">
        <is>
          <t>Actor-manager of a nomadic British troupe performing Shakespeare in the towns of post-colonial India, whose real-life counterpart earned the sobriquet Shakespearewallah that gives the film its title.</t>
        </is>
      </c>
      <c r="L55" s="5" t="n"/>
      <c r="M55" s="5" t="inlineStr">
        <is>
          <t>SOURCE-011</t>
        </is>
      </c>
    </row>
    <row r="56" ht="49" customHeight="1">
      <c r="A56" s="15" t="inlineStr">
        <is>
          <t>CAST-055</t>
        </is>
      </c>
      <c r="B56" s="18" t="inlineStr">
        <is>
          <t>FILM-015</t>
        </is>
      </c>
      <c r="C56" s="5" t="inlineStr">
        <is>
          <t>Shakespeare Wallah</t>
        </is>
      </c>
      <c r="D56" s="17" t="n">
        <v>1965</v>
      </c>
      <c r="E56" s="5" t="inlineStr">
        <is>
          <t>Laura Liddell</t>
        </is>
      </c>
      <c r="F56" s="5" t="inlineStr">
        <is>
          <t>Carla Buckingham</t>
        </is>
      </c>
      <c r="G56" s="5" t="inlineStr">
        <is>
          <t>Family</t>
        </is>
      </c>
      <c r="H56" s="5" t="inlineStr">
        <is>
          <t>Medium</t>
        </is>
      </c>
      <c r="I56" s="5" t="inlineStr">
        <is>
          <t>Lizzie's mother, and with Tony the other half of the company's management.</t>
        </is>
      </c>
      <c r="J56" s="5" t="inlineStr">
        <is>
          <t>Part of the family claim on Lizzie that the romance runs against.</t>
        </is>
      </c>
      <c r="K56" s="19" t="inlineStr">
        <is>
          <t>Tony's wife and fellow player, who oversees the touring company with him as its audiences and its country change around them.</t>
        </is>
      </c>
      <c r="L56" s="5" t="n"/>
      <c r="M56" s="5" t="inlineStr">
        <is>
          <t>SOURCE-011</t>
        </is>
      </c>
    </row>
    <row r="57" ht="49" customHeight="1">
      <c r="A57" s="15" t="inlineStr">
        <is>
          <t>CAST-056</t>
        </is>
      </c>
      <c r="B57" s="18" t="inlineStr">
        <is>
          <t>FILM-015</t>
        </is>
      </c>
      <c r="C57" s="5" t="inlineStr">
        <is>
          <t>Shakespeare Wallah</t>
        </is>
      </c>
      <c r="D57" s="17" t="n">
        <v>1965</v>
      </c>
      <c r="E57" s="5" t="inlineStr">
        <is>
          <t>Utpal Dutt</t>
        </is>
      </c>
      <c r="F57" s="5" t="inlineStr">
        <is>
          <t>Maharaja</t>
        </is>
      </c>
      <c r="G57" s="5" t="inlineStr">
        <is>
          <t>Authority figure</t>
        </is>
      </c>
      <c r="H57" s="5" t="inlineStr">
        <is>
          <t>Medium</t>
        </is>
      </c>
      <c r="I57" s="5" t="inlineStr">
        <is>
          <t>No part in Sanju's romance; he belongs to the troupe's world as a patron of the old kind.</t>
        </is>
      </c>
      <c r="J57" s="5" t="inlineStr">
        <is>
          <t>Outside it.</t>
        </is>
      </c>
      <c r="K57" s="19" t="inlineStr">
        <is>
          <t>A maharaja who receives the touring players, one of the vanishing patrons whose interest in Shakespeare sustained companies like theirs.</t>
        </is>
      </c>
      <c r="L57" s="5" t="n"/>
      <c r="M57" s="5" t="inlineStr">
        <is>
          <t>SOURCE-011</t>
        </is>
      </c>
    </row>
    <row r="58" ht="49" customHeight="1">
      <c r="A58" s="15" t="inlineStr">
        <is>
          <t>CAST-057</t>
        </is>
      </c>
      <c r="B58" s="18" t="inlineStr">
        <is>
          <t>FILM-015</t>
        </is>
      </c>
      <c r="C58" s="5" t="inlineStr">
        <is>
          <t>Shakespeare Wallah</t>
        </is>
      </c>
      <c r="D58" s="17" t="n">
        <v>1965</v>
      </c>
      <c r="E58" s="5" t="inlineStr">
        <is>
          <t>Praveen Paul</t>
        </is>
      </c>
      <c r="F58" s="5" t="inlineStr">
        <is>
          <t>Didi</t>
        </is>
      </c>
      <c r="G58" s="5" t="inlineStr">
        <is>
          <t>Supporting</t>
        </is>
      </c>
      <c r="H58" s="5" t="inlineStr">
        <is>
          <t>Minor</t>
        </is>
      </c>
      <c r="I58" s="5" t="inlineStr">
        <is>
          <t>A figure in the Indian world the troupe moves through rather than in Sanju's story.</t>
        </is>
      </c>
      <c r="J58" s="5" t="inlineStr">
        <is>
          <t>No direct part.</t>
        </is>
      </c>
      <c r="K58" s="19" t="inlineStr">
        <is>
          <t>Credited as Didi among the Indian characters surrounding the travelling company.</t>
        </is>
      </c>
      <c r="L58" s="5" t="n"/>
      <c r="M58" s="5" t="inlineStr">
        <is>
          <t>SOURCE-011</t>
        </is>
      </c>
    </row>
    <row r="59" ht="79" customHeight="1">
      <c r="A59" s="15" t="inlineStr">
        <is>
          <t>CAST-058</t>
        </is>
      </c>
      <c r="B59" s="18" t="inlineStr">
        <is>
          <t>FILM-015</t>
        </is>
      </c>
      <c r="C59" s="5" t="inlineStr">
        <is>
          <t>Shakespeare Wallah</t>
        </is>
      </c>
      <c r="D59" s="17" t="n">
        <v>1965</v>
      </c>
      <c r="E59" s="5" t="inlineStr">
        <is>
          <t>Jennifer Kendal</t>
        </is>
      </c>
      <c r="F59" s="5" t="inlineStr">
        <is>
          <t>Mrs Bowen</t>
        </is>
      </c>
      <c r="G59" s="5" t="inlineStr">
        <is>
          <t>Cameo</t>
        </is>
      </c>
      <c r="H59" s="5" t="inlineStr">
        <is>
          <t>Minor</t>
        </is>
      </c>
      <c r="I59" s="5" t="inlineStr">
        <is>
          <t>Kapoor's wife, playing uncredited in the film that fictionalises her own family's touring company; her sister Felicity plays the woman Sanju courts.</t>
        </is>
      </c>
      <c r="J59" s="5" t="inlineStr">
        <is>
          <t>No part in the plot's romance, though her presence is the biographical joint between Kapoor and the Kendals.</t>
        </is>
      </c>
      <c r="K59" s="19" t="inlineStr">
        <is>
          <t>An uncredited appearance as Mrs Bowen by the elder Kendal daughter, by then married to Kapoor and the reason for his long association with Merchant Ivory.</t>
        </is>
      </c>
      <c r="L59" s="5" t="n"/>
      <c r="M59" s="5" t="inlineStr">
        <is>
          <t>SOURCE-011</t>
        </is>
      </c>
    </row>
    <row r="60" ht="64" customHeight="1">
      <c r="A60" s="15" t="inlineStr">
        <is>
          <t>CAST-059</t>
        </is>
      </c>
      <c r="B60" s="18" t="inlineStr">
        <is>
          <t>FILM-017</t>
        </is>
      </c>
      <c r="C60" s="5" t="inlineStr">
        <is>
          <t>Waqt</t>
        </is>
      </c>
      <c r="D60" s="17" t="n">
        <v>1965</v>
      </c>
      <c r="E60" s="5" t="inlineStr">
        <is>
          <t>Balraj Sahni</t>
        </is>
      </c>
      <c r="F60" s="5" t="inlineStr">
        <is>
          <t>Lala Kedarnath Prasad</t>
        </is>
      </c>
      <c r="G60" s="5" t="inlineStr">
        <is>
          <t>Family</t>
        </is>
      </c>
      <c r="H60" s="5" t="inlineStr">
        <is>
          <t>Major</t>
        </is>
      </c>
      <c r="I60" s="5" t="inlineStr">
        <is>
          <t>Father of Kapoor's Vijay, separated from him by the earthquake in infancy and absent for the whole of the son's life.</t>
        </is>
      </c>
      <c r="J60" s="5" t="inlineStr">
        <is>
          <t>No direct part; the family's scattering is what keeps Vijay poor and so unsuitable.</t>
        </is>
      </c>
      <c r="K60" s="19" t="inlineStr">
        <is>
          <t>A prosperous man who dismisses an astrologer's warning, loses his house and family to an earthquake, kills the orphanage manager who beat his eldest son, and spends years in prison.</t>
        </is>
      </c>
      <c r="L60" s="5" t="n"/>
      <c r="M60" s="5" t="inlineStr">
        <is>
          <t>SOURCE-012</t>
        </is>
      </c>
    </row>
    <row r="61" ht="64" customHeight="1">
      <c r="A61" s="15" t="inlineStr">
        <is>
          <t>CAST-060</t>
        </is>
      </c>
      <c r="B61" s="18" t="inlineStr">
        <is>
          <t>FILM-017</t>
        </is>
      </c>
      <c r="C61" s="5" t="inlineStr">
        <is>
          <t>Waqt</t>
        </is>
      </c>
      <c r="D61" s="17" t="n">
        <v>1965</v>
      </c>
      <c r="E61" s="5" t="inlineStr">
        <is>
          <t>Raaj Kumar</t>
        </is>
      </c>
      <c r="F61" s="5" t="inlineStr">
        <is>
          <t>Raja Chinnoy / Raju Prasad</t>
        </is>
      </c>
      <c r="G61" s="5" t="inlineStr">
        <is>
          <t>Co-lead</t>
        </is>
      </c>
      <c r="H61" s="5" t="inlineStr">
        <is>
          <t>Major</t>
        </is>
      </c>
      <c r="I61" s="5" t="inlineStr">
        <is>
          <t>Vijay's eldest brother, unrecognised; both are in Chinnoy Seth's orbit, one as thief and one as chauffeur.</t>
        </is>
      </c>
      <c r="J61" s="5" t="inlineStr">
        <is>
          <t>His own romance with Meena runs parallel to Vijay's with Renu, and his discovery of Ravi's identity is what starts the reunion.</t>
        </is>
      </c>
      <c r="K61" s="19" t="inlineStr">
        <is>
          <t>The eldest brother, raised in an orphanage and grown into a sophisticated thief working for Chinnoy Seth, who resolves to go straight for Meena and finds that his intended rival is his own brother.</t>
        </is>
      </c>
      <c r="L61" s="5" t="n"/>
      <c r="M61" s="5" t="inlineStr">
        <is>
          <t>SOURCE-012</t>
        </is>
      </c>
    </row>
    <row r="62" ht="64" customHeight="1">
      <c r="A62" s="15" t="inlineStr">
        <is>
          <t>CAST-061</t>
        </is>
      </c>
      <c r="B62" s="18" t="inlineStr">
        <is>
          <t>FILM-017</t>
        </is>
      </c>
      <c r="C62" s="5" t="inlineStr">
        <is>
          <t>Waqt</t>
        </is>
      </c>
      <c r="D62" s="17" t="n">
        <v>1965</v>
      </c>
      <c r="E62" s="5" t="inlineStr">
        <is>
          <t>Sunil Dutt</t>
        </is>
      </c>
      <c r="F62" s="5" t="inlineStr">
        <is>
          <t>Advocate Ravi Khanna / Bablu Prasanta</t>
        </is>
      </c>
      <c r="G62" s="5" t="inlineStr">
        <is>
          <t>Co-lead</t>
        </is>
      </c>
      <c r="H62" s="5" t="inlineStr">
        <is>
          <t>Major</t>
        </is>
      </c>
      <c r="I62" s="5" t="inlineStr">
        <is>
          <t>The middle brother, raised by a wealthy couple, and the one who objects to Renu's involvement with Vijay without knowing the man is his brother.</t>
        </is>
      </c>
      <c r="J62" s="5" t="inlineStr">
        <is>
          <t>The direct opponent of Kapoor's romance for much of the film, since Renu is his foster sister and Vijay a chauffeur.</t>
        </is>
      </c>
      <c r="K62" s="19" t="inlineStr">
        <is>
          <t>The middle son, found on the streets and raised by a rich couple as Ravi Khanna, who becomes an advocate, is rejected as a match once his unknown parentage emerges, and leaves home after quarrelling with his foster sister over Vijay.</t>
        </is>
      </c>
      <c r="L62" s="5" t="n"/>
      <c r="M62" s="5" t="inlineStr">
        <is>
          <t>SOURCE-012</t>
        </is>
      </c>
    </row>
    <row r="63" ht="64" customHeight="1">
      <c r="A63" s="15" t="inlineStr">
        <is>
          <t>CAST-062</t>
        </is>
      </c>
      <c r="B63" s="18" t="inlineStr">
        <is>
          <t>FILM-017</t>
        </is>
      </c>
      <c r="C63" s="5" t="inlineStr">
        <is>
          <t>Waqt</t>
        </is>
      </c>
      <c r="D63" s="17" t="n">
        <v>1965</v>
      </c>
      <c r="E63" s="5" t="inlineStr">
        <is>
          <t>Sharmila Tagore</t>
        </is>
      </c>
      <c r="F63" s="5" t="inlineStr">
        <is>
          <t>Renu Khanna</t>
        </is>
      </c>
      <c r="G63" s="5" t="inlineStr">
        <is>
          <t>Co-lead</t>
        </is>
      </c>
      <c r="H63" s="5" t="inlineStr">
        <is>
          <t>Major</t>
        </is>
      </c>
      <c r="I63" s="5" t="inlineStr">
        <is>
          <t>Kapoor's romantic partner, in love with him since college and holding to it against her foster brother's objection.</t>
        </is>
      </c>
      <c r="J63" s="5" t="inlineStr">
        <is>
          <t>The pairing recorded in the Romances sheet, and the clearest case in the film of a couple united against the surrounding family.</t>
        </is>
      </c>
      <c r="K63" s="19" t="inlineStr">
        <is>
          <t>Foster sister of Ravi Khanna, in love with Vijay since their college days and unwilling to give him up over his work as a chauffeur.</t>
        </is>
      </c>
      <c r="L63" s="5" t="n"/>
      <c r="M63" s="5" t="inlineStr">
        <is>
          <t>SOURCE-012</t>
        </is>
      </c>
    </row>
    <row r="64" ht="49" customHeight="1">
      <c r="A64" s="15" t="inlineStr">
        <is>
          <t>CAST-063</t>
        </is>
      </c>
      <c r="B64" s="18" t="inlineStr">
        <is>
          <t>FILM-017</t>
        </is>
      </c>
      <c r="C64" s="5" t="inlineStr">
        <is>
          <t>Waqt</t>
        </is>
      </c>
      <c r="D64" s="17" t="n">
        <v>1965</v>
      </c>
      <c r="E64" s="5" t="inlineStr">
        <is>
          <t>Sadhana</t>
        </is>
      </c>
      <c r="F64" s="5" t="inlineStr">
        <is>
          <t>Meena Mittal</t>
        </is>
      </c>
      <c r="G64" s="5" t="inlineStr">
        <is>
          <t>Supporting</t>
        </is>
      </c>
      <c r="H64" s="5" t="inlineStr">
        <is>
          <t>Major</t>
        </is>
      </c>
      <c r="I64" s="5" t="inlineStr">
        <is>
          <t>No romantic connection to Vijay; she is the eldest brother's attachment.</t>
        </is>
      </c>
      <c r="J64" s="5" t="inlineStr">
        <is>
          <t>The film's second romance, and the one whose engagement collapse exposes Ravi's parentage.</t>
        </is>
      </c>
      <c r="K64" s="19" t="inlineStr">
        <is>
          <t>The woman Raja loves and Ravi is to marry, whose parents break the engagement on discovering Ravi's unknown parentage and religion.</t>
        </is>
      </c>
      <c r="L64" s="5" t="n"/>
      <c r="M64" s="5" t="inlineStr">
        <is>
          <t>SOURCE-012</t>
        </is>
      </c>
    </row>
    <row r="65" ht="64" customHeight="1">
      <c r="A65" s="15" t="inlineStr">
        <is>
          <t>CAST-064</t>
        </is>
      </c>
      <c r="B65" s="18" t="inlineStr">
        <is>
          <t>FILM-017</t>
        </is>
      </c>
      <c r="C65" s="5" t="inlineStr">
        <is>
          <t>Waqt</t>
        </is>
      </c>
      <c r="D65" s="17" t="n">
        <v>1965</v>
      </c>
      <c r="E65" s="5" t="inlineStr">
        <is>
          <t>Achala Sachdev</t>
        </is>
      </c>
      <c r="F65" s="5" t="inlineStr">
        <is>
          <t>Laxmi Prasad</t>
        </is>
      </c>
      <c r="G65" s="5" t="inlineStr">
        <is>
          <t>Family</t>
        </is>
      </c>
      <c r="H65" s="5" t="inlineStr">
        <is>
          <t>Major</t>
        </is>
      </c>
      <c r="I65" s="5" t="inlineStr">
        <is>
          <t>Vijay's mother, the one member of the family who stays with him; the pair live in poverty after the earthquake.</t>
        </is>
      </c>
      <c r="J65" s="5" t="inlineStr">
        <is>
          <t>The claim on Vijay that competes with the romance, and the measure of the class distance between him and Renu.</t>
        </is>
      </c>
      <c r="K65" s="19" t="inlineStr">
        <is>
          <t>Kedarnath's wife, who survives the earthquake with her infant youngest son and raises him in poverty, unable to find the rest of the family.</t>
        </is>
      </c>
      <c r="L65" s="5" t="n"/>
      <c r="M65" s="5" t="inlineStr">
        <is>
          <t>SOURCE-012</t>
        </is>
      </c>
    </row>
    <row r="66" ht="79" customHeight="1">
      <c r="A66" s="15" t="inlineStr">
        <is>
          <t>CAST-065</t>
        </is>
      </c>
      <c r="B66" s="18" t="inlineStr">
        <is>
          <t>FILM-017</t>
        </is>
      </c>
      <c r="C66" s="5" t="inlineStr">
        <is>
          <t>Waqt</t>
        </is>
      </c>
      <c r="D66" s="17" t="n">
        <v>1965</v>
      </c>
      <c r="E66" s="5" t="inlineStr">
        <is>
          <t>Rehman</t>
        </is>
      </c>
      <c r="F66" s="5" t="inlineStr">
        <is>
          <t>Chinnoy Seth</t>
        </is>
      </c>
      <c r="G66" s="5" t="inlineStr">
        <is>
          <t>Antagonist</t>
        </is>
      </c>
      <c r="H66" s="5" t="inlineStr">
        <is>
          <t>Major</t>
        </is>
      </c>
      <c r="I66" s="5" t="inlineStr">
        <is>
          <t>Vijay's employer, who keeps him in the chauffeur's job that makes him unmarriageable, and the criminal figure both brothers work for without knowing it.</t>
        </is>
      </c>
      <c r="J66" s="5" t="inlineStr">
        <is>
          <t>The circumstantial obstacle: Vijay's position in his household is precisely what Ravi objects to.</t>
        </is>
      </c>
      <c r="K66" s="19" t="inlineStr">
        <is>
          <t>A wealthy criminal who employs Raja as a thief and Vijay as a chauffeur, and whose house is the point where the scattered brothers converge.</t>
        </is>
      </c>
      <c r="L66" s="5" t="n"/>
      <c r="M66" s="5" t="inlineStr">
        <is>
          <t>SOURCE-012</t>
        </is>
      </c>
    </row>
    <row r="67" ht="49" customHeight="1">
      <c r="A67" s="15" t="inlineStr">
        <is>
          <t>CAST-066</t>
        </is>
      </c>
      <c r="B67" s="18" t="inlineStr">
        <is>
          <t>FILM-017</t>
        </is>
      </c>
      <c r="C67" s="5" t="inlineStr">
        <is>
          <t>Waqt</t>
        </is>
      </c>
      <c r="D67" s="17" t="n">
        <v>1965</v>
      </c>
      <c r="E67" s="5" t="inlineStr">
        <is>
          <t>Madan Puri</t>
        </is>
      </c>
      <c r="F67" s="5" t="inlineStr">
        <is>
          <t>Balbir Singh</t>
        </is>
      </c>
      <c r="G67" s="5" t="inlineStr">
        <is>
          <t>Antagonist</t>
        </is>
      </c>
      <c r="H67" s="5" t="inlineStr">
        <is>
          <t>Medium</t>
        </is>
      </c>
      <c r="I67" s="5" t="inlineStr">
        <is>
          <t>Part of the criminal apparatus around Chinnoy Seth that Vijay is caught up in.</t>
        </is>
      </c>
      <c r="J67" s="5" t="inlineStr">
        <is>
          <t>No direct part.</t>
        </is>
      </c>
      <c r="K67" s="19" t="inlineStr">
        <is>
          <t>One of Chinnoy Seth's men in the criminal world the brothers are entangled in.</t>
        </is>
      </c>
      <c r="L67" s="5" t="n"/>
      <c r="M67" s="5" t="inlineStr">
        <is>
          <t>SOURCE-012</t>
        </is>
      </c>
    </row>
    <row r="68" ht="79" customHeight="1">
      <c r="A68" s="15" t="inlineStr">
        <is>
          <t>CAST-067</t>
        </is>
      </c>
      <c r="B68" s="18" t="inlineStr">
        <is>
          <t>FILM-017</t>
        </is>
      </c>
      <c r="C68" s="5" t="inlineStr">
        <is>
          <t>Waqt</t>
        </is>
      </c>
      <c r="D68" s="17" t="n">
        <v>1965</v>
      </c>
      <c r="E68" s="5" t="inlineStr">
        <is>
          <t>Manmohan Krishna</t>
        </is>
      </c>
      <c r="F68" s="5" t="inlineStr">
        <is>
          <t>Mr. Mittal</t>
        </is>
      </c>
      <c r="G68" s="5" t="inlineStr">
        <is>
          <t>Authority figure</t>
        </is>
      </c>
      <c r="H68" s="5" t="inlineStr">
        <is>
          <t>Medium</t>
        </is>
      </c>
      <c r="I68" s="5" t="inlineStr">
        <is>
          <t>No dealings with Vijay; he governs Meena's marriage.</t>
        </is>
      </c>
      <c r="J68" s="5" t="inlineStr">
        <is>
          <t>Breaks the engagement between Meena and Ravi over parentage and religion, the film's plainest statement of the social test the brothers all fail.</t>
        </is>
      </c>
      <c r="K68" s="19" t="inlineStr">
        <is>
          <t>Meena's father, who withdraws her engagement to Ravi on discovering his unknown parentage, credited with Leela Chitnis as her mother.</t>
        </is>
      </c>
      <c r="L68" s="5" t="n"/>
      <c r="M68" s="5" t="inlineStr">
        <is>
          <t>SOURCE-012</t>
        </is>
      </c>
    </row>
    <row r="69" ht="94" customHeight="1">
      <c r="A69" s="15" t="inlineStr">
        <is>
          <t>CAST-068</t>
        </is>
      </c>
      <c r="B69" s="18" t="inlineStr">
        <is>
          <t>FILM-018</t>
        </is>
      </c>
      <c r="C69" s="5" t="inlineStr">
        <is>
          <t>Jab Jab Phool Khile</t>
        </is>
      </c>
      <c r="D69" s="17" t="n">
        <v>1965</v>
      </c>
      <c r="E69" s="5" t="inlineStr">
        <is>
          <t>Nanda</t>
        </is>
      </c>
      <c r="F69" s="5" t="inlineStr">
        <is>
          <t>Rita Khanna</t>
        </is>
      </c>
      <c r="G69" s="5" t="inlineStr">
        <is>
          <t>Co-lead</t>
        </is>
      </c>
      <c r="H69" s="5" t="inlineStr">
        <is>
          <t>Major</t>
        </is>
      </c>
      <c r="I69" s="5" t="inlineStr">
        <is>
          <t>The heiress who rents Raja's houseboat, falls in love with him, and chooses him over her father's candidate; she also asks him to remake himself, which is the couple's one real quarrel.</t>
        </is>
      </c>
      <c r="J69" s="5" t="inlineStr">
        <is>
          <t>The whole of the film, and the pairing on which Kapoor's houseboat-Kashmir romantic image was built.</t>
        </is>
      </c>
      <c r="K69" s="19" t="inlineStr">
        <is>
          <t>Only daughter and heiress of Raj Bahadur Chunnilal, who holidays in Kashmir, befriends and then loves the houseboat owner Raja, defends the match to her father, presses Raja into a makeover that humiliates him, and finally goes to the railway station to leave with him.</t>
        </is>
      </c>
      <c r="L69" s="5" t="n"/>
      <c r="M69" s="5" t="inlineStr">
        <is>
          <t>SOURCE-013</t>
        </is>
      </c>
    </row>
    <row r="70" ht="94" customHeight="1">
      <c r="A70" s="15" t="inlineStr">
        <is>
          <t>CAST-069</t>
        </is>
      </c>
      <c r="B70" s="18" t="inlineStr">
        <is>
          <t>FILM-018</t>
        </is>
      </c>
      <c r="C70" s="5" t="inlineStr">
        <is>
          <t>Jab Jab Phool Khile</t>
        </is>
      </c>
      <c r="D70" s="17" t="n">
        <v>1965</v>
      </c>
      <c r="E70" s="5" t="inlineStr">
        <is>
          <t>Kamal Kapoor</t>
        </is>
      </c>
      <c r="F70" s="5" t="inlineStr">
        <is>
          <t>Raja Bahadur Chunnilal Khanna</t>
        </is>
      </c>
      <c r="G70" s="5" t="inlineStr">
        <is>
          <t>Family</t>
        </is>
      </c>
      <c r="H70" s="5" t="inlineStr">
        <is>
          <t>Major</t>
        </is>
      </c>
      <c r="I70" s="5" t="inlineStr">
        <is>
          <t>Rita's father, and the film's opposition: he cannot forbid the match so he engineers the rupture instead.</t>
        </is>
      </c>
      <c r="J70" s="5" t="inlineStr">
        <is>
          <t>The external opposition in full. He argues class incompatibility, predicts that Raja will not bear watching Rita dance with other men, and arranges the party at which exactly that happens.</t>
        </is>
      </c>
      <c r="K70" s="19" t="inlineStr">
        <is>
          <t>A wealthy father who wants his daughter married to Kishore, fails to reason her out of Raja, and then stages the introduction party he knows will break the couple apart; Rita overhears him admitting it.</t>
        </is>
      </c>
      <c r="L70" s="5" t="n"/>
      <c r="M70" s="5" t="inlineStr">
        <is>
          <t>SOURCE-013</t>
        </is>
      </c>
    </row>
    <row r="71" ht="64" customHeight="1">
      <c r="A71" s="15" t="inlineStr">
        <is>
          <t>CAST-070</t>
        </is>
      </c>
      <c r="B71" s="18" t="inlineStr">
        <is>
          <t>FILM-018</t>
        </is>
      </c>
      <c r="C71" s="5" t="inlineStr">
        <is>
          <t>Jab Jab Phool Khile</t>
        </is>
      </c>
      <c r="D71" s="17" t="n">
        <v>1965</v>
      </c>
      <c r="E71" s="5" t="inlineStr">
        <is>
          <t>Jatin Khanna</t>
        </is>
      </c>
      <c r="F71" s="5" t="inlineStr">
        <is>
          <t>Kishore</t>
        </is>
      </c>
      <c r="G71" s="5" t="inlineStr">
        <is>
          <t>Romantic rival</t>
        </is>
      </c>
      <c r="H71" s="5" t="inlineStr">
        <is>
          <t>Medium</t>
        </is>
      </c>
      <c r="I71" s="5" t="inlineStr">
        <is>
          <t>The suitor Rita's father prefers, who travels to Kashmir with her the second year and makes trouble for Raja.</t>
        </is>
      </c>
      <c r="J71" s="5" t="inlineStr">
        <is>
          <t>The rival claim, backed by the father and by class, and rejected by Rita.</t>
        </is>
      </c>
      <c r="K71" s="19" t="inlineStr">
        <is>
          <t>The wealthy match Rita's father intends for her, who accompanies her to Kashmir and is passed over for the houseboat owner. Credited under Rajesh Khanna's birth name, two years before his own stardom.</t>
        </is>
      </c>
      <c r="L71" s="5" t="n"/>
      <c r="M71" s="5" t="inlineStr">
        <is>
          <t>SOURCE-013</t>
        </is>
      </c>
    </row>
    <row r="72" ht="49" customHeight="1">
      <c r="A72" s="15" t="inlineStr">
        <is>
          <t>CAST-071</t>
        </is>
      </c>
      <c r="B72" s="18" t="inlineStr">
        <is>
          <t>FILM-018</t>
        </is>
      </c>
      <c r="C72" s="5" t="inlineStr">
        <is>
          <t>Jab Jab Phool Khile</t>
        </is>
      </c>
      <c r="D72" s="17" t="n">
        <v>1965</v>
      </c>
      <c r="E72" s="5" t="inlineStr">
        <is>
          <t>Shammi</t>
        </is>
      </c>
      <c r="F72" s="5" t="inlineStr">
        <is>
          <t>Stella</t>
        </is>
      </c>
      <c r="G72" s="5" t="inlineStr">
        <is>
          <t>Comic support</t>
        </is>
      </c>
      <c r="H72" s="5" t="inlineStr">
        <is>
          <t>Medium</t>
        </is>
      </c>
      <c r="I72" s="5" t="inlineStr">
        <is>
          <t>Rita's maid and travelling companion, present through the Kashmir courtship.</t>
        </is>
      </c>
      <c r="J72" s="5" t="inlineStr">
        <is>
          <t>An attendant presence in the courtship rather than a force in it.</t>
        </is>
      </c>
      <c r="K72" s="19" t="inlineStr">
        <is>
          <t>Rita's maid, who accompanies her on the Kashmir holiday where she rents Raja's houseboat.</t>
        </is>
      </c>
      <c r="L72" s="5" t="n"/>
      <c r="M72" s="5" t="inlineStr">
        <is>
          <t>SOURCE-013</t>
        </is>
      </c>
    </row>
    <row r="73" ht="64" customHeight="1">
      <c r="A73" s="15" t="inlineStr">
        <is>
          <t>CAST-072</t>
        </is>
      </c>
      <c r="B73" s="18" t="inlineStr">
        <is>
          <t>FILM-018</t>
        </is>
      </c>
      <c r="C73" s="5" t="inlineStr">
        <is>
          <t>Jab Jab Phool Khile</t>
        </is>
      </c>
      <c r="D73" s="17" t="n">
        <v>1965</v>
      </c>
      <c r="E73" s="5" t="inlineStr">
        <is>
          <t>Baby Farida</t>
        </is>
      </c>
      <c r="F73" s="5" t="inlineStr">
        <is>
          <t>Munni</t>
        </is>
      </c>
      <c r="G73" s="5" t="inlineStr">
        <is>
          <t>Family</t>
        </is>
      </c>
      <c r="H73" s="5" t="inlineStr">
        <is>
          <t>Medium</t>
        </is>
      </c>
      <c r="I73" s="5" t="inlineStr">
        <is>
          <t>Raja's younger sister, the household he supports and the measure of the simple life Rita would be marrying into.</t>
        </is>
      </c>
      <c r="J73" s="5" t="inlineStr">
        <is>
          <t>Part of what the class question is about: the home Rita is asked to accept.</t>
        </is>
      </c>
      <c r="K73" s="19" t="inlineStr">
        <is>
          <t>Raja's small sister, who lives with him on the houseboat and belongs to the village world the film weighs against Rita's.</t>
        </is>
      </c>
      <c r="L73" s="5" t="n"/>
      <c r="M73" s="5" t="inlineStr">
        <is>
          <t>SOURCE-013</t>
        </is>
      </c>
    </row>
    <row r="74" ht="64" customHeight="1">
      <c r="A74" s="15" t="inlineStr">
        <is>
          <t>CAST-073</t>
        </is>
      </c>
      <c r="B74" s="18" t="inlineStr">
        <is>
          <t>FILM-019</t>
        </is>
      </c>
      <c r="C74" s="5" t="inlineStr">
        <is>
          <t>Pyar Kiye Jaa</t>
        </is>
      </c>
      <c r="D74" s="17" t="n">
        <v>1966</v>
      </c>
      <c r="E74" s="5" t="inlineStr">
        <is>
          <t>Kishore Kumar</t>
        </is>
      </c>
      <c r="F74" s="5" t="inlineStr">
        <is>
          <t>Shyam / Rai Bahadur Ganga Prasad</t>
        </is>
      </c>
      <c r="G74" s="5" t="inlineStr">
        <is>
          <t>Co-lead</t>
        </is>
      </c>
      <c r="H74" s="5" t="inlineStr">
        <is>
          <t>Major</t>
        </is>
      </c>
      <c r="I74" s="5" t="inlineStr">
        <is>
          <t>Ashok's childhood friend, brought in to impersonate a rich father so the marriage can be approved; the scheme is the plot.</t>
        </is>
      </c>
      <c r="J74" s="5" t="inlineStr">
        <is>
          <t>The instrument of Kapoor's romance, and the holder of the film's second one: he turns out to be the son Devraj has arranged for Malati.</t>
        </is>
      </c>
      <c r="K74" s="19" t="inlineStr">
        <is>
          <t>Ashok's childhood friend, disguised as the billionaire Rai Bahadur Ganga Prasad to pass as his estranged father, who is exposed as a fraud, arrested, and revealed to be the very son Devraj intended for Ramlal's elder daughter.</t>
        </is>
      </c>
      <c r="L74" s="5" t="n"/>
      <c r="M74" s="5" t="inlineStr">
        <is>
          <t>SOURCE-014</t>
        </is>
      </c>
    </row>
    <row r="75" ht="64" customHeight="1">
      <c r="A75" s="15" t="inlineStr">
        <is>
          <t>CAST-074</t>
        </is>
      </c>
      <c r="B75" s="18" t="inlineStr">
        <is>
          <t>FILM-019</t>
        </is>
      </c>
      <c r="C75" s="5" t="inlineStr">
        <is>
          <t>Pyar Kiye Jaa</t>
        </is>
      </c>
      <c r="D75" s="17" t="n">
        <v>1966</v>
      </c>
      <c r="E75" s="5" t="inlineStr">
        <is>
          <t>Om Prakash</t>
        </is>
      </c>
      <c r="F75" s="5" t="inlineStr">
        <is>
          <t>Ramlal</t>
        </is>
      </c>
      <c r="G75" s="5" t="inlineStr">
        <is>
          <t>Authority figure</t>
        </is>
      </c>
      <c r="H75" s="5" t="inlineStr">
        <is>
          <t>Major</t>
        </is>
      </c>
      <c r="I75" s="5" t="inlineStr">
        <is>
          <t>Ashok's employer, who dismisses him for misbehaving with his daughters, and the man whose approval the whole impersonation is aimed at.</t>
        </is>
      </c>
      <c r="J75" s="5" t="inlineStr">
        <is>
          <t>The obstacle and the target: he intends both daughters for wealthier families, which is what forces the deception.</t>
        </is>
      </c>
      <c r="K75" s="19" t="inlineStr">
        <is>
          <t>A wealthy widower near Pune with two daughters and a film-struck son, determined to marry the girls into money, who dismisses his assistant manager and is then courted by a fraudulent billionaire.</t>
        </is>
      </c>
      <c r="L75" s="5" t="n"/>
      <c r="M75" s="5" t="inlineStr">
        <is>
          <t>SOURCE-014</t>
        </is>
      </c>
    </row>
    <row r="76" ht="64" customHeight="1">
      <c r="A76" s="15" t="inlineStr">
        <is>
          <t>CAST-075</t>
        </is>
      </c>
      <c r="B76" s="18" t="inlineStr">
        <is>
          <t>FILM-019</t>
        </is>
      </c>
      <c r="C76" s="5" t="inlineStr">
        <is>
          <t>Pyar Kiye Jaa</t>
        </is>
      </c>
      <c r="D76" s="17" t="n">
        <v>1966</v>
      </c>
      <c r="E76" s="5" t="inlineStr">
        <is>
          <t>Mehmood</t>
        </is>
      </c>
      <c r="F76" s="5" t="inlineStr">
        <is>
          <t>Atma</t>
        </is>
      </c>
      <c r="G76" s="5" t="inlineStr">
        <is>
          <t>Comic support</t>
        </is>
      </c>
      <c r="H76" s="5" t="inlineStr">
        <is>
          <t>Major</t>
        </is>
      </c>
      <c r="I76" s="5" t="inlineStr">
        <is>
          <t>Ramlal's son and a fellow schemer in the household rather than an opponent of Ashok's.</t>
        </is>
      </c>
      <c r="J76" s="5" t="inlineStr">
        <is>
          <t>Peripheral to the romances; his own ambition is the film he wants his father to finance.</t>
        </is>
      </c>
      <c r="K76" s="19" t="inlineStr">
        <is>
          <t>Ramlal's elder son, who wants his father to fund a Hindi film under his own Wah Wah Productions banner and signs a village girl as his heroine; the part is among the best-remembered comic turns of Mehmood's career.</t>
        </is>
      </c>
      <c r="L76" s="5" t="n"/>
      <c r="M76" s="5" t="inlineStr">
        <is>
          <t>SOURCE-014</t>
        </is>
      </c>
    </row>
    <row r="77" ht="64" customHeight="1">
      <c r="A77" s="15" t="inlineStr">
        <is>
          <t>CAST-076</t>
        </is>
      </c>
      <c r="B77" s="18" t="inlineStr">
        <is>
          <t>FILM-019</t>
        </is>
      </c>
      <c r="C77" s="5" t="inlineStr">
        <is>
          <t>Pyar Kiye Jaa</t>
        </is>
      </c>
      <c r="D77" s="17" t="n">
        <v>1966</v>
      </c>
      <c r="E77" s="5" t="inlineStr">
        <is>
          <t>Rajasree</t>
        </is>
      </c>
      <c r="F77" s="5" t="inlineStr">
        <is>
          <t>Nirmala</t>
        </is>
      </c>
      <c r="G77" s="5" t="inlineStr">
        <is>
          <t>Co-lead</t>
        </is>
      </c>
      <c r="H77" s="5" t="inlineStr">
        <is>
          <t>Major</t>
        </is>
      </c>
      <c r="I77" s="5" t="inlineStr">
        <is>
          <t>Kapoor's romantic partner, the younger daughter, whom he first offends and then falls in love with.</t>
        </is>
      </c>
      <c r="J77" s="5" t="inlineStr">
        <is>
          <t>The pairing recorded in the Romances sheet: antagonism in the household turning into attachment.</t>
        </is>
      </c>
      <c r="K77" s="19" t="inlineStr">
        <is>
          <t>Ramlal's younger daughter, a matriculate, with whom the dismissed assistant manager camped in the front yard eventually falls in love, and who is married to him in the general reconciliation.</t>
        </is>
      </c>
      <c r="L77" s="5" t="n"/>
      <c r="M77" s="5" t="inlineStr">
        <is>
          <t>SOURCE-014</t>
        </is>
      </c>
    </row>
    <row r="78" ht="49" customHeight="1">
      <c r="A78" s="15" t="inlineStr">
        <is>
          <t>CAST-077</t>
        </is>
      </c>
      <c r="B78" s="18" t="inlineStr">
        <is>
          <t>FILM-019</t>
        </is>
      </c>
      <c r="C78" s="5" t="inlineStr">
        <is>
          <t>Pyar Kiye Jaa</t>
        </is>
      </c>
      <c r="D78" s="17" t="n">
        <v>1966</v>
      </c>
      <c r="E78" s="5" t="inlineStr">
        <is>
          <t>Kalpana</t>
        </is>
      </c>
      <c r="F78" s="5" t="inlineStr">
        <is>
          <t>Malati</t>
        </is>
      </c>
      <c r="G78" s="5" t="inlineStr">
        <is>
          <t>Supporting</t>
        </is>
      </c>
      <c r="H78" s="5" t="inlineStr">
        <is>
          <t>Medium</t>
        </is>
      </c>
      <c r="I78" s="5" t="inlineStr">
        <is>
          <t>The elder daughter, one of the two Ashok is accused of misbehaving with, but not a romantic interest of his.</t>
        </is>
      </c>
      <c r="J78" s="5" t="inlineStr">
        <is>
          <t>Holds the parallel romance, being matched by her father with Devraj's missing son.</t>
        </is>
      </c>
      <c r="K78" s="19" t="inlineStr">
        <is>
          <t>Ramlal's elder daughter, a science graduate, whose marriage her father arranges with the son of his old schoolfellow Devraj, the son being Shyam.</t>
        </is>
      </c>
      <c r="L78" s="5" t="n"/>
      <c r="M78" s="5" t="inlineStr">
        <is>
          <t>SOURCE-014</t>
        </is>
      </c>
    </row>
    <row r="79" ht="49" customHeight="1">
      <c r="A79" s="15" t="inlineStr">
        <is>
          <t>CAST-078</t>
        </is>
      </c>
      <c r="B79" s="18" t="inlineStr">
        <is>
          <t>FILM-019</t>
        </is>
      </c>
      <c r="C79" s="5" t="inlineStr">
        <is>
          <t>Pyar Kiye Jaa</t>
        </is>
      </c>
      <c r="D79" s="17" t="n">
        <v>1966</v>
      </c>
      <c r="E79" s="5" t="inlineStr">
        <is>
          <t>Mumtaz</t>
        </is>
      </c>
      <c r="F79" s="5" t="inlineStr">
        <is>
          <t>Meena Priyadarshini</t>
        </is>
      </c>
      <c r="G79" s="5" t="inlineStr">
        <is>
          <t>Supporting</t>
        </is>
      </c>
      <c r="H79" s="5" t="inlineStr">
        <is>
          <t>Medium</t>
        </is>
      </c>
      <c r="I79" s="5" t="inlineStr">
        <is>
          <t>No romantic connection to Kapoor's Ashok; she belongs to Atma's film-production strand.</t>
        </is>
      </c>
      <c r="J79" s="5" t="inlineStr">
        <is>
          <t>Outside the two marriages the plot resolves.</t>
        </is>
      </c>
      <c r="K79" s="19" t="inlineStr">
        <is>
          <t>A village belle and daughter of Ramlal's property manager, signed by Atma as the female lead of his proposed production.</t>
        </is>
      </c>
      <c r="L79" s="5" t="n"/>
      <c r="M79" s="5" t="inlineStr">
        <is>
          <t>SOURCE-014</t>
        </is>
      </c>
    </row>
    <row r="80" ht="49" customHeight="1">
      <c r="A80" s="15" t="inlineStr">
        <is>
          <t>CAST-079</t>
        </is>
      </c>
      <c r="B80" s="18" t="inlineStr">
        <is>
          <t>FILM-019</t>
        </is>
      </c>
      <c r="C80" s="5" t="inlineStr">
        <is>
          <t>Pyar Kiye Jaa</t>
        </is>
      </c>
      <c r="D80" s="17" t="n">
        <v>1966</v>
      </c>
      <c r="E80" s="5" t="inlineStr">
        <is>
          <t>Shivraj</t>
        </is>
      </c>
      <c r="F80" s="5" t="inlineStr">
        <is>
          <t>Masterji</t>
        </is>
      </c>
      <c r="G80" s="5" t="inlineStr">
        <is>
          <t>Family</t>
        </is>
      </c>
      <c r="H80" s="5" t="inlineStr">
        <is>
          <t>Medium</t>
        </is>
      </c>
      <c r="I80" s="5" t="inlineStr">
        <is>
          <t>Ashok's real father, and the truth the impersonation exists to hide.</t>
        </is>
      </c>
      <c r="J80" s="5" t="inlineStr">
        <is>
          <t>The disclosure that collapses the scheme and, briefly, the marriage.</t>
        </is>
      </c>
      <c r="K80" s="19" t="inlineStr">
        <is>
          <t>A poor schoolteacher, Ashok's actual father, whose existence Devraj uncovers and reveals to Ramlal, exposing Rai Bahadur as a fraud.</t>
        </is>
      </c>
      <c r="L80" s="5" t="n"/>
      <c r="M80" s="5" t="inlineStr">
        <is>
          <t>SOURCE-014</t>
        </is>
      </c>
    </row>
    <row r="81" ht="64" customHeight="1">
      <c r="A81" s="15" t="inlineStr">
        <is>
          <t>CAST-080</t>
        </is>
      </c>
      <c r="B81" s="18" t="inlineStr">
        <is>
          <t>FILM-020</t>
        </is>
      </c>
      <c r="C81" s="5" t="inlineStr">
        <is>
          <t>Neend Hamari Khwab Tumhare</t>
        </is>
      </c>
      <c r="D81" s="17" t="n">
        <v>1966</v>
      </c>
      <c r="E81" s="5" t="inlineStr">
        <is>
          <t>Nanda</t>
        </is>
      </c>
      <c r="F81" s="5" t="inlineStr">
        <is>
          <t>Nishat</t>
        </is>
      </c>
      <c r="G81" s="5" t="inlineStr">
        <is>
          <t>Co-lead</t>
        </is>
      </c>
      <c r="H81" s="5" t="inlineStr">
        <is>
          <t>Major</t>
        </is>
      </c>
      <c r="I81" s="5" t="inlineStr">
        <is>
          <t>The woman Kapoor's Anwar courts among three suitors and wins, and the person kept in the dark about his father's trade.</t>
        </is>
      </c>
      <c r="J81" s="5" t="inlineStr">
        <is>
          <t>The whole of it; the film is her choice among three candidates and then the collapse of the ground under it.</t>
        </is>
      </c>
      <c r="K81" s="19" t="inlineStr">
        <is>
          <t>The daughter of a noble Delhi household with three suitors, who falls in love with Anwar after a few outings, and whose parents learn on the wedding day that his family's nobility was bought with a lottery win.</t>
        </is>
      </c>
      <c r="L81" s="5" t="n"/>
      <c r="M81" s="5" t="inlineStr">
        <is>
          <t>SOURCE-015</t>
        </is>
      </c>
    </row>
    <row r="82" ht="64" customHeight="1">
      <c r="A82" s="15" t="inlineStr">
        <is>
          <t>CAST-081</t>
        </is>
      </c>
      <c r="B82" s="18" t="inlineStr">
        <is>
          <t>FILM-020</t>
        </is>
      </c>
      <c r="C82" s="5" t="inlineStr">
        <is>
          <t>Neend Hamari Khwab Tumhare</t>
        </is>
      </c>
      <c r="D82" s="17" t="n">
        <v>1966</v>
      </c>
      <c r="E82" s="5" t="inlineStr">
        <is>
          <t>Om Prakash</t>
        </is>
      </c>
      <c r="F82" s="5" t="inlineStr">
        <is>
          <t>Ajju Hajam / Nawab Ajmutullah Khan Farooqui</t>
        </is>
      </c>
      <c r="G82" s="5" t="inlineStr">
        <is>
          <t>Family</t>
        </is>
      </c>
      <c r="H82" s="5" t="inlineStr">
        <is>
          <t>Major</t>
        </is>
      </c>
      <c r="I82" s="5" t="inlineStr">
        <is>
          <t>Anwar's father, and the secret the marriage rests on: a barber who assumed the title of Nawab after winning a lottery.</t>
        </is>
      </c>
      <c r="J82" s="5" t="inlineStr">
        <is>
          <t>The concealed obstacle. His past, not any rival, is what threatens the wedding.</t>
        </is>
      </c>
      <c r="K82" s="19" t="inlineStr">
        <is>
          <t>A barber by trade who took the title of Nawab after a lottery win and so got his son onto the approved list of suitors, credited opposite Manorama as his Begum.</t>
        </is>
      </c>
      <c r="L82" s="5" t="n"/>
      <c r="M82" s="5" t="inlineStr">
        <is>
          <t>SOURCE-015</t>
        </is>
      </c>
    </row>
    <row r="83" ht="49" customHeight="1">
      <c r="A83" s="15" t="inlineStr">
        <is>
          <t>CAST-082</t>
        </is>
      </c>
      <c r="B83" s="18" t="inlineStr">
        <is>
          <t>FILM-020</t>
        </is>
      </c>
      <c r="C83" s="5" t="inlineStr">
        <is>
          <t>Neend Hamari Khwab Tumhare</t>
        </is>
      </c>
      <c r="D83" s="17" t="n">
        <v>1966</v>
      </c>
      <c r="E83" s="5" t="inlineStr">
        <is>
          <t>Balraj Sahni</t>
        </is>
      </c>
      <c r="F83" s="5" t="inlineStr">
        <is>
          <t>Khan Bahadur</t>
        </is>
      </c>
      <c r="G83" s="5" t="inlineStr">
        <is>
          <t>Family</t>
        </is>
      </c>
      <c r="H83" s="5" t="inlineStr">
        <is>
          <t>Major</t>
        </is>
      </c>
      <c r="I83" s="5" t="inlineStr">
        <is>
          <t>Nishat's father, who vets the suitors and initially rejects Anwar before restoring him to the list.</t>
        </is>
      </c>
      <c r="J83" s="5" t="inlineStr">
        <is>
          <t>The gatekeeper: the approval he grants on a false premise is withdrawn on the wedding day.</t>
        </is>
      </c>
      <c r="K83" s="19" t="inlineStr">
        <is>
          <t>A Delhi nobleman who judges his daughter's suitors by family standing, admits Anwar on the belief that his background is noble, and learns the truth as the wedding begins.</t>
        </is>
      </c>
      <c r="L83" s="5" t="n"/>
      <c r="M83" s="5" t="inlineStr">
        <is>
          <t>SOURCE-015</t>
        </is>
      </c>
    </row>
    <row r="84" ht="49" customHeight="1">
      <c r="A84" s="15" t="inlineStr">
        <is>
          <t>CAST-083</t>
        </is>
      </c>
      <c r="B84" s="18" t="inlineStr">
        <is>
          <t>FILM-020</t>
        </is>
      </c>
      <c r="C84" s="5" t="inlineStr">
        <is>
          <t>Neend Hamari Khwab Tumhare</t>
        </is>
      </c>
      <c r="D84" s="17" t="n">
        <v>1966</v>
      </c>
      <c r="E84" s="5" t="inlineStr">
        <is>
          <t>Manmohan</t>
        </is>
      </c>
      <c r="F84" s="5" t="inlineStr">
        <is>
          <t>Nawab Shaukat Hamid Khan</t>
        </is>
      </c>
      <c r="G84" s="5" t="inlineStr">
        <is>
          <t>Romantic rival</t>
        </is>
      </c>
      <c r="H84" s="5" t="inlineStr">
        <is>
          <t>Medium</t>
        </is>
      </c>
      <c r="I84" s="5" t="inlineStr">
        <is>
          <t>One of the two rejected suitors, and genuinely of the class Anwar only appears to belong to.</t>
        </is>
      </c>
      <c r="J84" s="5" t="inlineStr">
        <is>
          <t>A rival claim with the father's approval behind it.</t>
        </is>
      </c>
      <c r="K84" s="19" t="inlineStr">
        <is>
          <t>Son of Nawab Hamid Khan and the suitor Nishat's father approves of, displaced by Anwar and resentful of it.</t>
        </is>
      </c>
      <c r="L84" s="5" t="n"/>
      <c r="M84" s="5" t="inlineStr">
        <is>
          <t>SOURCE-015</t>
        </is>
      </c>
    </row>
    <row r="85" ht="49" customHeight="1">
      <c r="A85" s="15" t="inlineStr">
        <is>
          <t>CAST-084</t>
        </is>
      </c>
      <c r="B85" s="18" t="inlineStr">
        <is>
          <t>FILM-020</t>
        </is>
      </c>
      <c r="C85" s="5" t="inlineStr">
        <is>
          <t>Neend Hamari Khwab Tumhare</t>
        </is>
      </c>
      <c r="D85" s="17" t="n">
        <v>1966</v>
      </c>
      <c r="E85" s="5" t="inlineStr">
        <is>
          <t>Rajendra Nath</t>
        </is>
      </c>
      <c r="F85" s="5" t="inlineStr">
        <is>
          <t>Shibbu</t>
        </is>
      </c>
      <c r="G85" s="5" t="inlineStr">
        <is>
          <t>Romantic rival</t>
        </is>
      </c>
      <c r="H85" s="5" t="inlineStr">
        <is>
          <t>Medium</t>
        </is>
      </c>
      <c r="I85" s="5" t="inlineStr">
        <is>
          <t>The third suitor, a relative of Nishat's mother, and the comic side of the competition.</t>
        </is>
      </c>
      <c r="J85" s="5" t="inlineStr">
        <is>
          <t>A rival claim, family-backed and never serious.</t>
        </is>
      </c>
      <c r="K85" s="19" t="inlineStr">
        <is>
          <t>A distant relative of Nishat's mother, approved as a suitor on that account, and left aggrieved with Shaukat when she chooses Anwar.</t>
        </is>
      </c>
      <c r="L85" s="5" t="n"/>
      <c r="M85" s="5" t="inlineStr">
        <is>
          <t>SOURCE-015</t>
        </is>
      </c>
    </row>
    <row r="86" ht="49" customHeight="1">
      <c r="A86" s="15" t="inlineStr">
        <is>
          <t>CAST-085</t>
        </is>
      </c>
      <c r="B86" s="18" t="inlineStr">
        <is>
          <t>FILM-020</t>
        </is>
      </c>
      <c r="C86" s="5" t="inlineStr">
        <is>
          <t>Neend Hamari Khwab Tumhare</t>
        </is>
      </c>
      <c r="D86" s="17" t="n">
        <v>1966</v>
      </c>
      <c r="E86" s="5" t="inlineStr">
        <is>
          <t>Nirupa Roy</t>
        </is>
      </c>
      <c r="F86" s="5" t="inlineStr">
        <is>
          <t>Begum Khan Bahadur</t>
        </is>
      </c>
      <c r="G86" s="5" t="inlineStr">
        <is>
          <t>Family</t>
        </is>
      </c>
      <c r="H86" s="5" t="inlineStr">
        <is>
          <t>Medium</t>
        </is>
      </c>
      <c r="I86" s="5" t="inlineStr">
        <is>
          <t>Nishat's mother, part of the parental judgement on the suitors.</t>
        </is>
      </c>
      <c r="J86" s="5" t="inlineStr">
        <is>
          <t>Shares the approval and the wedding-day discovery.</t>
        </is>
      </c>
      <c r="K86" s="19" t="inlineStr">
        <is>
          <t>Nishat's mother, whose own relative is among the approved suitors, and who learns with her husband what Anwar's family actually is.</t>
        </is>
      </c>
      <c r="L86" s="5" t="n"/>
      <c r="M86" s="5" t="inlineStr">
        <is>
          <t>SOURCE-015</t>
        </is>
      </c>
    </row>
    <row r="87" ht="79" customHeight="1">
      <c r="A87" s="15" t="inlineStr">
        <is>
          <t>CAST-086</t>
        </is>
      </c>
      <c r="B87" s="18" t="inlineStr">
        <is>
          <t>FILM-023</t>
        </is>
      </c>
      <c r="C87" s="5" t="inlineStr">
        <is>
          <t>Aamne Samne</t>
        </is>
      </c>
      <c r="D87" s="17" t="n">
        <v>1967</v>
      </c>
      <c r="E87" s="5" t="inlineStr">
        <is>
          <t>Sharmila Tagore</t>
        </is>
      </c>
      <c r="F87" s="5" t="inlineStr">
        <is>
          <t>Sapna Mathur</t>
        </is>
      </c>
      <c r="G87" s="5" t="inlineStr">
        <is>
          <t>Co-lead</t>
        </is>
      </c>
      <c r="H87" s="5" t="inlineStr">
        <is>
          <t>Major</t>
        </is>
      </c>
      <c r="I87" s="5" t="inlineStr">
        <is>
          <t>The neighbour who first takes him for a stalker, then marries him, then spends the rest of the film fearing he will kill her.</t>
        </is>
      </c>
      <c r="J87" s="5" t="inlineStr">
        <is>
          <t>The whole of it, and the pairing recorded in the Romances sheet: a marriage held under suspicion of murder.</t>
        </is>
      </c>
      <c r="K87" s="19" t="inlineStr">
        <is>
          <t>A wealthy neighbour who finds Gopal annoying and believes he is following her, falls for him anyway, defies her brother to marry him, survives an attempt on her life on honeymoon, and then learns her husband was tried for killing his first wife.</t>
        </is>
      </c>
      <c r="L87" s="5" t="n"/>
      <c r="M87" s="5" t="inlineStr">
        <is>
          <t>SOURCE-017</t>
        </is>
      </c>
    </row>
    <row r="88" ht="49" customHeight="1">
      <c r="A88" s="15" t="inlineStr">
        <is>
          <t>CAST-087</t>
        </is>
      </c>
      <c r="B88" s="18" t="inlineStr">
        <is>
          <t>FILM-023</t>
        </is>
      </c>
      <c r="C88" s="5" t="inlineStr">
        <is>
          <t>Aamne Samne</t>
        </is>
      </c>
      <c r="D88" s="17" t="n">
        <v>1967</v>
      </c>
      <c r="E88" s="5" t="inlineStr">
        <is>
          <t>Madan Puri</t>
        </is>
      </c>
      <c r="F88" s="5" t="inlineStr">
        <is>
          <t>Pran Mathur</t>
        </is>
      </c>
      <c r="G88" s="5" t="inlineStr">
        <is>
          <t>Antagonist</t>
        </is>
      </c>
      <c r="H88" s="5" t="inlineStr">
        <is>
          <t>Major</t>
        </is>
      </c>
      <c r="I88" s="5" t="inlineStr">
        <is>
          <t>Sapna's brother, who wants her married elsewhere and threatens to kill her when she refuses.</t>
        </is>
      </c>
      <c r="J88" s="5" t="inlineStr">
        <is>
          <t>Direct opposition, and one of the two candidates for the film's real conspirator.</t>
        </is>
      </c>
      <c r="K88" s="19" t="inlineStr">
        <is>
          <t>Sapna's brother, who intends her for Prem, threatens her life when she chooses Gopal instead, and remains a suspect in the attempts on her afterwards.</t>
        </is>
      </c>
      <c r="L88" s="5" t="n"/>
      <c r="M88" s="5" t="inlineStr">
        <is>
          <t>SOURCE-017</t>
        </is>
      </c>
    </row>
    <row r="89" ht="49" customHeight="1">
      <c r="A89" s="15" t="inlineStr">
        <is>
          <t>CAST-088</t>
        </is>
      </c>
      <c r="B89" s="18" t="inlineStr">
        <is>
          <t>FILM-023</t>
        </is>
      </c>
      <c r="C89" s="5" t="inlineStr">
        <is>
          <t>Aamne Samne</t>
        </is>
      </c>
      <c r="D89" s="17" t="n">
        <v>1967</v>
      </c>
      <c r="E89" s="5" t="inlineStr">
        <is>
          <t>Prem Chopra</t>
        </is>
      </c>
      <c r="F89" s="5" t="inlineStr">
        <is>
          <t>Prem Malhotra</t>
        </is>
      </c>
      <c r="G89" s="5" t="inlineStr">
        <is>
          <t>Romantic rival</t>
        </is>
      </c>
      <c r="H89" s="5" t="inlineStr">
        <is>
          <t>Major</t>
        </is>
      </c>
      <c r="I89" s="5" t="inlineStr">
        <is>
          <t>The suitor Sapna's brother prefers, and the other man who threatens her when she chooses Gopal.</t>
        </is>
      </c>
      <c r="J89" s="5" t="inlineStr">
        <is>
          <t>The rival claim, and part of the web of lies that makes the marriage a danger.</t>
        </is>
      </c>
      <c r="K89" s="19" t="inlineStr">
        <is>
          <t>The match Pran intends for Sapna, who threatens to kill her when she refuses him and is implicated in the campaign of suspicion around her husband.</t>
        </is>
      </c>
      <c r="L89" s="5" t="n"/>
      <c r="M89" s="5" t="inlineStr">
        <is>
          <t>SOURCE-017</t>
        </is>
      </c>
    </row>
    <row r="90" ht="49" customHeight="1">
      <c r="A90" s="15" t="inlineStr">
        <is>
          <t>CAST-089</t>
        </is>
      </c>
      <c r="B90" s="18" t="inlineStr">
        <is>
          <t>FILM-023</t>
        </is>
      </c>
      <c r="C90" s="5" t="inlineStr">
        <is>
          <t>Aamne Samne</t>
        </is>
      </c>
      <c r="D90" s="17" t="n">
        <v>1967</v>
      </c>
      <c r="E90" s="5" t="inlineStr">
        <is>
          <t>Kamal Kapoor</t>
        </is>
      </c>
      <c r="F90" s="5" t="inlineStr">
        <is>
          <t>Inspector Varma</t>
        </is>
      </c>
      <c r="G90" s="5" t="inlineStr">
        <is>
          <t>Authority figure</t>
        </is>
      </c>
      <c r="H90" s="5" t="inlineStr">
        <is>
          <t>Medium</t>
        </is>
      </c>
      <c r="I90" s="5" t="inlineStr">
        <is>
          <t>The police presence around a man already acquitted of one wife's murder.</t>
        </is>
      </c>
      <c r="J90" s="5" t="inlineStr">
        <is>
          <t>Indirect: the investigation is what finally clears the marriage.</t>
        </is>
      </c>
      <c r="K90" s="19" t="inlineStr">
        <is>
          <t>The inspector on the case around Deepak Verma, whose first trial ended in acquittal and whose second wife is now being targeted.</t>
        </is>
      </c>
      <c r="L90" s="5" t="n"/>
      <c r="M90" s="5" t="inlineStr">
        <is>
          <t>SOURCE-017</t>
        </is>
      </c>
    </row>
    <row r="91" ht="49" customHeight="1">
      <c r="A91" s="15" t="inlineStr">
        <is>
          <t>CAST-090</t>
        </is>
      </c>
      <c r="B91" s="18" t="inlineStr">
        <is>
          <t>FILM-023</t>
        </is>
      </c>
      <c r="C91" s="5" t="inlineStr">
        <is>
          <t>Aamne Samne</t>
        </is>
      </c>
      <c r="D91" s="17" t="n">
        <v>1967</v>
      </c>
      <c r="E91" s="5" t="inlineStr">
        <is>
          <t>Rajendra Nath</t>
        </is>
      </c>
      <c r="F91" s="5" t="inlineStr">
        <is>
          <t>Shubodh Mukherjee</t>
        </is>
      </c>
      <c r="G91" s="5" t="inlineStr">
        <is>
          <t>Comic support</t>
        </is>
      </c>
      <c r="H91" s="5" t="inlineStr">
        <is>
          <t>Medium</t>
        </is>
      </c>
      <c r="I91" s="5" t="inlineStr">
        <is>
          <t>Comic relief in the neighbourhood around the couple, credited with Shammi as his wife.</t>
        </is>
      </c>
      <c r="J91" s="5" t="inlineStr">
        <is>
          <t>No part in the suspense plot.</t>
        </is>
      </c>
      <c r="K91" s="19" t="inlineStr">
        <is>
          <t>A neighbour in the Bombay setting, paired with Shammi's Itabai, providing the comic register against the murder plot.</t>
        </is>
      </c>
      <c r="L91" s="5" t="n"/>
      <c r="M91" s="5" t="inlineStr">
        <is>
          <t>SOURCE-017</t>
        </is>
      </c>
    </row>
    <row r="92" ht="64" customHeight="1">
      <c r="A92" s="15" t="inlineStr">
        <is>
          <t>CAST-091</t>
        </is>
      </c>
      <c r="B92" s="18" t="inlineStr">
        <is>
          <t>FILM-024</t>
        </is>
      </c>
      <c r="C92" s="5" t="inlineStr">
        <is>
          <t>Pretty Polly</t>
        </is>
      </c>
      <c r="D92" s="17" t="n">
        <v>1967</v>
      </c>
      <c r="E92" s="5" t="inlineStr">
        <is>
          <t>Hayley Mills</t>
        </is>
      </c>
      <c r="F92" s="5" t="inlineStr">
        <is>
          <t>Polly Barlow</t>
        </is>
      </c>
      <c r="G92" s="5" t="inlineStr">
        <is>
          <t>Co-lead</t>
        </is>
      </c>
      <c r="H92" s="5" t="inlineStr">
        <is>
          <t>Major</t>
        </is>
      </c>
      <c r="I92" s="5" t="inlineStr">
        <is>
          <t>The Englishwoman whose romance with Kapoor's Singaporean guide is the film's subject, and who leaves at the end.</t>
        </is>
      </c>
      <c r="J92" s="5" t="inlineStr">
        <is>
          <t>The whole of it, from her side: the affair is an episode in her release rather than a destination.</t>
        </is>
      </c>
      <c r="K92" s="19" t="inlineStr">
        <is>
          <t>A repressed young Englishwoman travelling as companion to her wealthy spinster aunt, who is left alone in Singapore by the aunt's sudden death and pursues her freedom, and an arm's-length romance with a local guide.</t>
        </is>
      </c>
      <c r="L92" s="5" t="n"/>
      <c r="M92" s="5" t="inlineStr">
        <is>
          <t>SOURCE-016</t>
        </is>
      </c>
    </row>
    <row r="93" ht="64" customHeight="1">
      <c r="A93" s="15" t="inlineStr">
        <is>
          <t>CAST-092</t>
        </is>
      </c>
      <c r="B93" s="18" t="inlineStr">
        <is>
          <t>FILM-024</t>
        </is>
      </c>
      <c r="C93" s="5" t="inlineStr">
        <is>
          <t>Pretty Polly</t>
        </is>
      </c>
      <c r="D93" s="17" t="n">
        <v>1967</v>
      </c>
      <c r="E93" s="5" t="inlineStr">
        <is>
          <t>Trevor Howard</t>
        </is>
      </c>
      <c r="F93" s="5" t="inlineStr">
        <is>
          <t>Robert Hook</t>
        </is>
      </c>
      <c r="G93" s="5" t="inlineStr">
        <is>
          <t>Supporting</t>
        </is>
      </c>
      <c r="H93" s="5" t="inlineStr">
        <is>
          <t>Major</t>
        </is>
      </c>
      <c r="I93" s="5" t="inlineStr">
        <is>
          <t>Second-billed in the Singapore world Polly is loosed into; the article's two-sentence synopsis does not set out his dealings with Amaz.</t>
        </is>
      </c>
      <c r="J93" s="5" t="inlineStr">
        <is>
          <t>Not described by the article.</t>
        </is>
      </c>
      <c r="K93" s="19" t="inlineStr">
        <is>
          <t>Credited as Robert Hook, with Brenda de Banzie as Mrs. Innes-Hook. The article's synopsis is two sentences long and does not place the part.</t>
        </is>
      </c>
      <c r="L93" s="5" t="n"/>
      <c r="M93" s="5" t="inlineStr">
        <is>
          <t>SOURCE-016</t>
        </is>
      </c>
    </row>
    <row r="94" ht="64" customHeight="1">
      <c r="A94" s="15" t="inlineStr">
        <is>
          <t>CAST-093</t>
        </is>
      </c>
      <c r="B94" s="18" t="inlineStr">
        <is>
          <t>FILM-024</t>
        </is>
      </c>
      <c r="C94" s="5" t="inlineStr">
        <is>
          <t>Pretty Polly</t>
        </is>
      </c>
      <c r="D94" s="17" t="n">
        <v>1967</v>
      </c>
      <c r="E94" s="5" t="inlineStr">
        <is>
          <t>Brenda de Banzie</t>
        </is>
      </c>
      <c r="F94" s="5" t="inlineStr">
        <is>
          <t>Mrs. Innes-Hook</t>
        </is>
      </c>
      <c r="G94" s="5" t="inlineStr">
        <is>
          <t>Supporting</t>
        </is>
      </c>
      <c r="H94" s="5" t="inlineStr">
        <is>
          <t>Medium</t>
        </is>
      </c>
      <c r="I94" s="5" t="inlineStr">
        <is>
          <t>Not documented. The synopsis names the wealthy aunt whose death frees Polly but does not map her to a credit.</t>
        </is>
      </c>
      <c r="J94" s="5" t="inlineStr">
        <is>
          <t>Not documented.</t>
        </is>
      </c>
      <c r="K94" s="19" t="inlineStr">
        <is>
          <t>Credited as Mrs. Innes-Hook. The article does not identify which credit belongs to the aunt whose death begins the story, so the part is recorded without that inference.</t>
        </is>
      </c>
      <c r="L94" s="5" t="n"/>
      <c r="M94" s="5" t="inlineStr">
        <is>
          <t>SOURCE-016</t>
        </is>
      </c>
    </row>
    <row r="95" ht="49" customHeight="1">
      <c r="A95" s="15" t="inlineStr">
        <is>
          <t>CAST-094</t>
        </is>
      </c>
      <c r="B95" s="18" t="inlineStr">
        <is>
          <t>FILM-024</t>
        </is>
      </c>
      <c r="C95" s="5" t="inlineStr">
        <is>
          <t>Pretty Polly</t>
        </is>
      </c>
      <c r="D95" s="17" t="n">
        <v>1967</v>
      </c>
      <c r="E95" s="5" t="inlineStr">
        <is>
          <t>Dick Patterson</t>
        </is>
      </c>
      <c r="F95" s="5" t="inlineStr">
        <is>
          <t>Rick Preston</t>
        </is>
      </c>
      <c r="G95" s="5" t="inlineStr">
        <is>
          <t>Supporting</t>
        </is>
      </c>
      <c r="H95" s="5" t="inlineStr">
        <is>
          <t>Medium</t>
        </is>
      </c>
      <c r="I95" s="5" t="inlineStr">
        <is>
          <t>Not documented by the article's synopsis.</t>
        </is>
      </c>
      <c r="J95" s="5" t="inlineStr">
        <is>
          <t>Not documented.</t>
        </is>
      </c>
      <c r="K95" s="19" t="inlineStr">
        <is>
          <t>Credited as Rick Preston. The article carries a full cast list but almost no plot, and separately lists the cast of another production of the same source, which is not this film's.</t>
        </is>
      </c>
      <c r="L95" s="5" t="n"/>
      <c r="M95" s="5" t="inlineStr">
        <is>
          <t>SOURCE-016</t>
        </is>
      </c>
    </row>
    <row r="96" ht="79" customHeight="1">
      <c r="A96" s="15" t="inlineStr">
        <is>
          <t>CAST-095</t>
        </is>
      </c>
      <c r="B96" s="18" t="inlineStr">
        <is>
          <t>FILM-025</t>
        </is>
      </c>
      <c r="C96" s="5" t="inlineStr">
        <is>
          <t>Haseena Maan Jayegi</t>
        </is>
      </c>
      <c r="D96" s="17" t="n">
        <v>1968</v>
      </c>
      <c r="E96" s="5" t="inlineStr">
        <is>
          <t>Babita</t>
        </is>
      </c>
      <c r="F96" s="5" t="inlineStr">
        <is>
          <t>Archana</t>
        </is>
      </c>
      <c r="G96" s="5" t="inlineStr">
        <is>
          <t>Co-lead</t>
        </is>
      </c>
      <c r="H96" s="5" t="inlineStr">
        <is>
          <t>Major</t>
        </is>
      </c>
      <c r="I96" s="5" t="inlineStr">
        <is>
          <t>Loves and marries the decent twin, Kamal, having first mistaken him for the one who torments her; she then cannot tell which man has come home from the war.</t>
        </is>
      </c>
      <c r="J96" s="5" t="inlineStr">
        <is>
          <t>The whole of it, and the pairing recorded in the Romances sheet: a marriage attacked by an impostor who is the husband's own double.</t>
        </is>
      </c>
      <c r="K96" s="19" t="inlineStr">
        <is>
          <t>A widower's daughter who moves to a new city, is teased by Rakesh, complains by mistake about his lookalike Kamal, marries Kamal, and after the war subjects the man claiming to be her husband to tests he fails for reasons of his own.</t>
        </is>
      </c>
      <c r="L96" s="5" t="n"/>
      <c r="M96" s="5" t="inlineStr">
        <is>
          <t>SOURCE-018</t>
        </is>
      </c>
    </row>
    <row r="97" ht="49" customHeight="1">
      <c r="A97" s="15" t="inlineStr">
        <is>
          <t>CAST-096</t>
        </is>
      </c>
      <c r="B97" s="18" t="inlineStr">
        <is>
          <t>FILM-025</t>
        </is>
      </c>
      <c r="C97" s="5" t="inlineStr">
        <is>
          <t>Haseena Maan Jayegi</t>
        </is>
      </c>
      <c r="D97" s="17" t="n">
        <v>1968</v>
      </c>
      <c r="E97" s="5" t="inlineStr">
        <is>
          <t>Johnny Walker</t>
        </is>
      </c>
      <c r="F97" s="5" t="inlineStr">
        <is>
          <t>Ghasitaram Aashiq</t>
        </is>
      </c>
      <c r="G97" s="5" t="inlineStr">
        <is>
          <t>Comic support</t>
        </is>
      </c>
      <c r="H97" s="5" t="inlineStr">
        <is>
          <t>Major</t>
        </is>
      </c>
      <c r="I97" s="5" t="inlineStr">
        <is>
          <t>The film's comic lead alongside Kapoor's double role.</t>
        </is>
      </c>
      <c r="J97" s="5" t="inlineStr">
        <is>
          <t>Comic counterpoint to the courtship rather than a participant.</t>
        </is>
      </c>
      <c r="K97" s="19" t="inlineStr">
        <is>
          <t>Ghasitaram Aashiq, the comic figure of the college and estate world the twins move through, paired in the credits with Ameeta's Laali.</t>
        </is>
      </c>
      <c r="L97" s="5" t="n"/>
      <c r="M97" s="5" t="inlineStr">
        <is>
          <t>SOURCE-018</t>
        </is>
      </c>
    </row>
    <row r="98" ht="49" customHeight="1">
      <c r="A98" s="15" t="inlineStr">
        <is>
          <t>CAST-097</t>
        </is>
      </c>
      <c r="B98" s="18" t="inlineStr">
        <is>
          <t>FILM-025</t>
        </is>
      </c>
      <c r="C98" s="5" t="inlineStr">
        <is>
          <t>Haseena Maan Jayegi</t>
        </is>
      </c>
      <c r="D98" s="17" t="n">
        <v>1968</v>
      </c>
      <c r="E98" s="5" t="inlineStr">
        <is>
          <t>Ameeta</t>
        </is>
      </c>
      <c r="F98" s="5" t="inlineStr">
        <is>
          <t>Laali</t>
        </is>
      </c>
      <c r="G98" s="5" t="inlineStr">
        <is>
          <t>Supporting</t>
        </is>
      </c>
      <c r="H98" s="5" t="inlineStr">
        <is>
          <t>Medium</t>
        </is>
      </c>
      <c r="I98" s="5" t="inlineStr">
        <is>
          <t>Outside the central triangle, which is filled on both sides by Kapoor himself.</t>
        </is>
      </c>
      <c r="J98" s="5" t="inlineStr">
        <is>
          <t>Belongs to the film's secondary comic pairing.</t>
        </is>
      </c>
      <c r="K98" s="19" t="inlineStr">
        <is>
          <t>Credited as Laali, daughter of the character played by Yunus Parvez, in the film's lighter second strand.</t>
        </is>
      </c>
      <c r="L98" s="5" t="n"/>
      <c r="M98" s="5" t="inlineStr">
        <is>
          <t>SOURCE-018</t>
        </is>
      </c>
    </row>
    <row r="99" ht="49" customHeight="1">
      <c r="A99" s="15" t="inlineStr">
        <is>
          <t>CAST-098</t>
        </is>
      </c>
      <c r="B99" s="18" t="inlineStr">
        <is>
          <t>FILM-025</t>
        </is>
      </c>
      <c r="C99" s="5" t="inlineStr">
        <is>
          <t>Haseena Maan Jayegi</t>
        </is>
      </c>
      <c r="D99" s="17" t="n">
        <v>1968</v>
      </c>
      <c r="E99" s="5" t="inlineStr">
        <is>
          <t>Manmohan Krishna</t>
        </is>
      </c>
      <c r="F99" s="5" t="inlineStr">
        <is>
          <t>Professor</t>
        </is>
      </c>
      <c r="G99" s="5" t="inlineStr">
        <is>
          <t>Authority figure</t>
        </is>
      </c>
      <c r="H99" s="5" t="inlineStr">
        <is>
          <t>Medium</t>
        </is>
      </c>
      <c r="I99" s="5" t="inlineStr">
        <is>
          <t>The college authority in the early section, where Archana's misdirected complaint sets the confusion going.</t>
        </is>
      </c>
      <c r="J99" s="5" t="inlineStr">
        <is>
          <t>The mistaken complaint that starts the romance passes through him.</t>
        </is>
      </c>
      <c r="K99" s="19" t="inlineStr">
        <is>
          <t>The professor at the college where Archana meets the twins, and part of the machinery of the opening mix-up.</t>
        </is>
      </c>
      <c r="L99" s="5" t="n"/>
      <c r="M99" s="5" t="inlineStr">
        <is>
          <t>SOURCE-018</t>
        </is>
      </c>
    </row>
    <row r="100" ht="64" customHeight="1">
      <c r="A100" s="15" t="inlineStr">
        <is>
          <t>CAST-099</t>
        </is>
      </c>
      <c r="B100" s="18" t="inlineStr">
        <is>
          <t>FILM-025</t>
        </is>
      </c>
      <c r="C100" s="5" t="inlineStr">
        <is>
          <t>Haseena Maan Jayegi</t>
        </is>
      </c>
      <c r="D100" s="17" t="n">
        <v>1968</v>
      </c>
      <c r="E100" s="5" t="inlineStr">
        <is>
          <t>Niranjan Sharma</t>
        </is>
      </c>
      <c r="F100" s="5" t="inlineStr">
        <is>
          <t>Mahavir</t>
        </is>
      </c>
      <c r="G100" s="5" t="inlineStr">
        <is>
          <t>Family</t>
        </is>
      </c>
      <c r="H100" s="5" t="inlineStr">
        <is>
          <t>Medium</t>
        </is>
      </c>
      <c r="I100" s="5" t="inlineStr">
        <is>
          <t>Archana's widowed father, friend of Rakesh's father, whose consent she seeks for the marriage to Kamal.</t>
        </is>
      </c>
      <c r="J100" s="5" t="inlineStr">
        <is>
          <t>Grants the consent the marriage needs, and owns the estate where the couple's honeymoon and the later impostor episode take place.</t>
        </is>
      </c>
      <c r="K100" s="19" t="inlineStr">
        <is>
          <t>Archana's widowed father, who moves with her to the new city and gives his consent to her marriage with Kamal.</t>
        </is>
      </c>
      <c r="L100" s="5" t="n"/>
      <c r="M100" s="5" t="inlineStr">
        <is>
          <t>SOURCE-018</t>
        </is>
      </c>
    </row>
    <row r="101" ht="79" customHeight="1">
      <c r="A101" s="15" t="inlineStr">
        <is>
          <t>CAST-100</t>
        </is>
      </c>
      <c r="B101" s="18" t="inlineStr">
        <is>
          <t>FILM-026</t>
        </is>
      </c>
      <c r="C101" s="5" t="inlineStr">
        <is>
          <t>Kanyadaan</t>
        </is>
      </c>
      <c r="D101" s="17" t="n">
        <v>1968</v>
      </c>
      <c r="E101" s="5" t="inlineStr">
        <is>
          <t>Asha Parekh</t>
        </is>
      </c>
      <c r="F101" s="5" t="inlineStr">
        <is>
          <t>Rekha</t>
        </is>
      </c>
      <c r="G101" s="5" t="inlineStr">
        <is>
          <t>Co-lead</t>
        </is>
      </c>
      <c r="H101" s="5" t="inlineStr">
        <is>
          <t>Major</t>
        </is>
      </c>
      <c r="I101" s="5" t="inlineStr">
        <is>
          <t>The village woman Kumar loves, deceives with his own name, and then tells the truth to; the deception is that his full name really is Amar Kumar.</t>
        </is>
      </c>
      <c r="J101" s="5" t="inlineStr">
        <is>
          <t>The whole of it, and the pairing recorded in the Romances sheet: a courtship turned by a childhood marriage nobody told her about.</t>
        </is>
      </c>
      <c r="K101" s="19" t="inlineStr">
        <is>
          <t>A village girl who shelters a stranded traveller and falls in love with him, learns she was married in childhood to a man named Amar, accepts her fate, leaves with Kumar on the evidence of his full name, and walks out when he admits the other Amar is alive and married.</t>
        </is>
      </c>
      <c r="L101" s="5" t="n"/>
      <c r="M101" s="5" t="inlineStr">
        <is>
          <t>SOURCE-019</t>
        </is>
      </c>
    </row>
    <row r="102" ht="64" customHeight="1">
      <c r="A102" s="15" t="inlineStr">
        <is>
          <t>CAST-101</t>
        </is>
      </c>
      <c r="B102" s="18" t="inlineStr">
        <is>
          <t>FILM-026</t>
        </is>
      </c>
      <c r="C102" s="5" t="inlineStr">
        <is>
          <t>Kanyadaan</t>
        </is>
      </c>
      <c r="D102" s="17" t="n">
        <v>1968</v>
      </c>
      <c r="E102" s="5" t="inlineStr">
        <is>
          <t>Dilip Raj</t>
        </is>
      </c>
      <c r="F102" s="5" t="inlineStr">
        <is>
          <t>Amar</t>
        </is>
      </c>
      <c r="G102" s="5" t="inlineStr">
        <is>
          <t>Supporting</t>
        </is>
      </c>
      <c r="H102" s="5" t="inlineStr">
        <is>
          <t>Major</t>
        </is>
      </c>
      <c r="I102" s="5" t="inlineStr">
        <is>
          <t>Kumar's friend and namesake, the man Kumar married off to Lata, and unknowingly Rekha's childhood husband; the shared name is the plot.</t>
        </is>
      </c>
      <c r="J102" s="5" t="inlineStr">
        <is>
          <t>The impediment in person. His existing marriage is what Kumar is protecting when he lies to Rekha.</t>
        </is>
      </c>
      <c r="K102" s="19" t="inlineStr">
        <is>
          <t>A hockey player who loves Lata and is married to her through Kumar's good offices, and who turns out to be the Amar to whom Rekha was married as a child.</t>
        </is>
      </c>
      <c r="L102" s="5" t="n"/>
      <c r="M102" s="5" t="inlineStr">
        <is>
          <t>SOURCE-019</t>
        </is>
      </c>
    </row>
    <row r="103" ht="79" customHeight="1">
      <c r="A103" s="15" t="inlineStr">
        <is>
          <t>CAST-102</t>
        </is>
      </c>
      <c r="B103" s="18" t="inlineStr">
        <is>
          <t>FILM-026</t>
        </is>
      </c>
      <c r="C103" s="5" t="inlineStr">
        <is>
          <t>Kanyadaan</t>
        </is>
      </c>
      <c r="D103" s="17" t="n">
        <v>1968</v>
      </c>
      <c r="E103" s="5" t="inlineStr">
        <is>
          <t>Sayeeda Khan</t>
        </is>
      </c>
      <c r="F103" s="5" t="inlineStr">
        <is>
          <t>Lata</t>
        </is>
      </c>
      <c r="G103" s="5" t="inlineStr">
        <is>
          <t>Supporting</t>
        </is>
      </c>
      <c r="H103" s="5" t="inlineStr">
        <is>
          <t>Medium</t>
        </is>
      </c>
      <c r="I103" s="5" t="inlineStr">
        <is>
          <t>The woman Kumar promises her father he will look after, having no in-laws to do it; that promise is the obligation that makes the truth unspeakable.</t>
        </is>
      </c>
      <c r="J103" s="5" t="inlineStr">
        <is>
          <t>The marriage that must be protected, and so the reason Rekha cannot be given her actual husband.</t>
        </is>
      </c>
      <c r="K103" s="19" t="inlineStr">
        <is>
          <t>Amar's wife, married to him at Kumar's initiative, whose settled household is what the disclosure of Rekha's childhood marriage would destroy.</t>
        </is>
      </c>
      <c r="L103" s="5" t="n"/>
      <c r="M103" s="5" t="inlineStr">
        <is>
          <t>SOURCE-019</t>
        </is>
      </c>
    </row>
    <row r="104" ht="64" customHeight="1">
      <c r="A104" s="15" t="inlineStr">
        <is>
          <t>CAST-103</t>
        </is>
      </c>
      <c r="B104" s="18" t="inlineStr">
        <is>
          <t>FILM-026</t>
        </is>
      </c>
      <c r="C104" s="5" t="inlineStr">
        <is>
          <t>Kanyadaan</t>
        </is>
      </c>
      <c r="D104" s="17" t="n">
        <v>1968</v>
      </c>
      <c r="E104" s="5" t="inlineStr">
        <is>
          <t>Achala Sachdev</t>
        </is>
      </c>
      <c r="F104" s="5" t="inlineStr">
        <is>
          <t>Rekha's mother</t>
        </is>
      </c>
      <c r="G104" s="5" t="inlineStr">
        <is>
          <t>Family</t>
        </is>
      </c>
      <c r="H104" s="5" t="inlineStr">
        <is>
          <t>Major</t>
        </is>
      </c>
      <c r="I104" s="5" t="inlineStr">
        <is>
          <t>The one who tells Kumar of the childhood marriage, hands him the wedding photograph, and asks him to find the missing husband.</t>
        </is>
      </c>
      <c r="J104" s="5" t="inlineStr">
        <is>
          <t>Springs the obstacle, and unknowingly supplies the means of the deception.</t>
        </is>
      </c>
      <c r="K104" s="19" t="inlineStr">
        <is>
          <t>Rekha's mother, who reveals that her daughter was married as a child to a man named Amar, gives Kumar the wedding photograph, and asks his help in tracing him.</t>
        </is>
      </c>
      <c r="L104" s="5" t="n"/>
      <c r="M104" s="5" t="inlineStr">
        <is>
          <t>SOURCE-019</t>
        </is>
      </c>
    </row>
    <row r="105" ht="49" customHeight="1">
      <c r="A105" s="15" t="inlineStr">
        <is>
          <t>CAST-104</t>
        </is>
      </c>
      <c r="B105" s="18" t="inlineStr">
        <is>
          <t>FILM-026</t>
        </is>
      </c>
      <c r="C105" s="5" t="inlineStr">
        <is>
          <t>Kanyadaan</t>
        </is>
      </c>
      <c r="D105" s="17" t="n">
        <v>1968</v>
      </c>
      <c r="E105" s="5" t="inlineStr">
        <is>
          <t>Om Prakash</t>
        </is>
      </c>
      <c r="F105" s="5" t="inlineStr">
        <is>
          <t>Bansi</t>
        </is>
      </c>
      <c r="G105" s="5" t="inlineStr">
        <is>
          <t>Comic support</t>
        </is>
      </c>
      <c r="H105" s="5" t="inlineStr">
        <is>
          <t>Medium</t>
        </is>
      </c>
      <c r="I105" s="5" t="inlineStr">
        <is>
          <t>Second-billed after Kapoor and Parekh, in the comic register around the two Amars.</t>
        </is>
      </c>
      <c r="J105" s="5" t="inlineStr">
        <is>
          <t>No part in the impediment plot.</t>
        </is>
      </c>
      <c r="K105" s="19" t="inlineStr">
        <is>
          <t>Credited as Bansi, with Tun Tun as his mother-in-law, carrying the comic line of a film otherwise built on a marital deadlock.</t>
        </is>
      </c>
      <c r="L105" s="5" t="n"/>
      <c r="M105" s="5" t="inlineStr">
        <is>
          <t>SOURCE-019</t>
        </is>
      </c>
    </row>
    <row r="106" ht="79" customHeight="1">
      <c r="A106" s="15" t="inlineStr">
        <is>
          <t>CAST-105</t>
        </is>
      </c>
      <c r="B106" s="18" t="inlineStr">
        <is>
          <t>FILM-028</t>
        </is>
      </c>
      <c r="C106" s="5" t="inlineStr">
        <is>
          <t>Pyar Ka Mausam</t>
        </is>
      </c>
      <c r="D106" s="17" t="n">
        <v>1969</v>
      </c>
      <c r="E106" s="5" t="inlineStr">
        <is>
          <t>Asha Parekh</t>
        </is>
      </c>
      <c r="F106" s="5" t="inlineStr">
        <is>
          <t>Seema Kumar</t>
        </is>
      </c>
      <c r="G106" s="5" t="inlineStr">
        <is>
          <t>Co-lead</t>
        </is>
      </c>
      <c r="H106" s="5" t="inlineStr">
        <is>
          <t>Major</t>
        </is>
      </c>
      <c r="I106" s="5" t="inlineStr">
        <is>
          <t>Meets him three times under three names, changes her mind about the false Jhatpat Singh, and rekindles the romance when he turns up as the estate manager.</t>
        </is>
      </c>
      <c r="J106" s="5" t="inlineStr">
        <is>
          <t>The whole of it, and the pairing recorded in the Romances sheet: an identity comedy resolved into a family reunion and a wedding.</t>
        </is>
      </c>
      <c r="K106" s="19" t="inlineStr">
        <is>
          <t>The only child of the widowed Mohan, adopted by the heirless Sardar Ranjit Kumar, who meets a young man in Ooty as Pyarelal, again as a false Jhatpat Singh, and finally as her grandfather's estate manager, and marries him.</t>
        </is>
      </c>
      <c r="L106" s="5" t="n"/>
      <c r="M106" s="5" t="inlineStr">
        <is>
          <t>SOURCE-021</t>
        </is>
      </c>
    </row>
    <row r="107" ht="64" customHeight="1">
      <c r="A107" s="15" t="inlineStr">
        <is>
          <t>CAST-106</t>
        </is>
      </c>
      <c r="B107" s="18" t="inlineStr">
        <is>
          <t>FILM-028</t>
        </is>
      </c>
      <c r="C107" s="5" t="inlineStr">
        <is>
          <t>Pyar Ka Mausam</t>
        </is>
      </c>
      <c r="D107" s="17" t="n">
        <v>1969</v>
      </c>
      <c r="E107" s="5" t="inlineStr">
        <is>
          <t>Nirupa Roy</t>
        </is>
      </c>
      <c r="F107" s="5" t="inlineStr">
        <is>
          <t>Jamuna</t>
        </is>
      </c>
      <c r="G107" s="5" t="inlineStr">
        <is>
          <t>Family</t>
        </is>
      </c>
      <c r="H107" s="5" t="inlineStr">
        <is>
          <t>Major</t>
        </is>
      </c>
      <c r="I107" s="5" t="inlineStr">
        <is>
          <t>Sunder's mother, who eloped against her father's will and loses her reason after the fire; her recovery closes the film.</t>
        </is>
      </c>
      <c r="J107" s="5" t="inlineStr">
        <is>
          <t>Structurally decisive rather than active: the restoration of her identity is what makes the marriage possible.</t>
        </is>
      </c>
      <c r="K107" s="19" t="inlineStr">
        <is>
          <t>Ranjit's daughter, who eloped with the peasant Gopal, is reconciled to her father too late, loses her husband in the fire and her son to the night, and regains her sanity at the reunion.</t>
        </is>
      </c>
      <c r="L107" s="5" t="n"/>
      <c r="M107" s="5" t="inlineStr">
        <is>
          <t>SOURCE-021</t>
        </is>
      </c>
    </row>
    <row r="108" ht="64" customHeight="1">
      <c r="A108" s="15" t="inlineStr">
        <is>
          <t>CAST-107</t>
        </is>
      </c>
      <c r="B108" s="18" t="inlineStr">
        <is>
          <t>FILM-028</t>
        </is>
      </c>
      <c r="C108" s="5" t="inlineStr">
        <is>
          <t>Pyar Ka Mausam</t>
        </is>
      </c>
      <c r="D108" s="17" t="n">
        <v>1969</v>
      </c>
      <c r="E108" s="5" t="inlineStr">
        <is>
          <t>Bharat Bhushan</t>
        </is>
      </c>
      <c r="F108" s="5" t="inlineStr">
        <is>
          <t>Gopal</t>
        </is>
      </c>
      <c r="G108" s="5" t="inlineStr">
        <is>
          <t>Family</t>
        </is>
      </c>
      <c r="H108" s="5" t="inlineStr">
        <is>
          <t>Medium</t>
        </is>
      </c>
      <c r="I108" s="5" t="inlineStr">
        <is>
          <t>Sunder's father, burned to death in the opening movement, and the reason the boy grows up adopted and nameless.</t>
        </is>
      </c>
      <c r="J108" s="5" t="inlineStr">
        <is>
          <t>The precedent: a marriage across class that the family destroyed, which the younger romance repeats on better terms.</t>
        </is>
      </c>
      <c r="K108" s="19" t="inlineStr">
        <is>
          <t>The poor peasant with whom Jamuna elopes, found burned to death in the flames that consume their house on the night her father comes to be reconciled.</t>
        </is>
      </c>
      <c r="L108" s="5" t="n"/>
      <c r="M108" s="5" t="inlineStr">
        <is>
          <t>SOURCE-021</t>
        </is>
      </c>
    </row>
    <row r="109" ht="64" customHeight="1">
      <c r="A109" s="15" t="inlineStr">
        <is>
          <t>CAST-108</t>
        </is>
      </c>
      <c r="B109" s="18" t="inlineStr">
        <is>
          <t>FILM-028</t>
        </is>
      </c>
      <c r="C109" s="5" t="inlineStr">
        <is>
          <t>Pyar Ka Mausam</t>
        </is>
      </c>
      <c r="D109" s="17" t="n">
        <v>1969</v>
      </c>
      <c r="E109" s="5" t="inlineStr">
        <is>
          <t>Riyasat Ali Wasti</t>
        </is>
      </c>
      <c r="F109" s="5" t="inlineStr">
        <is>
          <t>Sardar Ranjit Kumar</t>
        </is>
      </c>
      <c r="G109" s="5" t="inlineStr">
        <is>
          <t>Authority figure</t>
        </is>
      </c>
      <c r="H109" s="5" t="inlineStr">
        <is>
          <t>Major</t>
        </is>
      </c>
      <c r="I109" s="5" t="inlineStr">
        <is>
          <t>The grandfather who does not know him, who appoints him estate manager and then intends Seema for an impostor.</t>
        </is>
      </c>
      <c r="J109" s="5" t="inlineStr">
        <is>
          <t>The obstacle in the last act: he wants Seema married to Shankar's son, whom he believes to be the lost grandson.</t>
        </is>
      </c>
      <c r="K109" s="19" t="inlineStr">
        <is>
          <t>A landowner without an heir who disowns his eloping daughter, adopts his employee's child Seema, and is deceived into accepting his step-brother's son as the grandson he lost.</t>
        </is>
      </c>
      <c r="L109" s="5" t="n"/>
      <c r="M109" s="5" t="inlineStr">
        <is>
          <t>SOURCE-021</t>
        </is>
      </c>
    </row>
    <row r="110" ht="64" customHeight="1">
      <c r="A110" s="15" t="inlineStr">
        <is>
          <t>CAST-109</t>
        </is>
      </c>
      <c r="B110" s="18" t="inlineStr">
        <is>
          <t>FILM-028</t>
        </is>
      </c>
      <c r="C110" s="5" t="inlineStr">
        <is>
          <t>Pyar Ka Mausam</t>
        </is>
      </c>
      <c r="D110" s="17" t="n">
        <v>1969</v>
      </c>
      <c r="E110" s="5" t="inlineStr">
        <is>
          <t>Madan Puri</t>
        </is>
      </c>
      <c r="F110" s="5" t="inlineStr">
        <is>
          <t>Shanker</t>
        </is>
      </c>
      <c r="G110" s="5" t="inlineStr">
        <is>
          <t>Antagonist</t>
        </is>
      </c>
      <c r="H110" s="5" t="inlineStr">
        <is>
          <t>Major</t>
        </is>
      </c>
      <c r="I110" s="5" t="inlineStr">
        <is>
          <t>The step-brother who plants his own son in Sunder's place to take the property, making him the rival for both the inheritance and Seema.</t>
        </is>
      </c>
      <c r="J110" s="5" t="inlineStr">
        <is>
          <t>Direct opposition: the marriage he engineers for his son is to the woman Sunder loves.</t>
        </is>
      </c>
      <c r="K110" s="19" t="inlineStr">
        <is>
          <t>Ranjit's estranged step-brother, who passes his son off as Jamuna and Gopal's lost child in order to take the estate, and nearly secures Seema for him.</t>
        </is>
      </c>
      <c r="L110" s="5" t="n"/>
      <c r="M110" s="5" t="inlineStr">
        <is>
          <t>SOURCE-021</t>
        </is>
      </c>
    </row>
    <row r="111" ht="64" customHeight="1">
      <c r="A111" s="15" t="inlineStr">
        <is>
          <t>CAST-110</t>
        </is>
      </c>
      <c r="B111" s="18" t="inlineStr">
        <is>
          <t>FILM-028</t>
        </is>
      </c>
      <c r="C111" s="5" t="inlineStr">
        <is>
          <t>Pyar Ka Mausam</t>
        </is>
      </c>
      <c r="D111" s="17" t="n">
        <v>1969</v>
      </c>
      <c r="E111" s="5" t="inlineStr">
        <is>
          <t>Birbal</t>
        </is>
      </c>
      <c r="F111" s="5" t="inlineStr">
        <is>
          <t>Real Jhatpat Singh</t>
        </is>
      </c>
      <c r="G111" s="5" t="inlineStr">
        <is>
          <t>Comic support</t>
        </is>
      </c>
      <c r="H111" s="5" t="inlineStr">
        <is>
          <t>Medium</t>
        </is>
      </c>
      <c r="I111" s="5" t="inlineStr">
        <is>
          <t>The man whose name Kapoor's character borrows, whose arrival in Ooty makes Seema change her mind.</t>
        </is>
      </c>
      <c r="J111" s="5" t="inlineStr">
        <is>
          <t>The mechanism of the middle act: his appearance collapses the borrowed identity.</t>
        </is>
      </c>
      <c r="K111" s="19" t="inlineStr">
        <is>
          <t>The actual Jhatpat Singh, to whom Seema was supposedly engaged in childhood, credited alongside Rajendra Nath's fake Jhatpat Singh in a plot where the name passes through several hands.</t>
        </is>
      </c>
      <c r="L111" s="5" t="n"/>
      <c r="M111" s="5" t="inlineStr">
        <is>
          <t>SOURCE-021</t>
        </is>
      </c>
    </row>
    <row r="112" ht="49" customHeight="1">
      <c r="A112" s="15" t="inlineStr">
        <is>
          <t>CAST-111</t>
        </is>
      </c>
      <c r="B112" s="18" t="inlineStr">
        <is>
          <t>FILM-028</t>
        </is>
      </c>
      <c r="C112" s="5" t="inlineStr">
        <is>
          <t>Pyar Ka Mausam</t>
        </is>
      </c>
      <c r="D112" s="17" t="n">
        <v>1969</v>
      </c>
      <c r="E112" s="5" t="inlineStr">
        <is>
          <t>Rahul Dev Burman</t>
        </is>
      </c>
      <c r="F112" s="5" t="inlineStr">
        <is>
          <t>Assistant of Real Jhatpat Singh</t>
        </is>
      </c>
      <c r="G112" s="5" t="inlineStr">
        <is>
          <t>Cameo</t>
        </is>
      </c>
      <c r="H112" s="5" t="inlineStr">
        <is>
          <t>Minor</t>
        </is>
      </c>
      <c r="I112" s="5" t="inlineStr">
        <is>
          <t>Attached to the real Jhatpat Singh rather than to Sunder.</t>
        </is>
      </c>
      <c r="J112" s="5" t="inlineStr">
        <is>
          <t>No part in it.</t>
        </is>
      </c>
      <c r="K112" s="19" t="inlineStr">
        <is>
          <t>A small acting appearance by the film's own composer, one of only two such parts in his career, the other being Bhoot Bungla.</t>
        </is>
      </c>
      <c r="L112" s="5" t="n"/>
      <c r="M112" s="5" t="inlineStr">
        <is>
          <t>SOURCE-021</t>
        </is>
      </c>
    </row>
    <row r="113" ht="64" customHeight="1">
      <c r="A113" s="15" t="inlineStr">
        <is>
          <t>CAST-112</t>
        </is>
      </c>
      <c r="B113" s="18" t="inlineStr">
        <is>
          <t>FILM-029</t>
        </is>
      </c>
      <c r="C113" s="5" t="inlineStr">
        <is>
          <t>Ek Shrimaan Ek Shrimati</t>
        </is>
      </c>
      <c r="D113" s="17" t="n">
        <v>1969</v>
      </c>
      <c r="E113" s="5" t="inlineStr">
        <is>
          <t>Babita</t>
        </is>
      </c>
      <c r="F113" s="5" t="inlineStr">
        <is>
          <t>Deepali Lakhanpal</t>
        </is>
      </c>
      <c r="G113" s="5" t="inlineStr">
        <is>
          <t>Co-lead</t>
        </is>
      </c>
      <c r="H113" s="5" t="inlineStr">
        <is>
          <t>Major</t>
        </is>
      </c>
      <c r="I113" s="5" t="inlineStr">
        <is>
          <t>The woman Pritam falls for, who has already settled on another man, and who comes round to him by way of her uncle.</t>
        </is>
      </c>
      <c r="J113" s="5" t="inlineStr">
        <is>
          <t>The whole of it, and the pairing recorded in the Romances sheet: a suit won over an incumbent rather than against a villain.</t>
        </is>
      </c>
      <c r="K113" s="19" t="inlineStr">
        <is>
          <t>A young woman who has already chosen Ajit as her partner when Pritam falls for her, and whose affections shift once Pritam has won over the uncle who speaks for the family.</t>
        </is>
      </c>
      <c r="L113" s="5" t="n"/>
      <c r="M113" s="5" t="inlineStr">
        <is>
          <t>SOURCE-023</t>
        </is>
      </c>
    </row>
    <row r="114" ht="49" customHeight="1">
      <c r="A114" s="15" t="inlineStr">
        <is>
          <t>CAST-113</t>
        </is>
      </c>
      <c r="B114" s="18" t="inlineStr">
        <is>
          <t>FILM-029</t>
        </is>
      </c>
      <c r="C114" s="5" t="inlineStr">
        <is>
          <t>Ek Shrimaan Ek Shrimati</t>
        </is>
      </c>
      <c r="D114" s="17" t="n">
        <v>1969</v>
      </c>
      <c r="E114" s="5" t="inlineStr">
        <is>
          <t>Om Prakash</t>
        </is>
      </c>
      <c r="F114" s="5" t="inlineStr">
        <is>
          <t>Deepali's uncle</t>
        </is>
      </c>
      <c r="G114" s="5" t="inlineStr">
        <is>
          <t>Family</t>
        </is>
      </c>
      <c r="H114" s="5" t="inlineStr">
        <is>
          <t>Major</t>
        </is>
      </c>
      <c r="I114" s="5" t="inlineStr">
        <is>
          <t>The figure Pritam must win, and the route to Deepali; the comic encounters with him are the film's method.</t>
        </is>
      </c>
      <c r="J114" s="5" t="inlineStr">
        <is>
          <t>The decisive ally rather than an obstacle: he converts family opinion and with it Deepali.</t>
        </is>
      </c>
      <c r="K114" s="19" t="inlineStr">
        <is>
          <t>Deepali's uncle, whose good opinion Pritam secures through a series of comic encounters and who then helps him win her.</t>
        </is>
      </c>
      <c r="L114" s="5" t="n"/>
      <c r="M114" s="5" t="inlineStr">
        <is>
          <t>SOURCE-023</t>
        </is>
      </c>
    </row>
    <row r="115" ht="49" customHeight="1">
      <c r="A115" s="15" t="inlineStr">
        <is>
          <t>CAST-114</t>
        </is>
      </c>
      <c r="B115" s="18" t="inlineStr">
        <is>
          <t>FILM-029</t>
        </is>
      </c>
      <c r="C115" s="5" t="inlineStr">
        <is>
          <t>Ek Shrimaan Ek Shrimati</t>
        </is>
      </c>
      <c r="D115" s="17" t="n">
        <v>1969</v>
      </c>
      <c r="E115" s="5" t="inlineStr">
        <is>
          <t>Prem Chopra</t>
        </is>
      </c>
      <c r="F115" s="5" t="inlineStr">
        <is>
          <t>Ajit Choudhary</t>
        </is>
      </c>
      <c r="G115" s="5" t="inlineStr">
        <is>
          <t>Romantic rival</t>
        </is>
      </c>
      <c r="H115" s="5" t="inlineStr">
        <is>
          <t>Major</t>
        </is>
      </c>
      <c r="I115" s="5" t="inlineStr">
        <is>
          <t>The man Deepali has already chosen when Pritam appears, and so the incumbent Pritam displaces.</t>
        </is>
      </c>
      <c r="J115" s="5" t="inlineStr">
        <is>
          <t>The rival claim, and the one the film's comedy works around rather than through violence.</t>
        </is>
      </c>
      <c r="K115" s="19" t="inlineStr">
        <is>
          <t>The partner Deepali has settled on before Pritam's arrival, displaced in the course of Pritam's campaign for the family's favour.</t>
        </is>
      </c>
      <c r="L115" s="5" t="n"/>
      <c r="M115" s="5" t="inlineStr">
        <is>
          <t>SOURCE-023</t>
        </is>
      </c>
    </row>
    <row r="116" ht="34" customHeight="1">
      <c r="A116" s="15" t="inlineStr">
        <is>
          <t>CAST-115</t>
        </is>
      </c>
      <c r="B116" s="18" t="inlineStr">
        <is>
          <t>FILM-029</t>
        </is>
      </c>
      <c r="C116" s="5" t="inlineStr">
        <is>
          <t>Ek Shrimaan Ek Shrimati</t>
        </is>
      </c>
      <c r="D116" s="17" t="n">
        <v>1969</v>
      </c>
      <c r="E116" s="5" t="inlineStr">
        <is>
          <t>Rajendra Nath</t>
        </is>
      </c>
      <c r="F116" s="5" t="inlineStr">
        <is>
          <t>Ram Bharose Agnihotri</t>
        </is>
      </c>
      <c r="G116" s="5" t="inlineStr">
        <is>
          <t>Comic support</t>
        </is>
      </c>
      <c r="H116" s="5" t="inlineStr">
        <is>
          <t>Medium</t>
        </is>
      </c>
      <c r="I116" s="5" t="inlineStr">
        <is>
          <t>Third-billed comic support around Pritam's pursuit.</t>
        </is>
      </c>
      <c r="J116" s="5" t="inlineStr">
        <is>
          <t>Comic accompaniment to the courtship.</t>
        </is>
      </c>
      <c r="K116" s="19" t="inlineStr">
        <is>
          <t>Credited as Ram Bharose Agnihotri in the comic apparatus of a film built on a suitor's campaign for a family's approval.</t>
        </is>
      </c>
      <c r="L116" s="5" t="n"/>
      <c r="M116" s="5" t="inlineStr">
        <is>
          <t>SOURCE-023</t>
        </is>
      </c>
    </row>
    <row r="117" ht="34" customHeight="1">
      <c r="A117" s="15" t="inlineStr">
        <is>
          <t>CAST-116</t>
        </is>
      </c>
      <c r="B117" s="18" t="inlineStr">
        <is>
          <t>FILM-029</t>
        </is>
      </c>
      <c r="C117" s="5" t="inlineStr">
        <is>
          <t>Ek Shrimaan Ek Shrimati</t>
        </is>
      </c>
      <c r="D117" s="17" t="n">
        <v>1969</v>
      </c>
      <c r="E117" s="5" t="inlineStr">
        <is>
          <t>Kamini Kaushal</t>
        </is>
      </c>
      <c r="F117" s="5" t="inlineStr">
        <is>
          <t>Rama</t>
        </is>
      </c>
      <c r="G117" s="5" t="inlineStr">
        <is>
          <t>Family</t>
        </is>
      </c>
      <c r="H117" s="5" t="inlineStr">
        <is>
          <t>Medium</t>
        </is>
      </c>
      <c r="I117" s="5" t="inlineStr">
        <is>
          <t>A senior family presence in the household the courtship is conducted in.</t>
        </is>
      </c>
      <c r="J117" s="5" t="inlineStr">
        <is>
          <t>Part of the family opinion Pritam must carry.</t>
        </is>
      </c>
      <c r="K117" s="19" t="inlineStr">
        <is>
          <t>Credited as Rama among the family around Deepali, in the household whose approval decides the match.</t>
        </is>
      </c>
      <c r="L117" s="5" t="n"/>
      <c r="M117" s="5" t="inlineStr">
        <is>
          <t>SOURCE-023</t>
        </is>
      </c>
    </row>
    <row r="118" ht="49" customHeight="1">
      <c r="A118" s="15" t="inlineStr">
        <is>
          <t>CAST-117</t>
        </is>
      </c>
      <c r="B118" s="18" t="inlineStr">
        <is>
          <t>FILM-029</t>
        </is>
      </c>
      <c r="C118" s="5" t="inlineStr">
        <is>
          <t>Ek Shrimaan Ek Shrimati</t>
        </is>
      </c>
      <c r="D118" s="17" t="n">
        <v>1969</v>
      </c>
      <c r="E118" s="5" t="inlineStr">
        <is>
          <t>Helen</t>
        </is>
      </c>
      <c r="F118" s="5" t="inlineStr">
        <is>
          <t>Sherry</t>
        </is>
      </c>
      <c r="G118" s="5" t="inlineStr">
        <is>
          <t>Supporting</t>
        </is>
      </c>
      <c r="H118" s="5" t="inlineStr">
        <is>
          <t>Medium</t>
        </is>
      </c>
      <c r="I118" s="5" t="inlineStr">
        <is>
          <t>Outside the courtship proper; Helen's parts of this period are usually a dance number and a complication.</t>
        </is>
      </c>
      <c r="J118" s="5" t="inlineStr">
        <is>
          <t>Peripheral to the central suit.</t>
        </is>
      </c>
      <c r="K118" s="19" t="inlineStr">
        <is>
          <t>Credited as Sherry. The article's short synopsis covers only Pritam's campaign for Deepali and does not place the part.</t>
        </is>
      </c>
      <c r="L118" s="5" t="n"/>
      <c r="M118" s="5" t="inlineStr">
        <is>
          <t>SOURCE-023</t>
        </is>
      </c>
    </row>
    <row r="119" ht="64" customHeight="1">
      <c r="A119" s="15" t="inlineStr">
        <is>
          <t>CAST-118</t>
        </is>
      </c>
      <c r="B119" s="18" t="inlineStr">
        <is>
          <t>FILM-030</t>
        </is>
      </c>
      <c r="C119" s="5" t="inlineStr">
        <is>
          <t>Raja Saab</t>
        </is>
      </c>
      <c r="D119" s="17" t="n">
        <v>1969</v>
      </c>
      <c r="E119" s="5" t="inlineStr">
        <is>
          <t>Nanda</t>
        </is>
      </c>
      <c r="F119" s="5" t="inlineStr">
        <is>
          <t>Poonam</t>
        </is>
      </c>
      <c r="G119" s="5" t="inlineStr">
        <is>
          <t>Co-lead</t>
        </is>
      </c>
      <c r="H119" s="5" t="inlineStr">
        <is>
          <t>Major</t>
        </is>
      </c>
      <c r="I119" s="5" t="inlineStr">
        <is>
          <t>The princess Raju is made to impersonate a prince in front of, who comes to love him, and from whom the truth is withheld.</t>
        </is>
      </c>
      <c r="J119" s="5" t="inlineStr">
        <is>
          <t>The whole of it, and the pairing recorded in the Romances sheet: an attachment built on an imposture the film leaves unresolved.</t>
        </is>
      </c>
      <c r="K119" s="19" t="inlineStr">
        <is>
          <t>A princess courted by a man she takes for Prince Pratap Singh, who after initial hesitation returns his feeling, and whose response to learning he is an orphan and a pauper the article's synopsis poses as a question.</t>
        </is>
      </c>
      <c r="L119" s="5" t="n"/>
      <c r="M119" s="5" t="inlineStr">
        <is>
          <t>SOURCE-020</t>
        </is>
      </c>
    </row>
    <row r="120" ht="49" customHeight="1">
      <c r="A120" s="15" t="inlineStr">
        <is>
          <t>CAST-119</t>
        </is>
      </c>
      <c r="B120" s="18" t="inlineStr">
        <is>
          <t>FILM-030</t>
        </is>
      </c>
      <c r="C120" s="5" t="inlineStr">
        <is>
          <t>Raja Saab</t>
        </is>
      </c>
      <c r="D120" s="17" t="n">
        <v>1969</v>
      </c>
      <c r="E120" s="5" t="inlineStr">
        <is>
          <t>Rajendra Nath</t>
        </is>
      </c>
      <c r="F120" s="5" t="inlineStr">
        <is>
          <t>Pratap Singh</t>
        </is>
      </c>
      <c r="G120" s="5" t="inlineStr">
        <is>
          <t>Supporting</t>
        </is>
      </c>
      <c r="H120" s="5" t="inlineStr">
        <is>
          <t>Major</t>
        </is>
      </c>
      <c r="I120" s="5" t="inlineStr">
        <is>
          <t>Raju's employer, and the man he is compelled to impersonate; the whole deception is his instruction.</t>
        </is>
      </c>
      <c r="J120" s="5" t="inlineStr">
        <is>
          <t>The author of the romance and its flaw, since the courtship is conducted in his name.</t>
        </is>
      </c>
      <c r="K120" s="19" t="inlineStr">
        <is>
          <t>The prince who employs Raju and forces him to stand in for him before Princess Poonam, setting up an imposture that outgrows its purpose.</t>
        </is>
      </c>
      <c r="L120" s="5" t="n"/>
      <c r="M120" s="5" t="inlineStr">
        <is>
          <t>SOURCE-020</t>
        </is>
      </c>
    </row>
    <row r="121" ht="49" customHeight="1">
      <c r="A121" s="15" t="inlineStr">
        <is>
          <t>CAST-120</t>
        </is>
      </c>
      <c r="B121" s="18" t="inlineStr">
        <is>
          <t>FILM-030</t>
        </is>
      </c>
      <c r="C121" s="5" t="inlineStr">
        <is>
          <t>Raja Saab</t>
        </is>
      </c>
      <c r="D121" s="17" t="n">
        <v>1969</v>
      </c>
      <c r="E121" s="5" t="inlineStr">
        <is>
          <t>Kamal Kapoor</t>
        </is>
      </c>
      <c r="F121" s="5" t="inlineStr">
        <is>
          <t>Poonam's uncle</t>
        </is>
      </c>
      <c r="G121" s="5" t="inlineStr">
        <is>
          <t>Authority figure</t>
        </is>
      </c>
      <c r="H121" s="5" t="inlineStr">
        <is>
          <t>Medium</t>
        </is>
      </c>
      <c r="I121" s="5" t="inlineStr">
        <is>
          <t>The family authority over Poonam, and so over the credibility of the borrowed royal identity.</t>
        </is>
      </c>
      <c r="J121" s="5" t="inlineStr">
        <is>
          <t>The standing that the imposture exists to satisfy.</t>
        </is>
      </c>
      <c r="K121" s="19" t="inlineStr">
        <is>
          <t>Poonam's uncle, the family authority whose expectations about rank the impersonation is designed to meet.</t>
        </is>
      </c>
      <c r="L121" s="5" t="n"/>
      <c r="M121" s="5" t="inlineStr">
        <is>
          <t>SOURCE-020</t>
        </is>
      </c>
    </row>
    <row r="122" ht="49" customHeight="1">
      <c r="A122" s="15" t="inlineStr">
        <is>
          <t>CAST-121</t>
        </is>
      </c>
      <c r="B122" s="18" t="inlineStr">
        <is>
          <t>FILM-030</t>
        </is>
      </c>
      <c r="C122" s="5" t="inlineStr">
        <is>
          <t>Raja Saab</t>
        </is>
      </c>
      <c r="D122" s="17" t="n">
        <v>1969</v>
      </c>
      <c r="E122" s="5" t="inlineStr">
        <is>
          <t>Shammi</t>
        </is>
      </c>
      <c r="F122" s="5" t="inlineStr">
        <is>
          <t>Malti</t>
        </is>
      </c>
      <c r="G122" s="5" t="inlineStr">
        <is>
          <t>Supporting</t>
        </is>
      </c>
      <c r="H122" s="5" t="inlineStr">
        <is>
          <t>Medium</t>
        </is>
      </c>
      <c r="I122" s="5" t="inlineStr">
        <is>
          <t>Poonam's secretary, placed close enough to the courtship to be part of its management.</t>
        </is>
      </c>
      <c r="J122" s="5" t="inlineStr">
        <is>
          <t>An attendant presence in the courtship.</t>
        </is>
      </c>
      <c r="K122" s="19" t="inlineStr">
        <is>
          <t>Poonam's secretary, credited among the household through which the false prince conducts his courtship.</t>
        </is>
      </c>
      <c r="L122" s="5" t="n"/>
      <c r="M122" s="5" t="inlineStr">
        <is>
          <t>SOURCE-020</t>
        </is>
      </c>
    </row>
    <row r="123" ht="49" customHeight="1">
      <c r="A123" s="15" t="inlineStr">
        <is>
          <t>CAST-122</t>
        </is>
      </c>
      <c r="B123" s="18" t="inlineStr">
        <is>
          <t>FILM-030</t>
        </is>
      </c>
      <c r="C123" s="5" t="inlineStr">
        <is>
          <t>Raja Saab</t>
        </is>
      </c>
      <c r="D123" s="17" t="n">
        <v>1969</v>
      </c>
      <c r="E123" s="5" t="inlineStr">
        <is>
          <t>Agha</t>
        </is>
      </c>
      <c r="F123" s="5" t="inlineStr">
        <is>
          <t>Hameshbahar's dad</t>
        </is>
      </c>
      <c r="G123" s="5" t="inlineStr">
        <is>
          <t>Comic support</t>
        </is>
      </c>
      <c r="H123" s="5" t="inlineStr">
        <is>
          <t>Minor</t>
        </is>
      </c>
      <c r="I123" s="5" t="inlineStr">
        <is>
          <t>Comic support in the world around the imposture, credited with Kumari Naaz as Hameshbahar.</t>
        </is>
      </c>
      <c r="J123" s="5" t="inlineStr">
        <is>
          <t>No part in the central courtship.</t>
        </is>
      </c>
      <c r="K123" s="19" t="inlineStr">
        <is>
          <t>Credited as the father of Kumari Naaz's Hameshbahar, in the comic register of an impersonation plot.</t>
        </is>
      </c>
      <c r="L123" s="5" t="n"/>
      <c r="M123" s="5" t="inlineStr">
        <is>
          <t>SOURCE-020</t>
        </is>
      </c>
    </row>
    <row r="124" ht="79" customHeight="1">
      <c r="A124" s="15" t="inlineStr">
        <is>
          <t>CAST-123</t>
        </is>
      </c>
      <c r="B124" s="18" t="inlineStr">
        <is>
          <t>FILM-031</t>
        </is>
      </c>
      <c r="C124" s="5" t="inlineStr">
        <is>
          <t>Rootha Na Karo</t>
        </is>
      </c>
      <c r="D124" s="17" t="n">
        <v>1970</v>
      </c>
      <c r="E124" s="5" t="inlineStr">
        <is>
          <t>Nanda</t>
        </is>
      </c>
      <c r="F124" s="5" t="inlineStr">
        <is>
          <t>Neeta</t>
        </is>
      </c>
      <c r="G124" s="5" t="inlineStr">
        <is>
          <t>Co-lead</t>
        </is>
      </c>
      <c r="H124" s="5" t="inlineStr">
        <is>
          <t>Major</t>
        </is>
      </c>
      <c r="I124" s="5" t="inlineStr">
        <is>
          <t>His long-standing friend and now his fiancee, who trusts him deeply and is nonetheless worked on until she accuses him.</t>
        </is>
      </c>
      <c r="J124" s="5" t="inlineStr">
        <is>
          <t>The whole of it, and the pairing recorded in the Romances sheet: an engagement with no internal conflict at all, damaged entirely from outside.</t>
        </is>
      </c>
      <c r="K124" s="19" t="inlineStr">
        <is>
          <t>An heiress living with her widowed mother, engaged with her mother's blessing to a poor young man she has known for years, who is slowly made afraid that he wants her property, confronts him at the lawyer's office, and must win him back after the accusation drives him away.</t>
        </is>
      </c>
      <c r="L124" s="5" t="n"/>
      <c r="M124" s="5" t="inlineStr">
        <is>
          <t>SOURCE-025</t>
        </is>
      </c>
    </row>
    <row r="125" ht="79" customHeight="1">
      <c r="A125" s="15" t="inlineStr">
        <is>
          <t>CAST-124</t>
        </is>
      </c>
      <c r="B125" s="18" t="inlineStr">
        <is>
          <t>FILM-031</t>
        </is>
      </c>
      <c r="C125" s="5" t="inlineStr">
        <is>
          <t>Rootha Na Karo</t>
        </is>
      </c>
      <c r="D125" s="17" t="n">
        <v>1970</v>
      </c>
      <c r="E125" s="5" t="inlineStr">
        <is>
          <t>Kumari Naaz</t>
        </is>
      </c>
      <c r="F125" s="5" t="inlineStr">
        <is>
          <t>Naina</t>
        </is>
      </c>
      <c r="G125" s="5" t="inlineStr">
        <is>
          <t>Antagonist</t>
        </is>
      </c>
      <c r="H125" s="5" t="inlineStr">
        <is>
          <t>Major</t>
        </is>
      </c>
      <c r="I125" s="5" t="inlineStr">
        <is>
          <t>The cousin who wanted him for herself and, refused, set out to destroy his engagement; she is the film's entire opposition.</t>
        </is>
      </c>
      <c r="J125" s="5" t="inlineStr">
        <is>
          <t>The manipulator. Every doubt in the relationship is placed there by her, which is why the pairing scores high on external opposition and near zero on friction between the couple.</t>
        </is>
      </c>
      <c r="K125" s="19" t="inlineStr">
        <is>
          <t>Neeta's cousin, who warns her repeatedly that Sudhir is after her money, stages the visit to the lawyer that seems to prove it, and finally confesses that she loved him herself before taking poison and dying in Neeta's arms.</t>
        </is>
      </c>
      <c r="L125" s="5" t="n"/>
      <c r="M125" s="5" t="inlineStr">
        <is>
          <t>SOURCE-025</t>
        </is>
      </c>
    </row>
    <row r="126" ht="64" customHeight="1">
      <c r="A126" s="15" t="inlineStr">
        <is>
          <t>CAST-125</t>
        </is>
      </c>
      <c r="B126" s="18" t="inlineStr">
        <is>
          <t>FILM-031</t>
        </is>
      </c>
      <c r="C126" s="5" t="inlineStr">
        <is>
          <t>Rootha Na Karo</t>
        </is>
      </c>
      <c r="D126" s="17" t="n">
        <v>1970</v>
      </c>
      <c r="E126" s="5" t="inlineStr">
        <is>
          <t>Sulochana Latkar</t>
        </is>
      </c>
      <c r="F126" s="5" t="inlineStr">
        <is>
          <t>Neeta's mother</t>
        </is>
      </c>
      <c r="G126" s="5" t="inlineStr">
        <is>
          <t>Family</t>
        </is>
      </c>
      <c r="H126" s="5" t="inlineStr">
        <is>
          <t>Medium</t>
        </is>
      </c>
      <c r="I126" s="5" t="inlineStr">
        <is>
          <t>Approves of him and consents to the marriage, which is unusual for a poor suitor in this period of Kapoor's work.</t>
        </is>
      </c>
      <c r="J126" s="5" t="inlineStr">
        <is>
          <t>Support rather than obstacle: her consent removes the standard family objection and leaves the field to Naina.</t>
        </is>
      </c>
      <c r="K126" s="19" t="inlineStr">
        <is>
          <t>Neeta's widowed mother, who gives her consent to her daughter's marriage with a poor young man.</t>
        </is>
      </c>
      <c r="L126" s="5" t="n"/>
      <c r="M126" s="5" t="inlineStr">
        <is>
          <t>SOURCE-025</t>
        </is>
      </c>
    </row>
    <row r="127" ht="64" customHeight="1">
      <c r="A127" s="15" t="inlineStr">
        <is>
          <t>CAST-126</t>
        </is>
      </c>
      <c r="B127" s="18" t="inlineStr">
        <is>
          <t>FILM-031</t>
        </is>
      </c>
      <c r="C127" s="5" t="inlineStr">
        <is>
          <t>Rootha Na Karo</t>
        </is>
      </c>
      <c r="D127" s="17" t="n">
        <v>1970</v>
      </c>
      <c r="E127" s="5" t="inlineStr">
        <is>
          <t>Rajendra Nath</t>
        </is>
      </c>
      <c r="F127" s="5" t="inlineStr">
        <is>
          <t>Anil</t>
        </is>
      </c>
      <c r="G127" s="5" t="inlineStr">
        <is>
          <t>Friend</t>
        </is>
      </c>
      <c r="H127" s="5" t="inlineStr">
        <is>
          <t>Medium</t>
        </is>
      </c>
      <c r="I127" s="5" t="inlineStr">
        <is>
          <t>Neeta's other cousin and Sudhir's friend, who vouches for him and is the intended beneficiary of the property transfer that looked like theft.</t>
        </is>
      </c>
      <c r="J127" s="5" t="inlineStr">
        <is>
          <t>Clears it: he confirms to Neeta how Naina poisoned her mind.</t>
        </is>
      </c>
      <c r="K127" s="19" t="inlineStr">
        <is>
          <t>A cousin with a passion for stage and theatre who recommends Sudhir warmly, and to whom Sudhir was quietly transferring Neeta's property so as not to touch a penny of her money.</t>
        </is>
      </c>
      <c r="L127" s="5" t="n"/>
      <c r="M127" s="5" t="inlineStr">
        <is>
          <t>SOURCE-025</t>
        </is>
      </c>
    </row>
    <row r="128" ht="34" customHeight="1">
      <c r="A128" s="15" t="inlineStr">
        <is>
          <t>CAST-127</t>
        </is>
      </c>
      <c r="B128" s="18" t="inlineStr">
        <is>
          <t>FILM-031</t>
        </is>
      </c>
      <c r="C128" s="5" t="inlineStr">
        <is>
          <t>Rootha Na Karo</t>
        </is>
      </c>
      <c r="D128" s="17" t="n">
        <v>1970</v>
      </c>
      <c r="E128" s="5" t="inlineStr">
        <is>
          <t>Tun Tun</t>
        </is>
      </c>
      <c r="F128" s="5" t="inlineStr">
        <is>
          <t>Neeta's maidservant</t>
        </is>
      </c>
      <c r="G128" s="5" t="inlineStr">
        <is>
          <t>Comic support</t>
        </is>
      </c>
      <c r="H128" s="5" t="inlineStr">
        <is>
          <t>Minor</t>
        </is>
      </c>
      <c r="I128" s="5" t="inlineStr">
        <is>
          <t>A household presence around the courtship.</t>
        </is>
      </c>
      <c r="J128" s="5" t="inlineStr">
        <is>
          <t>No part in the manipulation plot.</t>
        </is>
      </c>
      <c r="K128" s="19" t="inlineStr">
        <is>
          <t>Credited as Neeta's maidservant, in the comic register of a household drama.</t>
        </is>
      </c>
      <c r="L128" s="5" t="n"/>
      <c r="M128" s="5" t="inlineStr">
        <is>
          <t>SOURCE-025</t>
        </is>
      </c>
    </row>
    <row r="129" ht="79" customHeight="1">
      <c r="A129" s="15" t="inlineStr">
        <is>
          <t>CAST-128</t>
        </is>
      </c>
      <c r="B129" s="18" t="inlineStr">
        <is>
          <t>FILM-032</t>
        </is>
      </c>
      <c r="C129" s="5" t="inlineStr">
        <is>
          <t>Abhinetri</t>
        </is>
      </c>
      <c r="D129" s="17" t="n">
        <v>1970</v>
      </c>
      <c r="E129" s="5" t="inlineStr">
        <is>
          <t>Hema Malini</t>
        </is>
      </c>
      <c r="F129" s="5" t="inlineStr">
        <is>
          <t>Anjana</t>
        </is>
      </c>
      <c r="G129" s="5" t="inlineStr">
        <is>
          <t>Co-lead</t>
        </is>
      </c>
      <c r="H129" s="5" t="inlineStr">
        <is>
          <t>Major</t>
        </is>
      </c>
      <c r="I129" s="5" t="inlineStr">
        <is>
          <t>The stage dancer he marries, who gives up her career for him and takes it back when he neglects her; the marriage's strain is hers as much as his.</t>
        </is>
      </c>
      <c r="J129" s="5" t="inlineStr">
        <is>
          <t>The whole of it, and the pairing recorded in the Romances sheet: a marriage that has to find again what it lost, rather than a courtship.</t>
        </is>
      </c>
      <c r="K129" s="19" t="inlineStr">
        <is>
          <t>An established stage dancer and singer, orphaned early, who meets an assistant scientist by chance, marries him with his mother's approval, gives up performing, resumes it when he retreats into the laboratory, separates from him, and reunites for his mother's sake.</t>
        </is>
      </c>
      <c r="L129" s="5" t="n"/>
      <c r="M129" s="5" t="inlineStr">
        <is>
          <t>SOURCE-026</t>
        </is>
      </c>
    </row>
    <row r="130" ht="79" customHeight="1">
      <c r="A130" s="15" t="inlineStr">
        <is>
          <t>CAST-129</t>
        </is>
      </c>
      <c r="B130" s="18" t="inlineStr">
        <is>
          <t>FILM-032</t>
        </is>
      </c>
      <c r="C130" s="5" t="inlineStr">
        <is>
          <t>Abhinetri</t>
        </is>
      </c>
      <c r="D130" s="17" t="n">
        <v>1970</v>
      </c>
      <c r="E130" s="5" t="inlineStr">
        <is>
          <t>Nirupa Roy</t>
        </is>
      </c>
      <c r="F130" s="5" t="inlineStr">
        <is>
          <t>Shekhar's mother</t>
        </is>
      </c>
      <c r="G130" s="5" t="inlineStr">
        <is>
          <t>Family</t>
        </is>
      </c>
      <c r="H130" s="5" t="inlineStr">
        <is>
          <t>Major</t>
        </is>
      </c>
      <c r="I130" s="5" t="inlineStr">
        <is>
          <t>His mother, living apart from him, whose approval makes the marriage and whose visit ends the separation.</t>
        </is>
      </c>
      <c r="J130" s="5" t="inlineStr">
        <is>
          <t>The opposite of the interfering mother-in-law the period specialises in: she sanctions the match at the start and is the reason the couple reconcile at the end.</t>
        </is>
      </c>
      <c r="K130" s="19" t="inlineStr">
        <is>
          <t>Shekhar's mother, who lives separately, approves of the dancer her son wants to marry, and whose arrival in her old age brings the separated couple back under one roof.</t>
        </is>
      </c>
      <c r="L130" s="5" t="n"/>
      <c r="M130" s="5" t="inlineStr">
        <is>
          <t>SOURCE-026</t>
        </is>
      </c>
    </row>
    <row r="131" ht="64" customHeight="1">
      <c r="A131" s="15" t="inlineStr">
        <is>
          <t>CAST-130</t>
        </is>
      </c>
      <c r="B131" s="18" t="inlineStr">
        <is>
          <t>FILM-032</t>
        </is>
      </c>
      <c r="C131" s="5" t="inlineStr">
        <is>
          <t>Abhinetri</t>
        </is>
      </c>
      <c r="D131" s="17" t="n">
        <v>1970</v>
      </c>
      <c r="E131" s="5" t="inlineStr">
        <is>
          <t>Nazir Hussain</t>
        </is>
      </c>
      <c r="F131" s="5" t="inlineStr">
        <is>
          <t>Dr. Niranjan Das</t>
        </is>
      </c>
      <c r="G131" s="5" t="inlineStr">
        <is>
          <t>Supporting</t>
        </is>
      </c>
      <c r="H131" s="5" t="inlineStr">
        <is>
          <t>Medium</t>
        </is>
      </c>
      <c r="I131" s="5" t="inlineStr">
        <is>
          <t>Belongs to the scientific world that absorbs Shekhar's time; the article's synopsis does not detail the part.</t>
        </is>
      </c>
      <c r="J131" s="5" t="inlineStr">
        <is>
          <t>Indirect: the laboratory is what Anjana is competing with.</t>
        </is>
      </c>
      <c r="K131" s="19" t="inlineStr">
        <is>
          <t>Credited as Dr. Niranjan Das, in the research world where Shekhar spends the time his wife wants.</t>
        </is>
      </c>
      <c r="L131" s="5" t="n"/>
      <c r="M131" s="5" t="inlineStr">
        <is>
          <t>SOURCE-026</t>
        </is>
      </c>
    </row>
    <row r="132" ht="49" customHeight="1">
      <c r="A132" s="15" t="inlineStr">
        <is>
          <t>CAST-131</t>
        </is>
      </c>
      <c r="B132" s="18" t="inlineStr">
        <is>
          <t>FILM-032</t>
        </is>
      </c>
      <c r="C132" s="5" t="inlineStr">
        <is>
          <t>Abhinetri</t>
        </is>
      </c>
      <c r="D132" s="17" t="n">
        <v>1970</v>
      </c>
      <c r="E132" s="5" t="inlineStr">
        <is>
          <t>Badri Prasad</t>
        </is>
      </c>
      <c r="F132" s="5" t="inlineStr">
        <is>
          <t>Anjana's uncle</t>
        </is>
      </c>
      <c r="G132" s="5" t="inlineStr">
        <is>
          <t>Family</t>
        </is>
      </c>
      <c r="H132" s="5" t="inlineStr">
        <is>
          <t>Medium</t>
        </is>
      </c>
      <c r="I132" s="5" t="inlineStr">
        <is>
          <t>The only family the orphaned Anjana has, on her side of the marriage.</t>
        </is>
      </c>
      <c r="J132" s="5" t="inlineStr">
        <is>
          <t>A family presence rather than a force; the synopsis gives him no part in the strain.</t>
        </is>
      </c>
      <c r="K132" s="19" t="inlineStr">
        <is>
          <t>Credited as Anjana's uncle, the guardian figure for a woman the film describes as orphaned at an early age.</t>
        </is>
      </c>
      <c r="L132" s="5" t="n"/>
      <c r="M132" s="5" t="inlineStr">
        <is>
          <t>SOURCE-026</t>
        </is>
      </c>
    </row>
    <row r="133" ht="49" customHeight="1">
      <c r="A133" s="15" t="inlineStr">
        <is>
          <t>CAST-132</t>
        </is>
      </c>
      <c r="B133" s="18" t="inlineStr">
        <is>
          <t>FILM-032</t>
        </is>
      </c>
      <c r="C133" s="5" t="inlineStr">
        <is>
          <t>Abhinetri</t>
        </is>
      </c>
      <c r="D133" s="17" t="n">
        <v>1970</v>
      </c>
      <c r="E133" s="5" t="inlineStr">
        <is>
          <t>Deb Mukherjee</t>
        </is>
      </c>
      <c r="F133" s="5" t="inlineStr">
        <is>
          <t>Dancer</t>
        </is>
      </c>
      <c r="G133" s="5" t="inlineStr">
        <is>
          <t>Cameo</t>
        </is>
      </c>
      <c r="H133" s="5" t="inlineStr">
        <is>
          <t>Minor</t>
        </is>
      </c>
      <c r="I133" s="5" t="inlineStr">
        <is>
          <t>No part in the marriage plot.</t>
        </is>
      </c>
      <c r="J133" s="5" t="inlineStr">
        <is>
          <t>Appears in the song 'Milte Hi Rahenge Hum', in the performing career that is the marriage's rival.</t>
        </is>
      </c>
      <c r="K133" s="19" t="inlineStr">
        <is>
          <t>A dancer in the song 'Milte Hi Rahenge Hum', credited for that appearance alone.</t>
        </is>
      </c>
      <c r="L133" s="5" t="n"/>
      <c r="M133" s="5" t="inlineStr">
        <is>
          <t>SOURCE-026</t>
        </is>
      </c>
    </row>
    <row r="134" ht="79" customHeight="1">
      <c r="A134" s="15" t="inlineStr">
        <is>
          <t>CAST-133</t>
        </is>
      </c>
      <c r="B134" s="18" t="inlineStr">
        <is>
          <t>FILM-033</t>
        </is>
      </c>
      <c r="C134" s="5" t="inlineStr">
        <is>
          <t>Suhana Safar</t>
        </is>
      </c>
      <c r="D134" s="17" t="n">
        <v>1970</v>
      </c>
      <c r="E134" s="5" t="inlineStr">
        <is>
          <t>Sharmila Tagore</t>
        </is>
      </c>
      <c r="F134" s="5" t="inlineStr">
        <is>
          <t>Sapna</t>
        </is>
      </c>
      <c r="G134" s="5" t="inlineStr">
        <is>
          <t>Co-lead</t>
        </is>
      </c>
      <c r="H134" s="5" t="inlineStr">
        <is>
          <t>Major</t>
        </is>
      </c>
      <c r="I134" s="5" t="inlineStr">
        <is>
          <t>The woman he escorts across the country and falls in love with while she is in love with a poet she has never met; his feeling is not returned during the journey.</t>
        </is>
      </c>
      <c r="J134" s="5" t="inlineStr">
        <is>
          <t>The whole of it, and the pairing recorded in the Romances sheet as unrequited: the film is built on the gap between the man beside her and the man in the poems.</t>
        </is>
      </c>
      <c r="K134" s="19" t="inlineStr">
        <is>
          <t>A young woman returning from the United States who survives an engine flameout, cannot separate the poet Ujjwala from his poetry, and runs away from the psychiatric treatment her father arranges in order to reach Phulwari and meet him.</t>
        </is>
      </c>
      <c r="L134" s="5" t="n"/>
      <c r="M134" s="5" t="inlineStr">
        <is>
          <t>SOURCE-024</t>
        </is>
      </c>
    </row>
    <row r="135" ht="79" customHeight="1">
      <c r="A135" s="15" t="inlineStr">
        <is>
          <t>CAST-134</t>
        </is>
      </c>
      <c r="B135" s="18" t="inlineStr">
        <is>
          <t>FILM-033</t>
        </is>
      </c>
      <c r="C135" s="5" t="inlineStr">
        <is>
          <t>Suhana Safar</t>
        </is>
      </c>
      <c r="D135" s="17" t="n">
        <v>1970</v>
      </c>
      <c r="E135" s="5" t="inlineStr">
        <is>
          <t>Om Prakash</t>
        </is>
      </c>
      <c r="F135" s="5" t="inlineStr">
        <is>
          <t>Sapna's father</t>
        </is>
      </c>
      <c r="G135" s="5" t="inlineStr">
        <is>
          <t>Family</t>
        </is>
      </c>
      <c r="H135" s="5" t="inlineStr">
        <is>
          <t>Major</t>
        </is>
      </c>
      <c r="I135" s="5" t="inlineStr">
        <is>
          <t>The pursuing authority for the whole journey: the reward he announces is what turns bystanders into obstacles for Sunil and Sapna.</t>
        </is>
      </c>
      <c r="J135" s="5" t="inlineStr">
        <is>
          <t>The engine of the external opposition, though his target is his daughter's obsession rather than Sunil.</t>
        </is>
      </c>
      <c r="K135" s="19" t="inlineStr">
        <is>
          <t>Sapna's wealthy father, who consults a psychiatrist about her distraction, agrees to have her committed for an extended period, and announces an informant's reward once she runs. The article separately credits Randhir as Rana Randhir Singh Chauhan, the name its own synopsis gives the father.</t>
        </is>
      </c>
      <c r="L135" s="5" t="n"/>
      <c r="M135" s="5" t="inlineStr">
        <is>
          <t>SOURCE-024</t>
        </is>
      </c>
    </row>
    <row r="136" ht="49" customHeight="1">
      <c r="A136" s="15" t="inlineStr">
        <is>
          <t>CAST-135</t>
        </is>
      </c>
      <c r="B136" s="18" t="inlineStr">
        <is>
          <t>FILM-033</t>
        </is>
      </c>
      <c r="C136" s="5" t="inlineStr">
        <is>
          <t>Suhana Safar</t>
        </is>
      </c>
      <c r="D136" s="17" t="n">
        <v>1970</v>
      </c>
      <c r="E136" s="5" t="inlineStr">
        <is>
          <t>K. N. Singh</t>
        </is>
      </c>
      <c r="F136" s="5" t="inlineStr">
        <is>
          <t>Dr. Singh</t>
        </is>
      </c>
      <c r="G136" s="5" t="inlineStr">
        <is>
          <t>Authority figure</t>
        </is>
      </c>
      <c r="H136" s="5" t="inlineStr">
        <is>
          <t>Medium</t>
        </is>
      </c>
      <c r="I136" s="5" t="inlineStr">
        <is>
          <t>No direct dealings with Sunil; his diagnosis is what puts Sapna on the road.</t>
        </is>
      </c>
      <c r="J136" s="5" t="inlineStr">
        <is>
          <t>Sets the journey going, and with it the courtship.</t>
        </is>
      </c>
      <c r="K136" s="19" t="inlineStr">
        <is>
          <t>The psychiatrist consulted about Sapna, who pronounces that she needs treatment and must be sent to his clinic for an extended period.</t>
        </is>
      </c>
      <c r="L136" s="5" t="n"/>
      <c r="M136" s="5" t="inlineStr">
        <is>
          <t>SOURCE-024</t>
        </is>
      </c>
    </row>
    <row r="137" ht="49" customHeight="1">
      <c r="A137" s="15" t="inlineStr">
        <is>
          <t>CAST-136</t>
        </is>
      </c>
      <c r="B137" s="18" t="inlineStr">
        <is>
          <t>FILM-033</t>
        </is>
      </c>
      <c r="C137" s="5" t="inlineStr">
        <is>
          <t>Suhana Safar</t>
        </is>
      </c>
      <c r="D137" s="17" t="n">
        <v>1970</v>
      </c>
      <c r="E137" s="5" t="inlineStr">
        <is>
          <t>Ramayan Tiwari</t>
        </is>
      </c>
      <c r="F137" s="5" t="inlineStr">
        <is>
          <t>Daku Mangal Singh</t>
        </is>
      </c>
      <c r="G137" s="5" t="inlineStr">
        <is>
          <t>Antagonist</t>
        </is>
      </c>
      <c r="H137" s="5" t="inlineStr">
        <is>
          <t>Medium</t>
        </is>
      </c>
      <c r="I137" s="5" t="inlineStr">
        <is>
          <t>The danger on the road, in a film whose obstacles are mostly greed and accident.</t>
        </is>
      </c>
      <c r="J137" s="5" t="inlineStr">
        <is>
          <t>One of the dangerous interludes the couple pass through together.</t>
        </is>
      </c>
      <c r="K137" s="19" t="inlineStr">
        <is>
          <t>A dacoit encountered on the journey, providing the film's genuine threat among its comic ones.</t>
        </is>
      </c>
      <c r="L137" s="5" t="n"/>
      <c r="M137" s="5" t="inlineStr">
        <is>
          <t>SOURCE-024</t>
        </is>
      </c>
    </row>
    <row r="138" ht="49" customHeight="1">
      <c r="A138" s="15" t="inlineStr">
        <is>
          <t>CAST-137</t>
        </is>
      </c>
      <c r="B138" s="18" t="inlineStr">
        <is>
          <t>FILM-033</t>
        </is>
      </c>
      <c r="C138" s="5" t="inlineStr">
        <is>
          <t>Suhana Safar</t>
        </is>
      </c>
      <c r="D138" s="17" t="n">
        <v>1970</v>
      </c>
      <c r="E138" s="5" t="inlineStr">
        <is>
          <t>Lalita Pawar</t>
        </is>
      </c>
      <c r="F138" s="5" t="inlineStr">
        <is>
          <t>Bus passenger</t>
        </is>
      </c>
      <c r="G138" s="5" t="inlineStr">
        <is>
          <t>Comic support</t>
        </is>
      </c>
      <c r="H138" s="5" t="inlineStr">
        <is>
          <t>Medium</t>
        </is>
      </c>
      <c r="I138" s="5" t="inlineStr">
        <is>
          <t>One of the coachload of travellers thrown together with Sunil and Sapna for the journey.</t>
        </is>
      </c>
      <c r="J138" s="5" t="inlineStr">
        <is>
          <t>The audience to the courtship, and part of the greed the reward provokes.</t>
        </is>
      </c>
      <c r="K138" s="19" t="inlineStr">
        <is>
          <t>One of the bus passengers, a company that also includes David, Manmohan Krishna, Leela Mishra, Master Bhagwan and Sunder, who make up the travelling ensemble of the road journey.</t>
        </is>
      </c>
      <c r="L138" s="5" t="n"/>
      <c r="M138" s="5" t="inlineStr">
        <is>
          <t>SOURCE-024</t>
        </is>
      </c>
    </row>
    <row r="139" ht="64" customHeight="1">
      <c r="A139" s="15" t="inlineStr">
        <is>
          <t>CAST-138</t>
        </is>
      </c>
      <c r="B139" s="18" t="inlineStr">
        <is>
          <t>FILM-034</t>
        </is>
      </c>
      <c r="C139" s="5" t="inlineStr">
        <is>
          <t>My Love</t>
        </is>
      </c>
      <c r="D139" s="17" t="n">
        <v>1970</v>
      </c>
      <c r="E139" s="5" t="inlineStr">
        <is>
          <t>Sharmila Tagore</t>
        </is>
      </c>
      <c r="F139" s="5" t="inlineStr">
        <is>
          <t>Sangeeta Thakur</t>
        </is>
      </c>
      <c r="G139" s="5" t="inlineStr">
        <is>
          <t>Co-lead</t>
        </is>
      </c>
      <c r="H139" s="5" t="inlineStr">
        <is>
          <t>Major</t>
        </is>
      </c>
      <c r="I139" s="5" t="inlineStr">
        <is>
          <t>The woman the Nairobi musician meets at a function and falls in love with.</t>
        </is>
      </c>
      <c r="J139" s="5" t="inlineStr">
        <is>
          <t>The pairing recorded in the Romances sheet. The article's plot is three sentences long, so the course of the triangle is not documented.</t>
        </is>
      </c>
      <c r="K139" s="19" t="inlineStr">
        <is>
          <t>The woman Raj Kumar Rai meets at a function and loves, credited with Sulochana Chatterjee as her mother. The article gives no more of her story.</t>
        </is>
      </c>
      <c r="L139" s="5" t="n"/>
      <c r="M139" s="5" t="inlineStr">
        <is>
          <t>SOURCE-027</t>
        </is>
      </c>
    </row>
    <row r="140" ht="64" customHeight="1">
      <c r="A140" s="15" t="inlineStr">
        <is>
          <t>CAST-139</t>
        </is>
      </c>
      <c r="B140" s="18" t="inlineStr">
        <is>
          <t>FILM-034</t>
        </is>
      </c>
      <c r="C140" s="5" t="inlineStr">
        <is>
          <t>My Love</t>
        </is>
      </c>
      <c r="D140" s="17" t="n">
        <v>1970</v>
      </c>
      <c r="E140" s="5" t="inlineStr">
        <is>
          <t>Azra</t>
        </is>
      </c>
      <c r="F140" s="5" t="inlineStr">
        <is>
          <t>Rani Mehta</t>
        </is>
      </c>
      <c r="G140" s="5" t="inlineStr">
        <is>
          <t>Romantic rival</t>
        </is>
      </c>
      <c r="H140" s="5" t="inlineStr">
        <is>
          <t>Major</t>
        </is>
      </c>
      <c r="I140" s="5" t="inlineStr">
        <is>
          <t>The woman who loves him without being loved in return, which is the whole of the triangle the article records.</t>
        </is>
      </c>
      <c r="J140" s="5" t="inlineStr">
        <is>
          <t>The competing claim, and the reason the relationship is classified as a love triangle.</t>
        </is>
      </c>
      <c r="K140" s="19" t="inlineStr">
        <is>
          <t>Credited as Rani Mehta, daughter of Raj Mehra's Mr. Mehta, and named by the article's short synopsis as the woman in love with Raj Kumar.</t>
        </is>
      </c>
      <c r="L140" s="5" t="n"/>
      <c r="M140" s="5" t="inlineStr">
        <is>
          <t>SOURCE-027</t>
        </is>
      </c>
    </row>
    <row r="141" ht="79" customHeight="1">
      <c r="A141" s="15" t="inlineStr">
        <is>
          <t>CAST-140</t>
        </is>
      </c>
      <c r="B141" s="18" t="inlineStr">
        <is>
          <t>FILM-034</t>
        </is>
      </c>
      <c r="C141" s="5" t="inlineStr">
        <is>
          <t>My Love</t>
        </is>
      </c>
      <c r="D141" s="17" t="n">
        <v>1970</v>
      </c>
      <c r="E141" s="5" t="inlineStr">
        <is>
          <t>Nirupa Roy</t>
        </is>
      </c>
      <c r="F141" s="5" t="inlineStr">
        <is>
          <t>Durga</t>
        </is>
      </c>
      <c r="G141" s="5" t="inlineStr">
        <is>
          <t>Family</t>
        </is>
      </c>
      <c r="H141" s="5" t="inlineStr">
        <is>
          <t>Major</t>
        </is>
      </c>
      <c r="I141" s="5" t="inlineStr">
        <is>
          <t>Third-billed, in the family register Nirupa Roy occupies throughout this period, though the article's three-sentence plot does not state the relation.</t>
        </is>
      </c>
      <c r="J141" s="5" t="inlineStr">
        <is>
          <t>Not documented.</t>
        </is>
      </c>
      <c r="K141" s="19" t="inlineStr">
        <is>
          <t>Credited as Durga, third in the billing. The article carries almost no plot, so the part's function is not recorded.</t>
        </is>
      </c>
      <c r="L141" s="5" t="n"/>
      <c r="M141" s="5" t="inlineStr">
        <is>
          <t>SOURCE-027</t>
        </is>
      </c>
    </row>
    <row r="142" ht="64" customHeight="1">
      <c r="A142" s="15" t="inlineStr">
        <is>
          <t>CAST-141</t>
        </is>
      </c>
      <c r="B142" s="18" t="inlineStr">
        <is>
          <t>FILM-034</t>
        </is>
      </c>
      <c r="C142" s="5" t="inlineStr">
        <is>
          <t>My Love</t>
        </is>
      </c>
      <c r="D142" s="17" t="n">
        <v>1970</v>
      </c>
      <c r="E142" s="5" t="inlineStr">
        <is>
          <t>Jayant</t>
        </is>
      </c>
      <c r="F142" s="5" t="inlineStr">
        <is>
          <t>Mr. Rai</t>
        </is>
      </c>
      <c r="G142" s="5" t="inlineStr">
        <is>
          <t>Family</t>
        </is>
      </c>
      <c r="H142" s="5" t="inlineStr">
        <is>
          <t>Medium</t>
        </is>
      </c>
      <c r="I142" s="5" t="inlineStr">
        <is>
          <t>Shares the surname of Kapoor's Raj Kumar Rai, which suggests the father, though the article does not confirm it.</t>
        </is>
      </c>
      <c r="J142" s="5" t="inlineStr">
        <is>
          <t>Not documented.</t>
        </is>
      </c>
      <c r="K142" s="19" t="inlineStr">
        <is>
          <t>Credited as Mr. Rai. The shared surname with the protagonist is the only evidence of the relation, and the article's synopsis does not address it.</t>
        </is>
      </c>
      <c r="L142" s="5" t="n"/>
      <c r="M142" s="5" t="inlineStr">
        <is>
          <t>SOURCE-027</t>
        </is>
      </c>
    </row>
    <row r="143" ht="49" customHeight="1">
      <c r="A143" s="15" t="inlineStr">
        <is>
          <t>CAST-142</t>
        </is>
      </c>
      <c r="B143" s="18" t="inlineStr">
        <is>
          <t>FILM-034</t>
        </is>
      </c>
      <c r="C143" s="5" t="inlineStr">
        <is>
          <t>My Love</t>
        </is>
      </c>
      <c r="D143" s="17" t="n">
        <v>1970</v>
      </c>
      <c r="E143" s="5" t="inlineStr">
        <is>
          <t>Madan Puri</t>
        </is>
      </c>
      <c r="F143" s="5" t="inlineStr">
        <is>
          <t>Pran Mehra</t>
        </is>
      </c>
      <c r="G143" s="5" t="inlineStr">
        <is>
          <t>Antagonist</t>
        </is>
      </c>
      <c r="H143" s="5" t="inlineStr">
        <is>
          <t>Medium</t>
        </is>
      </c>
      <c r="I143" s="5" t="inlineStr">
        <is>
          <t>Not documented by the article, which gives three sentences of plot.</t>
        </is>
      </c>
      <c r="J143" s="5" t="inlineStr">
        <is>
          <t>Not documented.</t>
        </is>
      </c>
      <c r="K143" s="19" t="inlineStr">
        <is>
          <t>Credited as Pran Mehra, in the Mehta and Mehra circle around the romance. Madan Puri's standing function in this period is the antagonist, but the article does not confirm it here.</t>
        </is>
      </c>
      <c r="L143" s="5" t="n"/>
      <c r="M143" s="5" t="inlineStr">
        <is>
          <t>SOURCE-027</t>
        </is>
      </c>
    </row>
    <row r="144" ht="64" customHeight="1">
      <c r="A144" s="15" t="inlineStr">
        <is>
          <t>CAST-143</t>
        </is>
      </c>
      <c r="B144" s="18" t="inlineStr">
        <is>
          <t>FILM-034</t>
        </is>
      </c>
      <c r="C144" s="5" t="inlineStr">
        <is>
          <t>My Love</t>
        </is>
      </c>
      <c r="D144" s="17" t="n">
        <v>1970</v>
      </c>
      <c r="E144" s="5" t="inlineStr">
        <is>
          <t>Rajendra Nath</t>
        </is>
      </c>
      <c r="F144" s="5" t="inlineStr">
        <is>
          <t>Tom Genda</t>
        </is>
      </c>
      <c r="G144" s="5" t="inlineStr">
        <is>
          <t>Comic support</t>
        </is>
      </c>
      <c r="H144" s="5" t="inlineStr">
        <is>
          <t>Medium</t>
        </is>
      </c>
      <c r="I144" s="5" t="inlineStr">
        <is>
          <t>Credited with Manorama and Pinchoo Kapoor as his parents, forming a comic family unit alongside the main story.</t>
        </is>
      </c>
      <c r="J144" s="5" t="inlineStr">
        <is>
          <t>Not documented.</t>
        </is>
      </c>
      <c r="K144" s="19" t="inlineStr">
        <is>
          <t>Credited as Tom Genda, with a mother and father of his own in the cast list, in the comic register of a film set among Indians in Nairobi.</t>
        </is>
      </c>
      <c r="L144" s="5" t="n"/>
      <c r="M144" s="5" t="inlineStr">
        <is>
          <t>SOURCE-027</t>
        </is>
      </c>
    </row>
    <row r="145" ht="79" customHeight="1">
      <c r="A145" s="15" t="inlineStr">
        <is>
          <t>CAST-144</t>
        </is>
      </c>
      <c r="B145" s="18" t="inlineStr">
        <is>
          <t>FILM-035</t>
        </is>
      </c>
      <c r="C145" s="5" t="inlineStr">
        <is>
          <t>Jahan Pyar Mile</t>
        </is>
      </c>
      <c r="D145" s="17" t="n">
        <v>1970</v>
      </c>
      <c r="E145" s="5" t="inlineStr">
        <is>
          <t>Hema Malini</t>
        </is>
      </c>
      <c r="F145" s="5" t="n"/>
      <c r="G145" s="5" t="inlineStr">
        <is>
          <t>Co-lead</t>
        </is>
      </c>
      <c r="H145" s="5" t="inlineStr">
        <is>
          <t>Major</t>
        </is>
      </c>
      <c r="I145" s="5" t="inlineStr">
        <is>
          <t>The female lead opposite a triple role. The article, titled Jahan Pyar Miley, gives a cast list with no character names and no plot, so nothing of the relation is documented.</t>
        </is>
      </c>
      <c r="J145" s="5" t="inlineStr">
        <is>
          <t>Not documented. Romance presence is left blank for the film for the same reason.</t>
        </is>
      </c>
      <c r="K145" s="19" t="inlineStr">
        <is>
          <t>Billed second, opposite Kapoor's three credited identities. The article supplies no character names and no synopsis, so the part cannot be described.</t>
        </is>
      </c>
      <c r="L145" s="5" t="n"/>
      <c r="M145" s="5" t="inlineStr">
        <is>
          <t>SOURCE-022</t>
        </is>
      </c>
    </row>
    <row r="146" ht="49" customHeight="1">
      <c r="A146" s="15" t="inlineStr">
        <is>
          <t>CAST-145</t>
        </is>
      </c>
      <c r="B146" s="18" t="inlineStr">
        <is>
          <t>FILM-035</t>
        </is>
      </c>
      <c r="C146" s="5" t="inlineStr">
        <is>
          <t>Jahan Pyar Mile</t>
        </is>
      </c>
      <c r="D146" s="17" t="n">
        <v>1970</v>
      </c>
      <c r="E146" s="5" t="inlineStr">
        <is>
          <t>Nadira</t>
        </is>
      </c>
      <c r="F146" s="5" t="n"/>
      <c r="G146" s="5" t="inlineStr">
        <is>
          <t>Supporting</t>
        </is>
      </c>
      <c r="H146" s="5" t="inlineStr">
        <is>
          <t>Medium</t>
        </is>
      </c>
      <c r="I146" s="5" t="inlineStr">
        <is>
          <t>Not documented; the article maps no credit to a character.</t>
        </is>
      </c>
      <c r="J146" s="5" t="inlineStr">
        <is>
          <t>Not documented.</t>
        </is>
      </c>
      <c r="K146" s="19" t="inlineStr">
        <is>
          <t>Third-billed. With no character names and no plot in the article, the function of the part is recorded as unknown rather than inferred from the actress's usual casting.</t>
        </is>
      </c>
      <c r="L146" s="5" t="n"/>
      <c r="M146" s="5" t="inlineStr">
        <is>
          <t>SOURCE-022</t>
        </is>
      </c>
    </row>
    <row r="147" ht="49" customHeight="1">
      <c r="A147" s="15" t="inlineStr">
        <is>
          <t>CAST-146</t>
        </is>
      </c>
      <c r="B147" s="18" t="inlineStr">
        <is>
          <t>FILM-035</t>
        </is>
      </c>
      <c r="C147" s="5" t="inlineStr">
        <is>
          <t>Jahan Pyar Mile</t>
        </is>
      </c>
      <c r="D147" s="17" t="n">
        <v>1970</v>
      </c>
      <c r="E147" s="5" t="inlineStr">
        <is>
          <t>Jeevan</t>
        </is>
      </c>
      <c r="F147" s="5" t="n"/>
      <c r="G147" s="5" t="inlineStr">
        <is>
          <t>Supporting</t>
        </is>
      </c>
      <c r="H147" s="5" t="inlineStr">
        <is>
          <t>Medium</t>
        </is>
      </c>
      <c r="I147" s="5" t="inlineStr">
        <is>
          <t>Not documented.</t>
        </is>
      </c>
      <c r="J147" s="5" t="inlineStr">
        <is>
          <t>Not documented.</t>
        </is>
      </c>
      <c r="K147" s="19" t="inlineStr">
        <is>
          <t>Fourth-billed in a cast list without character names. Jeevan's parts of the period are usually antagonists, but the article gives no basis for stating it here.</t>
        </is>
      </c>
      <c r="L147" s="5" t="n"/>
      <c r="M147" s="5" t="inlineStr">
        <is>
          <t>SOURCE-022</t>
        </is>
      </c>
    </row>
    <row r="148" ht="34" customHeight="1">
      <c r="A148" s="15" t="inlineStr">
        <is>
          <t>CAST-147</t>
        </is>
      </c>
      <c r="B148" s="18" t="inlineStr">
        <is>
          <t>FILM-035</t>
        </is>
      </c>
      <c r="C148" s="5" t="inlineStr">
        <is>
          <t>Jahan Pyar Mile</t>
        </is>
      </c>
      <c r="D148" s="17" t="n">
        <v>1970</v>
      </c>
      <c r="E148" s="5" t="inlineStr">
        <is>
          <t>Helen</t>
        </is>
      </c>
      <c r="F148" s="5" t="n"/>
      <c r="G148" s="5" t="inlineStr">
        <is>
          <t>Supporting</t>
        </is>
      </c>
      <c r="H148" s="5" t="inlineStr">
        <is>
          <t>Medium</t>
        </is>
      </c>
      <c r="I148" s="5" t="inlineStr">
        <is>
          <t>Not documented.</t>
        </is>
      </c>
      <c r="J148" s="5" t="inlineStr">
        <is>
          <t>Not documented.</t>
        </is>
      </c>
      <c r="K148" s="19" t="inlineStr">
        <is>
          <t>Credited among the principals in a cast list that gives no character names, in a film whose article has no plot section.</t>
        </is>
      </c>
      <c r="L148" s="5" t="n"/>
      <c r="M148" s="5" t="inlineStr">
        <is>
          <t>SOURCE-022</t>
        </is>
      </c>
    </row>
    <row r="149" ht="64" customHeight="1">
      <c r="A149" s="15" t="inlineStr">
        <is>
          <t>CAST-148</t>
        </is>
      </c>
      <c r="B149" s="18" t="inlineStr">
        <is>
          <t>FILM-036</t>
        </is>
      </c>
      <c r="C149" s="5" t="inlineStr">
        <is>
          <t>Bombay Talkie</t>
        </is>
      </c>
      <c r="D149" s="17" t="n">
        <v>1970</v>
      </c>
      <c r="E149" s="5" t="inlineStr">
        <is>
          <t>Jennifer Kendal</t>
        </is>
      </c>
      <c r="F149" s="5" t="inlineStr">
        <is>
          <t>Lucia Lane</t>
        </is>
      </c>
      <c r="G149" s="5" t="inlineStr">
        <is>
          <t>Co-lead</t>
        </is>
      </c>
      <c r="H149" s="5" t="inlineStr">
        <is>
          <t>Major</t>
        </is>
      </c>
      <c r="I149" s="5" t="inlineStr">
        <is>
          <t>The British writer who has an affair with Kapoor's married film star; she is also Kapoor's own wife, playing opposite him for Merchant Ivory.</t>
        </is>
      </c>
      <c r="J149" s="5" t="inlineStr">
        <is>
          <t>The whole of it, and the pairing recorded in the Romances sheet: a triangle in which the star is the object rather than the pursuer.</t>
        </is>
      </c>
      <c r="K149" s="19" t="inlineStr">
        <is>
          <t>A British author researching the Bombay film industry, who falls in love and into an affair with the married star Vikram while his friend Hari is in love with her.</t>
        </is>
      </c>
      <c r="L149" s="5" t="n"/>
      <c r="M149" s="5" t="inlineStr">
        <is>
          <t>SOURCE-028</t>
        </is>
      </c>
    </row>
    <row r="150" ht="49" customHeight="1">
      <c r="A150" s="15" t="inlineStr">
        <is>
          <t>CAST-149</t>
        </is>
      </c>
      <c r="B150" s="18" t="inlineStr">
        <is>
          <t>FILM-036</t>
        </is>
      </c>
      <c r="C150" s="5" t="inlineStr">
        <is>
          <t>Bombay Talkie</t>
        </is>
      </c>
      <c r="D150" s="17" t="n">
        <v>1970</v>
      </c>
      <c r="E150" s="5" t="inlineStr">
        <is>
          <t>Zia Mohyeddin</t>
        </is>
      </c>
      <c r="F150" s="5" t="inlineStr">
        <is>
          <t>Hari</t>
        </is>
      </c>
      <c r="G150" s="5" t="inlineStr">
        <is>
          <t>Romantic rival</t>
        </is>
      </c>
      <c r="H150" s="5" t="inlineStr">
        <is>
          <t>Major</t>
        </is>
      </c>
      <c r="I150" s="5" t="inlineStr">
        <is>
          <t>Vikram's friend, and the man whose love for Lucia complicates the affair.</t>
        </is>
      </c>
      <c r="J150" s="5" t="inlineStr">
        <is>
          <t>The third point of the triangle, and the one with the weakest claim.</t>
        </is>
      </c>
      <c r="K150" s="19" t="inlineStr">
        <is>
          <t>Vikram's friend, a writer in love with Lucia Lane, whose feeling goes unreturned while she pursues the film star.</t>
        </is>
      </c>
      <c r="L150" s="5" t="n"/>
      <c r="M150" s="5" t="inlineStr">
        <is>
          <t>SOURCE-028</t>
        </is>
      </c>
    </row>
    <row r="151" ht="49" customHeight="1">
      <c r="A151" s="15" t="inlineStr">
        <is>
          <t>CAST-150</t>
        </is>
      </c>
      <c r="B151" s="18" t="inlineStr">
        <is>
          <t>FILM-036</t>
        </is>
      </c>
      <c r="C151" s="5" t="inlineStr">
        <is>
          <t>Bombay Talkie</t>
        </is>
      </c>
      <c r="D151" s="17" t="n">
        <v>1970</v>
      </c>
      <c r="E151" s="5" t="inlineStr">
        <is>
          <t>Aparna Sen</t>
        </is>
      </c>
      <c r="F151" s="5" t="inlineStr">
        <is>
          <t>Mala</t>
        </is>
      </c>
      <c r="G151" s="5" t="inlineStr">
        <is>
          <t>Family</t>
        </is>
      </c>
      <c r="H151" s="5" t="inlineStr">
        <is>
          <t>Major</t>
        </is>
      </c>
      <c r="I151" s="5" t="inlineStr">
        <is>
          <t>Vikram's wife, and the fact that makes the affair an adultery rather than a courtship.</t>
        </is>
      </c>
      <c r="J151" s="5" t="inlineStr">
        <is>
          <t>The standing obstacle, present as a marriage rather than as an opponent.</t>
        </is>
      </c>
      <c r="K151" s="19" t="inlineStr">
        <is>
          <t>The wife of the film star Vikram, whose existence is what the article names as the complication in his affair with Lucia.</t>
        </is>
      </c>
      <c r="L151" s="5" t="n"/>
      <c r="M151" s="5" t="inlineStr">
        <is>
          <t>SOURCE-028</t>
        </is>
      </c>
    </row>
    <row r="152" ht="49" customHeight="1">
      <c r="A152" s="15" t="inlineStr">
        <is>
          <t>CAST-151</t>
        </is>
      </c>
      <c r="B152" s="18" t="inlineStr">
        <is>
          <t>FILM-036</t>
        </is>
      </c>
      <c r="C152" s="5" t="inlineStr">
        <is>
          <t>Bombay Talkie</t>
        </is>
      </c>
      <c r="D152" s="17" t="n">
        <v>1970</v>
      </c>
      <c r="E152" s="5" t="inlineStr">
        <is>
          <t>Utpal Dutt</t>
        </is>
      </c>
      <c r="F152" s="5" t="inlineStr">
        <is>
          <t>Bose</t>
        </is>
      </c>
      <c r="G152" s="5" t="inlineStr">
        <is>
          <t>Supporting</t>
        </is>
      </c>
      <c r="H152" s="5" t="inlineStr">
        <is>
          <t>Medium</t>
        </is>
      </c>
      <c r="I152" s="5" t="inlineStr">
        <is>
          <t>Belongs to the film-industry world Vikram works in and Lucia is researching.</t>
        </is>
      </c>
      <c r="J152" s="5" t="inlineStr">
        <is>
          <t>No direct part in the triangle.</t>
        </is>
      </c>
      <c r="K152" s="19" t="inlineStr">
        <is>
          <t>Credited as Bose, among the figures of the Bombay film industry that the British author has come to study.</t>
        </is>
      </c>
      <c r="L152" s="5" t="n"/>
      <c r="M152" s="5" t="inlineStr">
        <is>
          <t>SOURCE-028</t>
        </is>
      </c>
    </row>
    <row r="153" ht="49" customHeight="1">
      <c r="A153" s="15" t="inlineStr">
        <is>
          <t>CAST-152</t>
        </is>
      </c>
      <c r="B153" s="18" t="inlineStr">
        <is>
          <t>FILM-036</t>
        </is>
      </c>
      <c r="C153" s="5" t="inlineStr">
        <is>
          <t>Bombay Talkie</t>
        </is>
      </c>
      <c r="D153" s="17" t="n">
        <v>1970</v>
      </c>
      <c r="E153" s="5" t="inlineStr">
        <is>
          <t>Nadira</t>
        </is>
      </c>
      <c r="F153" s="5" t="inlineStr">
        <is>
          <t>Anjana Devi</t>
        </is>
      </c>
      <c r="G153" s="5" t="inlineStr">
        <is>
          <t>Supporting</t>
        </is>
      </c>
      <c r="H153" s="5" t="inlineStr">
        <is>
          <t>Medium</t>
        </is>
      </c>
      <c r="I153" s="5" t="inlineStr">
        <is>
          <t>A figure of the industry around Vikram, credited under the name Florence Ezekiel.</t>
        </is>
      </c>
      <c r="J153" s="5" t="inlineStr">
        <is>
          <t>No direct part in the triangle.</t>
        </is>
      </c>
      <c r="K153" s="19" t="inlineStr">
        <is>
          <t>Credited as Anjana Devi, one of the film-world portraits the picture assembles around its star.</t>
        </is>
      </c>
      <c r="L153" s="5" t="n"/>
      <c r="M153" s="5" t="inlineStr">
        <is>
          <t>SOURCE-028</t>
        </is>
      </c>
    </row>
    <row r="154" ht="49" customHeight="1">
      <c r="A154" s="15" t="inlineStr">
        <is>
          <t>CAST-153</t>
        </is>
      </c>
      <c r="B154" s="18" t="inlineStr">
        <is>
          <t>FILM-036</t>
        </is>
      </c>
      <c r="C154" s="5" t="inlineStr">
        <is>
          <t>Bombay Talkie</t>
        </is>
      </c>
      <c r="D154" s="17" t="n">
        <v>1970</v>
      </c>
      <c r="E154" s="5" t="inlineStr">
        <is>
          <t>Amitabh Bachchan</t>
        </is>
      </c>
      <c r="F154" s="5" t="inlineStr">
        <is>
          <t>Man attending funeral</t>
        </is>
      </c>
      <c r="G154" s="5" t="inlineStr">
        <is>
          <t>Cameo</t>
        </is>
      </c>
      <c r="H154" s="5" t="inlineStr">
        <is>
          <t>Minor</t>
        </is>
      </c>
      <c r="I154" s="5" t="inlineStr">
        <is>
          <t>No scenes of consequence with Vikram; the appearance is uncredited and precedes his own stardom.</t>
        </is>
      </c>
      <c r="J154" s="5" t="inlineStr">
        <is>
          <t>No part in it.</t>
        </is>
      </c>
      <c r="K154" s="19" t="inlineStr">
        <is>
          <t>An uncredited mourner, four years before Deewaar made him Kapoor's most frequent co-star. The same appearance is his third screen credit.</t>
        </is>
      </c>
      <c r="L154" s="5" t="n"/>
      <c r="M154" s="5" t="inlineStr">
        <is>
          <t>SOURCE-028</t>
        </is>
      </c>
    </row>
    <row r="155" ht="79" customHeight="1">
      <c r="A155" s="15" t="inlineStr">
        <is>
          <t>CAST-154</t>
        </is>
      </c>
      <c r="B155" s="18" t="inlineStr">
        <is>
          <t>FILM-037</t>
        </is>
      </c>
      <c r="C155" s="5" t="inlineStr">
        <is>
          <t>Sharmeelee</t>
        </is>
      </c>
      <c r="D155" s="17" t="n">
        <v>1971</v>
      </c>
      <c r="E155" s="5" t="inlineStr">
        <is>
          <t>Raakhee</t>
        </is>
      </c>
      <c r="F155" s="5" t="inlineStr">
        <is>
          <t>Kanchan / Kamini</t>
        </is>
      </c>
      <c r="G155" s="5" t="inlineStr">
        <is>
          <t>Co-lead</t>
        </is>
      </c>
      <c r="H155" s="5" t="inlineStr">
        <is>
          <t>Major</t>
        </is>
      </c>
      <c r="I155" s="5" t="inlineStr">
        <is>
          <t>Both women in the film: the shy sister he marries and the vivacious one he actually met and fell in love with, which is why the film generates two pairing rows from one performer.</t>
        </is>
      </c>
      <c r="J155" s="5" t="inlineStr">
        <is>
          <t>The whole of it, on both sides. The playful Kashmir courtship and the marriage poisoned by mistaken identity are the same actress in a double role.</t>
        </is>
      </c>
      <c r="K155" s="19" t="inlineStr">
        <is>
          <t>Twin sisters: Kanchan, shy and drawn to animals and nature, whose marriage prospects keep collapsing when suitors meet her sister, and Kamini, witty and forward, who sneaks into an army base for supplies, is caught by Captain Ajit, and is smitten with him before leaving without giving her name.</t>
        </is>
      </c>
      <c r="L155" s="5" t="n"/>
      <c r="M155" s="5" t="inlineStr">
        <is>
          <t>SOURCE-029</t>
        </is>
      </c>
    </row>
    <row r="156" ht="64" customHeight="1">
      <c r="A156" s="15" t="inlineStr">
        <is>
          <t>CAST-155</t>
        </is>
      </c>
      <c r="B156" s="18" t="inlineStr">
        <is>
          <t>FILM-037</t>
        </is>
      </c>
      <c r="C156" s="5" t="inlineStr">
        <is>
          <t>Sharmeelee</t>
        </is>
      </c>
      <c r="D156" s="17" t="n">
        <v>1971</v>
      </c>
      <c r="E156" s="5" t="inlineStr">
        <is>
          <t>Nazir Hussain</t>
        </is>
      </c>
      <c r="F156" s="5" t="inlineStr">
        <is>
          <t>Father Joseph</t>
        </is>
      </c>
      <c r="G156" s="5" t="inlineStr">
        <is>
          <t>Mentor</t>
        </is>
      </c>
      <c r="H156" s="5" t="inlineStr">
        <is>
          <t>Major</t>
        </is>
      </c>
      <c r="I156" s="5" t="inlineStr">
        <is>
          <t>Ajit's foster father, called Baba, who proposes the marriage that sets the mistaken identity going.</t>
        </is>
      </c>
      <c r="J156" s="5" t="inlineStr">
        <is>
          <t>The unwitting author of the confusion: he is the one person Kanchan speaks to candidly and the one who matches her with Ajit.</t>
        </is>
      </c>
      <c r="K156" s="19" t="inlineStr">
        <is>
          <t>The town priest, confidant of the shy Kanchan and foster father of Captain Ajit, who brings up the subject of marriage with his returning son and says he knows just the girl.</t>
        </is>
      </c>
      <c r="L156" s="5" t="n"/>
      <c r="M156" s="5" t="inlineStr">
        <is>
          <t>SOURCE-029</t>
        </is>
      </c>
    </row>
    <row r="157" ht="49" customHeight="1">
      <c r="A157" s="15" t="inlineStr">
        <is>
          <t>CAST-156</t>
        </is>
      </c>
      <c r="B157" s="18" t="inlineStr">
        <is>
          <t>FILM-037</t>
        </is>
      </c>
      <c r="C157" s="5" t="inlineStr">
        <is>
          <t>Sharmeelee</t>
        </is>
      </c>
      <c r="D157" s="17" t="n">
        <v>1971</v>
      </c>
      <c r="E157" s="5" t="inlineStr">
        <is>
          <t>Ranjeet</t>
        </is>
      </c>
      <c r="F157" s="5" t="inlineStr">
        <is>
          <t>Kundan</t>
        </is>
      </c>
      <c r="G157" s="5" t="inlineStr">
        <is>
          <t>Antagonist</t>
        </is>
      </c>
      <c r="H157" s="5" t="inlineStr">
        <is>
          <t>Major</t>
        </is>
      </c>
      <c r="I157" s="5" t="inlineStr">
        <is>
          <t>The film's villain against Ajit's household, in what is also among Ranjeet's early parts.</t>
        </is>
      </c>
      <c r="J157" s="5" t="inlineStr">
        <is>
          <t>Threatens the marriage from outside, alongside the confusion the sisters create inside it.</t>
        </is>
      </c>
      <c r="K157" s="19" t="inlineStr">
        <is>
          <t>Credited as Kundan, the antagonist of a film whose central trouble is nonetheless a case of mistaken identity rather than villainy.</t>
        </is>
      </c>
      <c r="L157" s="5" t="n"/>
      <c r="M157" s="5" t="inlineStr">
        <is>
          <t>SOURCE-029</t>
        </is>
      </c>
    </row>
    <row r="158" ht="49" customHeight="1">
      <c r="A158" s="15" t="inlineStr">
        <is>
          <t>CAST-157</t>
        </is>
      </c>
      <c r="B158" s="18" t="inlineStr">
        <is>
          <t>FILM-037</t>
        </is>
      </c>
      <c r="C158" s="5" t="inlineStr">
        <is>
          <t>Sharmeelee</t>
        </is>
      </c>
      <c r="D158" s="17" t="n">
        <v>1971</v>
      </c>
      <c r="E158" s="5" t="inlineStr">
        <is>
          <t>Iftekhar</t>
        </is>
      </c>
      <c r="F158" s="5" t="inlineStr">
        <is>
          <t>Colonel</t>
        </is>
      </c>
      <c r="G158" s="5" t="inlineStr">
        <is>
          <t>Authority figure</t>
        </is>
      </c>
      <c r="H158" s="5" t="inlineStr">
        <is>
          <t>Medium</t>
        </is>
      </c>
      <c r="I158" s="5" t="inlineStr">
        <is>
          <t>Ajit's commanding officer, in the army setting where he first meets Kamini.</t>
        </is>
      </c>
      <c r="J158" s="5" t="inlineStr">
        <is>
          <t>Presides over the base where the courtship begins.</t>
        </is>
      </c>
      <c r="K158" s="19" t="inlineStr">
        <is>
          <t>The colonel of the army camp in Kashmir whose supplies Kamini comes to steal and whose captain assists her.</t>
        </is>
      </c>
      <c r="L158" s="5" t="n"/>
      <c r="M158" s="5" t="inlineStr">
        <is>
          <t>SOURCE-029</t>
        </is>
      </c>
    </row>
    <row r="159" ht="49" customHeight="1">
      <c r="A159" s="15" t="inlineStr">
        <is>
          <t>CAST-158</t>
        </is>
      </c>
      <c r="B159" s="18" t="inlineStr">
        <is>
          <t>FILM-037</t>
        </is>
      </c>
      <c r="C159" s="5" t="inlineStr">
        <is>
          <t>Sharmeelee</t>
        </is>
      </c>
      <c r="D159" s="17" t="n">
        <v>1971</v>
      </c>
      <c r="E159" s="5" t="inlineStr">
        <is>
          <t>Narendranath</t>
        </is>
      </c>
      <c r="F159" s="5" t="inlineStr">
        <is>
          <t>Tiger</t>
        </is>
      </c>
      <c r="G159" s="5" t="inlineStr">
        <is>
          <t>Antagonist</t>
        </is>
      </c>
      <c r="H159" s="5" t="inlineStr">
        <is>
          <t>Medium</t>
        </is>
      </c>
      <c r="I159" s="5" t="inlineStr">
        <is>
          <t>Part of the threat around Ajit's marriage rather than a rival for either sister.</t>
        </is>
      </c>
      <c r="J159" s="5" t="inlineStr">
        <is>
          <t>External danger to the couple.</t>
        </is>
      </c>
      <c r="K159" s="19" t="inlineStr">
        <is>
          <t>Credited as Tiger, among the film's antagonists.</t>
        </is>
      </c>
      <c r="L159" s="5" t="n"/>
      <c r="M159" s="5" t="inlineStr">
        <is>
          <t>SOURCE-029</t>
        </is>
      </c>
    </row>
    <row r="160" ht="79" customHeight="1">
      <c r="A160" s="15" t="inlineStr">
        <is>
          <t>CAST-159</t>
        </is>
      </c>
      <c r="B160" s="18" t="inlineStr">
        <is>
          <t>FILM-038</t>
        </is>
      </c>
      <c r="C160" s="5" t="inlineStr">
        <is>
          <t>Patanga</t>
        </is>
      </c>
      <c r="D160" s="17" t="n">
        <v>1971</v>
      </c>
      <c r="E160" s="5" t="inlineStr">
        <is>
          <t>Vimi</t>
        </is>
      </c>
      <c r="F160" s="5" t="inlineStr">
        <is>
          <t>Renu</t>
        </is>
      </c>
      <c r="G160" s="5" t="inlineStr">
        <is>
          <t>Co-lead</t>
        </is>
      </c>
      <c r="H160" s="5" t="inlineStr">
        <is>
          <t>Major</t>
        </is>
      </c>
      <c r="I160" s="5" t="inlineStr">
        <is>
          <t>The woman he loves and then deliberately repels for his benefactor's sake; she holds to him while he pushes her away.</t>
        </is>
      </c>
      <c r="J160" s="5" t="inlineStr">
        <is>
          <t>The whole of it, and the pairing recorded in the Romances sheet: a couple kept apart by the hero's own debt of gratitude.</t>
        </is>
      </c>
      <c r="K160" s="19" t="inlineStr">
        <is>
          <t>A young woman who mistakes Shyam for a thief on a train, grows close to him, and turns out to be the double of the dead Kamla whom Shyam's benefactor loved; she refuses to marry Amar Singh for her family's security and waits for Shyam's proposal while he drinks to drive her off.</t>
        </is>
      </c>
      <c r="L160" s="5" t="n"/>
      <c r="M160" s="5" t="inlineStr">
        <is>
          <t>SOURCE-030</t>
        </is>
      </c>
    </row>
    <row r="161" ht="94" customHeight="1">
      <c r="A161" s="15" t="inlineStr">
        <is>
          <t>CAST-160</t>
        </is>
      </c>
      <c r="B161" s="18" t="inlineStr">
        <is>
          <t>FILM-038</t>
        </is>
      </c>
      <c r="C161" s="5" t="inlineStr">
        <is>
          <t>Patanga</t>
        </is>
      </c>
      <c r="D161" s="17" t="n">
        <v>1971</v>
      </c>
      <c r="E161" s="5" t="inlineStr">
        <is>
          <t>Ajit</t>
        </is>
      </c>
      <c r="F161" s="5" t="inlineStr">
        <is>
          <t>Prince Amar Singh</t>
        </is>
      </c>
      <c r="G161" s="5" t="inlineStr">
        <is>
          <t>Supporting</t>
        </is>
      </c>
      <c r="H161" s="5" t="inlineStr">
        <is>
          <t>Major</t>
        </is>
      </c>
      <c r="I161" s="5" t="inlineStr">
        <is>
          <t>Shyam's benefactor, who educated a servant's son and treats him as a brother, and who becomes the reason Shyam gives up Renu.</t>
        </is>
      </c>
      <c r="J161" s="5" t="inlineStr">
        <is>
          <t>The obstacle and finally the resolution: his own attachment to Renu's dead sister makes him the family's preferred match, and his discovery of the couple's feelings is what frees them.</t>
        </is>
      </c>
      <c r="K161" s="19" t="inlineStr">
        <is>
          <t>A prince who raised and educated his servant's son as a brother, stayed a bachelor for love of the dead Kamla, takes in her family, and is shaken to find Renu her exact likeness.</t>
        </is>
      </c>
      <c r="L161" s="5" t="n"/>
      <c r="M161" s="5" t="inlineStr">
        <is>
          <t>SOURCE-030</t>
        </is>
      </c>
    </row>
    <row r="162" ht="64" customHeight="1">
      <c r="A162" s="15" t="inlineStr">
        <is>
          <t>CAST-161</t>
        </is>
      </c>
      <c r="B162" s="18" t="inlineStr">
        <is>
          <t>FILM-038</t>
        </is>
      </c>
      <c r="C162" s="5" t="inlineStr">
        <is>
          <t>Patanga</t>
        </is>
      </c>
      <c r="D162" s="17" t="n">
        <v>1971</v>
      </c>
      <c r="E162" s="5" t="inlineStr">
        <is>
          <t>Sajjan</t>
        </is>
      </c>
      <c r="F162" s="5" t="inlineStr">
        <is>
          <t>Ramu</t>
        </is>
      </c>
      <c r="G162" s="5" t="inlineStr">
        <is>
          <t>Family</t>
        </is>
      </c>
      <c r="H162" s="5" t="inlineStr">
        <is>
          <t>Major</t>
        </is>
      </c>
      <c r="I162" s="5" t="inlineStr">
        <is>
          <t>Shyam's father and a servant in the palace, which is the class fact the whole obstacle rests on.</t>
        </is>
      </c>
      <c r="J162" s="5" t="inlineStr">
        <is>
          <t>Presses for the match that suits the household rather than his son: he too hopes Amar Singh will finally marry Renu.</t>
        </is>
      </c>
      <c r="K162" s="19" t="inlineStr">
        <is>
          <t>Ramu kaka, a servant in Amar Singh's palace and Shyam's father, who sees in Renu the likeness of Kamla and hopes his master will at last marry.</t>
        </is>
      </c>
      <c r="L162" s="5" t="n"/>
      <c r="M162" s="5" t="inlineStr">
        <is>
          <t>SOURCE-030</t>
        </is>
      </c>
    </row>
    <row r="163" ht="64" customHeight="1">
      <c r="A163" s="15" t="inlineStr">
        <is>
          <t>CAST-162</t>
        </is>
      </c>
      <c r="B163" s="18" t="inlineStr">
        <is>
          <t>FILM-038</t>
        </is>
      </c>
      <c r="C163" s="5" t="inlineStr">
        <is>
          <t>Patanga</t>
        </is>
      </c>
      <c r="D163" s="17" t="n">
        <v>1971</v>
      </c>
      <c r="E163" s="5" t="inlineStr">
        <is>
          <t>Rajendra Nath</t>
        </is>
      </c>
      <c r="F163" s="5" t="inlineStr">
        <is>
          <t>Kuldeep / Lallu</t>
        </is>
      </c>
      <c r="G163" s="5" t="inlineStr">
        <is>
          <t>Comic support</t>
        </is>
      </c>
      <c r="H163" s="5" t="inlineStr">
        <is>
          <t>Medium</t>
        </is>
      </c>
      <c r="I163" s="5" t="inlineStr">
        <is>
          <t>The petty thief whose stolen purse gets Shyam accused, and so the cause of the couple's first misunderstanding.</t>
        </is>
      </c>
      <c r="J163" s="5" t="inlineStr">
        <is>
          <t>Starts the romance by accident, then holds the film's second one.</t>
        </is>
      </c>
      <c r="K163" s="19" t="inlineStr">
        <is>
          <t>A petty thief who plants Renu's purse in Shyam's coat, turns out to be Renu's lost cousin, is reconciled to the family, and falls in love with Chandan Singh's sister Rajkumari.</t>
        </is>
      </c>
      <c r="L163" s="5" t="n"/>
      <c r="M163" s="5" t="inlineStr">
        <is>
          <t>SOURCE-030</t>
        </is>
      </c>
    </row>
    <row r="164" ht="49" customHeight="1">
      <c r="A164" s="15" t="inlineStr">
        <is>
          <t>CAST-163</t>
        </is>
      </c>
      <c r="B164" s="18" t="inlineStr">
        <is>
          <t>FILM-038</t>
        </is>
      </c>
      <c r="C164" s="5" t="inlineStr">
        <is>
          <t>Patanga</t>
        </is>
      </c>
      <c r="D164" s="17" t="n">
        <v>1971</v>
      </c>
      <c r="E164" s="5" t="inlineStr">
        <is>
          <t>Geeta Kapoor</t>
        </is>
      </c>
      <c r="F164" s="5" t="inlineStr">
        <is>
          <t>Rajkumari</t>
        </is>
      </c>
      <c r="G164" s="5" t="inlineStr">
        <is>
          <t>Supporting</t>
        </is>
      </c>
      <c r="H164" s="5" t="inlineStr">
        <is>
          <t>Medium</t>
        </is>
      </c>
      <c r="I164" s="5" t="inlineStr">
        <is>
          <t>Sister of the Chandan Singh whose insult at Shyam's low birth creates the film's rivalry.</t>
        </is>
      </c>
      <c r="J164" s="5" t="inlineStr">
        <is>
          <t>Holds the secondary romance, with Kuldeep, across the same class line.</t>
        </is>
      </c>
      <c r="K164" s="19" t="inlineStr">
        <is>
          <t>Chandan Singh's sister, whose hand Amar Singh asks for Shyam, giving offence because Shyam is a servant's son, and who falls in love with Kuldeep instead.</t>
        </is>
      </c>
      <c r="L164" s="5" t="n"/>
      <c r="M164" s="5" t="inlineStr">
        <is>
          <t>SOURCE-030</t>
        </is>
      </c>
    </row>
    <row r="165" ht="49" customHeight="1">
      <c r="A165" s="15" t="inlineStr">
        <is>
          <t>CAST-164</t>
        </is>
      </c>
      <c r="B165" s="18" t="inlineStr">
        <is>
          <t>FILM-038</t>
        </is>
      </c>
      <c r="C165" s="5" t="inlineStr">
        <is>
          <t>Patanga</t>
        </is>
      </c>
      <c r="D165" s="17" t="n">
        <v>1971</v>
      </c>
      <c r="E165" s="5" t="inlineStr">
        <is>
          <t>Leela Mishra</t>
        </is>
      </c>
      <c r="F165" s="5" t="inlineStr">
        <is>
          <t>Renu's Mausi</t>
        </is>
      </c>
      <c r="G165" s="5" t="inlineStr">
        <is>
          <t>Family</t>
        </is>
      </c>
      <c r="H165" s="5" t="inlineStr">
        <is>
          <t>Medium</t>
        </is>
      </c>
      <c r="I165" s="5" t="inlineStr">
        <is>
          <t>Part of the household taken in by Amar Singh, and among those urging Renu towards the secure marriage.</t>
        </is>
      </c>
      <c r="J165" s="5" t="inlineStr">
        <is>
          <t>Family pressure on Renu's side, pushing her towards the benefactor and away from Shyam.</t>
        </is>
      </c>
      <c r="K165" s="19" t="inlineStr">
        <is>
          <t>Renu's aunt, brought with the rest of the bereaved family into Amar Singh's house, and among the relatives who want Renu married to him for their security.</t>
        </is>
      </c>
      <c r="L165" s="5" t="n"/>
      <c r="M165" s="5" t="inlineStr">
        <is>
          <t>SOURCE-030</t>
        </is>
      </c>
    </row>
    <row r="166" ht="64" customHeight="1">
      <c r="A166" s="15" t="inlineStr">
        <is>
          <t>CAST-165</t>
        </is>
      </c>
      <c r="B166" s="18" t="inlineStr">
        <is>
          <t>FILM-040</t>
        </is>
      </c>
      <c r="C166" s="5" t="inlineStr">
        <is>
          <t>Jaanwar Aur Insaan</t>
        </is>
      </c>
      <c r="D166" s="17" t="n">
        <v>1972</v>
      </c>
      <c r="E166" s="5" t="inlineStr">
        <is>
          <t>Raakhee</t>
        </is>
      </c>
      <c r="F166" s="5" t="inlineStr">
        <is>
          <t>Meena</t>
        </is>
      </c>
      <c r="G166" s="5" t="inlineStr">
        <is>
          <t>Co-lead</t>
        </is>
      </c>
      <c r="H166" s="5" t="inlineStr">
        <is>
          <t>Major</t>
        </is>
      </c>
      <c r="I166" s="5" t="inlineStr">
        <is>
          <t>The woman he loves and marries across a blood feud, and the mother of the child he later stakes out as bait.</t>
        </is>
      </c>
      <c r="J166" s="5" t="inlineStr">
        <is>
          <t>The pairing recorded in the Romances sheet, and secondary to the tiger plot: the marriage is achieved early and then subordinated to the hunt.</t>
        </is>
      </c>
      <c r="K166" s="19" t="inlineStr">
        <is>
          <t>The daughter of the man who killed Shekhar's father, who falls in love with him, is barred from marrying him until her father is dead, marries him at a ceremony the tiger interrupts, and bears his son Raju.</t>
        </is>
      </c>
      <c r="L166" s="5" t="n"/>
      <c r="M166" s="5" t="inlineStr">
        <is>
          <t>SOURCE-032</t>
        </is>
      </c>
    </row>
    <row r="167" ht="49" customHeight="1">
      <c r="A167" s="15" t="inlineStr">
        <is>
          <t>CAST-166</t>
        </is>
      </c>
      <c r="B167" s="18" t="inlineStr">
        <is>
          <t>FILM-040</t>
        </is>
      </c>
      <c r="C167" s="5" t="inlineStr">
        <is>
          <t>Jaanwar Aur Insaan</t>
        </is>
      </c>
      <c r="D167" s="17" t="n">
        <v>1972</v>
      </c>
      <c r="E167" s="5" t="inlineStr">
        <is>
          <t>Madan Puri</t>
        </is>
      </c>
      <c r="F167" s="5" t="inlineStr">
        <is>
          <t>Gokuldas</t>
        </is>
      </c>
      <c r="G167" s="5" t="inlineStr">
        <is>
          <t>Antagonist</t>
        </is>
      </c>
      <c r="H167" s="5" t="inlineStr">
        <is>
          <t>Major</t>
        </is>
      </c>
      <c r="I167" s="5" t="inlineStr">
        <is>
          <t>Meena's father and his own father's killer, which is the single fact blocking the marriage.</t>
        </is>
      </c>
      <c r="J167" s="5" t="inlineStr">
        <is>
          <t>The external opposition entire, and removed by being killed rather than reconciled.</t>
        </is>
      </c>
      <c r="K167" s="19" t="inlineStr">
        <is>
          <t>Meena's father, who had killed Shekhar's father years earlier, making the marriage impossible until Mohan kills him and the past is forgiven.</t>
        </is>
      </c>
      <c r="L167" s="5" t="n"/>
      <c r="M167" s="5" t="inlineStr">
        <is>
          <t>SOURCE-032</t>
        </is>
      </c>
    </row>
    <row r="168" ht="49" customHeight="1">
      <c r="A168" s="15" t="inlineStr">
        <is>
          <t>CAST-167</t>
        </is>
      </c>
      <c r="B168" s="18" t="inlineStr">
        <is>
          <t>FILM-040</t>
        </is>
      </c>
      <c r="C168" s="5" t="inlineStr">
        <is>
          <t>Jaanwar Aur Insaan</t>
        </is>
      </c>
      <c r="D168" s="17" t="n">
        <v>1972</v>
      </c>
      <c r="E168" s="5" t="inlineStr">
        <is>
          <t>Nirupa Roy</t>
        </is>
      </c>
      <c r="F168" s="5" t="inlineStr">
        <is>
          <t>Gauri</t>
        </is>
      </c>
      <c r="G168" s="5" t="inlineStr">
        <is>
          <t>Family</t>
        </is>
      </c>
      <c r="H168" s="5" t="inlineStr">
        <is>
          <t>Major</t>
        </is>
      </c>
      <c r="I168" s="5" t="inlineStr">
        <is>
          <t>His widowed mother, with whom he lives while managing the estate.</t>
        </is>
      </c>
      <c r="J168" s="5" t="inlineStr">
        <is>
          <t>The household the marriage enters, and a widow made so by Meena's father.</t>
        </is>
      </c>
      <c r="K168" s="19" t="inlineStr">
        <is>
          <t>Shekhar's widowed mother in Jamuna Nagar, widowed by the killing that later stands between her son and the woman he loves.</t>
        </is>
      </c>
      <c r="L168" s="5" t="n"/>
      <c r="M168" s="5" t="inlineStr">
        <is>
          <t>SOURCE-032</t>
        </is>
      </c>
    </row>
    <row r="169" ht="49" customHeight="1">
      <c r="A169" s="15" t="inlineStr">
        <is>
          <t>CAST-168</t>
        </is>
      </c>
      <c r="B169" s="18" t="inlineStr">
        <is>
          <t>FILM-040</t>
        </is>
      </c>
      <c r="C169" s="5" t="inlineStr">
        <is>
          <t>Jaanwar Aur Insaan</t>
        </is>
      </c>
      <c r="D169" s="17" t="n">
        <v>1972</v>
      </c>
      <c r="E169" s="5" t="inlineStr">
        <is>
          <t>Sujit Kumar</t>
        </is>
      </c>
      <c r="F169" s="5" t="inlineStr">
        <is>
          <t>Mohan</t>
        </is>
      </c>
      <c r="G169" s="5" t="inlineStr">
        <is>
          <t>Friend</t>
        </is>
      </c>
      <c r="H169" s="5" t="inlineStr">
        <is>
          <t>Medium</t>
        </is>
      </c>
      <c r="I169" s="5" t="inlineStr">
        <is>
          <t>The one who kills Gokuldas and so clears the way for Shekhar's marriage.</t>
        </is>
      </c>
      <c r="J169" s="5" t="inlineStr">
        <is>
          <t>Removes the obstacle by violence, which is what makes the union possible.</t>
        </is>
      </c>
      <c r="K169" s="19" t="inlineStr">
        <is>
          <t>Credited as Mohan, and named by the article as the man whose killing of Gokuldas allows the marriage to proceed.</t>
        </is>
      </c>
      <c r="L169" s="5" t="n"/>
      <c r="M169" s="5" t="inlineStr">
        <is>
          <t>SOURCE-032</t>
        </is>
      </c>
    </row>
    <row r="170" ht="64" customHeight="1">
      <c r="A170" s="15" t="inlineStr">
        <is>
          <t>CAST-169</t>
        </is>
      </c>
      <c r="B170" s="18" t="inlineStr">
        <is>
          <t>FILM-040</t>
        </is>
      </c>
      <c r="C170" s="5" t="inlineStr">
        <is>
          <t>Jaanwar Aur Insaan</t>
        </is>
      </c>
      <c r="D170" s="17" t="n">
        <v>1972</v>
      </c>
      <c r="E170" s="5" t="inlineStr">
        <is>
          <t>Alankar Joshi</t>
        </is>
      </c>
      <c r="F170" s="5" t="inlineStr">
        <is>
          <t>Raju</t>
        </is>
      </c>
      <c r="G170" s="5" t="inlineStr">
        <is>
          <t>Family</t>
        </is>
      </c>
      <c r="H170" s="5" t="inlineStr">
        <is>
          <t>Medium</t>
        </is>
      </c>
      <c r="I170" s="5" t="inlineStr">
        <is>
          <t>His infant son, and the object of the film's last act: Shekhar decides to use the child as live bait for the man-eater.</t>
        </is>
      </c>
      <c r="J170" s="5" t="inlineStr">
        <is>
          <t>The issue of the marriage, and the thing the hunt finally puts at stake.</t>
        </is>
      </c>
      <c r="K170" s="19" t="inlineStr">
        <is>
          <t>Shekhar and Meena's small son, born about a year after the wedding, whom his father resolves to stake out as bait when no adult volunteers.</t>
        </is>
      </c>
      <c r="L170" s="5" t="n"/>
      <c r="M170" s="5" t="inlineStr">
        <is>
          <t>SOURCE-032</t>
        </is>
      </c>
    </row>
    <row r="171" ht="34" customHeight="1">
      <c r="A171" s="15" t="inlineStr">
        <is>
          <t>CAST-170</t>
        </is>
      </c>
      <c r="B171" s="18" t="inlineStr">
        <is>
          <t>FILM-040</t>
        </is>
      </c>
      <c r="C171" s="5" t="inlineStr">
        <is>
          <t>Jaanwar Aur Insaan</t>
        </is>
      </c>
      <c r="D171" s="17" t="n">
        <v>1972</v>
      </c>
      <c r="E171" s="5" t="inlineStr">
        <is>
          <t>Jagdeep</t>
        </is>
      </c>
      <c r="F171" s="5" t="inlineStr">
        <is>
          <t>Bahadur</t>
        </is>
      </c>
      <c r="G171" s="5" t="inlineStr">
        <is>
          <t>Comic support</t>
        </is>
      </c>
      <c r="H171" s="5" t="inlineStr">
        <is>
          <t>Medium</t>
        </is>
      </c>
      <c r="I171" s="5" t="inlineStr">
        <is>
          <t>Attached to the estate household through the hunt.</t>
        </is>
      </c>
      <c r="J171" s="5" t="inlineStr">
        <is>
          <t>No part in the marriage plot.</t>
        </is>
      </c>
      <c r="K171" s="19" t="inlineStr">
        <is>
          <t>Credited as Bahadur, carrying the comic line of a film otherwise built on a man-eating tiger and a blood feud.</t>
        </is>
      </c>
      <c r="L171" s="5" t="n"/>
      <c r="M171" s="5" t="inlineStr">
        <is>
          <t>SOURCE-032</t>
        </is>
      </c>
    </row>
    <row r="172" ht="79" customHeight="1">
      <c r="A172" s="15" t="inlineStr">
        <is>
          <t>CAST-171</t>
        </is>
      </c>
      <c r="B172" s="18" t="inlineStr">
        <is>
          <t>FILM-041</t>
        </is>
      </c>
      <c r="C172" s="5" t="inlineStr">
        <is>
          <t>Siddhartha</t>
        </is>
      </c>
      <c r="D172" s="17" t="n">
        <v>1972</v>
      </c>
      <c r="E172" s="5" t="inlineStr">
        <is>
          <t>Simi Garewal</t>
        </is>
      </c>
      <c r="F172" s="5" t="inlineStr">
        <is>
          <t>Kamala</t>
        </is>
      </c>
      <c r="G172" s="5" t="inlineStr">
        <is>
          <t>Co-lead</t>
        </is>
      </c>
      <c r="H172" s="5" t="inlineStr">
        <is>
          <t>Major</t>
        </is>
      </c>
      <c r="I172" s="5" t="inlineStr">
        <is>
          <t>The courtesan through whom Siddhartha passes into sensual pleasure and material life; she is a stage of his search rather than a destination.</t>
        </is>
      </c>
      <c r="J172" s="5" t="inlineStr">
        <is>
          <t>The pairing recorded in the Romances sheet, and explicitly subordinate: the film is a spiritual quest in which the love affair is one of several conditions tried and set down.</t>
        </is>
      </c>
      <c r="K172" s="19" t="inlineStr">
        <is>
          <t>A celebrated courtesan who takes Siddhartha as a lover and draws him into the world of pleasure and wealth that he later turns from in self-revulsion.</t>
        </is>
      </c>
      <c r="L172" s="5" t="n"/>
      <c r="M172" s="5" t="inlineStr">
        <is>
          <t>SOURCE-031</t>
        </is>
      </c>
    </row>
    <row r="173" ht="64" customHeight="1">
      <c r="A173" s="15" t="inlineStr">
        <is>
          <t>CAST-172</t>
        </is>
      </c>
      <c r="B173" s="18" t="inlineStr">
        <is>
          <t>FILM-041</t>
        </is>
      </c>
      <c r="C173" s="5" t="inlineStr">
        <is>
          <t>Siddhartha</t>
        </is>
      </c>
      <c r="D173" s="17" t="n">
        <v>1972</v>
      </c>
      <c r="E173" s="5" t="inlineStr">
        <is>
          <t>Romesh Sharma</t>
        </is>
      </c>
      <c r="F173" s="5" t="inlineStr">
        <is>
          <t>Govinda</t>
        </is>
      </c>
      <c r="G173" s="5" t="inlineStr">
        <is>
          <t>Friend</t>
        </is>
      </c>
      <c r="H173" s="5" t="inlineStr">
        <is>
          <t>Major</t>
        </is>
      </c>
      <c r="I173" s="5" t="inlineStr">
        <is>
          <t>His companion from the beginning of the search, and the friend who takes the other road, following a teacher where Siddhartha will not.</t>
        </is>
      </c>
      <c r="J173" s="5" t="inlineStr">
        <is>
          <t>Outside it.</t>
        </is>
      </c>
      <c r="K173" s="19" t="inlineStr">
        <is>
          <t>Siddhartha's friend and fellow seeker, whose willingness to follow a master measures Siddhartha's insistence that the secret of life cannot be passed from one person to another.</t>
        </is>
      </c>
      <c r="L173" s="5" t="n"/>
      <c r="M173" s="5" t="inlineStr">
        <is>
          <t>SOURCE-031</t>
        </is>
      </c>
    </row>
    <row r="174" ht="64" customHeight="1">
      <c r="A174" s="15" t="inlineStr">
        <is>
          <t>CAST-173</t>
        </is>
      </c>
      <c r="B174" s="18" t="inlineStr">
        <is>
          <t>FILM-041</t>
        </is>
      </c>
      <c r="C174" s="5" t="inlineStr">
        <is>
          <t>Siddhartha</t>
        </is>
      </c>
      <c r="D174" s="17" t="n">
        <v>1972</v>
      </c>
      <c r="E174" s="5" t="inlineStr">
        <is>
          <t>Zul Vellani</t>
        </is>
      </c>
      <c r="F174" s="5" t="inlineStr">
        <is>
          <t>Vasudeva</t>
        </is>
      </c>
      <c r="G174" s="5" t="inlineStr">
        <is>
          <t>Mentor</t>
        </is>
      </c>
      <c r="H174" s="5" t="inlineStr">
        <is>
          <t>Major</t>
        </is>
      </c>
      <c r="I174" s="5" t="inlineStr">
        <is>
          <t>The ferryman beside whom Siddhartha arrives at the harmony he has been seeking, and a teacher who teaches by not teaching.</t>
        </is>
      </c>
      <c r="J174" s="5" t="inlineStr">
        <is>
          <t>Outside it.</t>
        </is>
      </c>
      <c r="K174" s="19" t="inlineStr">
        <is>
          <t>The ferryman at the river, in whose company Siddhartha comes to the oneness with himself that neither asceticism nor pleasure nor wealth had given him.</t>
        </is>
      </c>
      <c r="L174" s="5" t="n"/>
      <c r="M174" s="5" t="inlineStr">
        <is>
          <t>SOURCE-031</t>
        </is>
      </c>
    </row>
    <row r="175" ht="49" customHeight="1">
      <c r="A175" s="15" t="inlineStr">
        <is>
          <t>CAST-174</t>
        </is>
      </c>
      <c r="B175" s="18" t="inlineStr">
        <is>
          <t>FILM-041</t>
        </is>
      </c>
      <c r="C175" s="5" t="inlineStr">
        <is>
          <t>Siddhartha</t>
        </is>
      </c>
      <c r="D175" s="17" t="n">
        <v>1972</v>
      </c>
      <c r="E175" s="5" t="inlineStr">
        <is>
          <t>Pinchoo Kapoor</t>
        </is>
      </c>
      <c r="F175" s="5" t="inlineStr">
        <is>
          <t>Kamaswami</t>
        </is>
      </c>
      <c r="G175" s="5" t="inlineStr">
        <is>
          <t>Supporting</t>
        </is>
      </c>
      <c r="H175" s="5" t="inlineStr">
        <is>
          <t>Medium</t>
        </is>
      </c>
      <c r="I175" s="5" t="inlineStr">
        <is>
          <t>The merchant who employs him, and so the agent of the material-wealth stage of the search.</t>
        </is>
      </c>
      <c r="J175" s="5" t="inlineStr">
        <is>
          <t>Belongs to the same worldly phase as Kamala.</t>
        </is>
      </c>
      <c r="K175" s="19" t="inlineStr">
        <is>
          <t>The merchant in whose service Siddhartha acquires the material wealth that becomes the third thing he must renounce.</t>
        </is>
      </c>
      <c r="L175" s="5" t="n"/>
      <c r="M175" s="5" t="inlineStr">
        <is>
          <t>SOURCE-031</t>
        </is>
      </c>
    </row>
    <row r="176" ht="49" customHeight="1">
      <c r="A176" s="15" t="inlineStr">
        <is>
          <t>CAST-175</t>
        </is>
      </c>
      <c r="B176" s="18" t="inlineStr">
        <is>
          <t>FILM-041</t>
        </is>
      </c>
      <c r="C176" s="5" t="inlineStr">
        <is>
          <t>Siddhartha</t>
        </is>
      </c>
      <c r="D176" s="17" t="n">
        <v>1972</v>
      </c>
      <c r="E176" s="5" t="inlineStr">
        <is>
          <t>Kunal Kapoor</t>
        </is>
      </c>
      <c r="F176" s="5" t="inlineStr">
        <is>
          <t>Son</t>
        </is>
      </c>
      <c r="G176" s="5" t="inlineStr">
        <is>
          <t>Family</t>
        </is>
      </c>
      <c r="H176" s="5" t="inlineStr">
        <is>
          <t>Medium</t>
        </is>
      </c>
      <c r="I176" s="5" t="inlineStr">
        <is>
          <t>Siddhartha's son in the film, and Kapoor's own son in life, appearing as a child.</t>
        </is>
      </c>
      <c r="J176" s="5" t="inlineStr">
        <is>
          <t>The issue of the relationship with Kamala.</t>
        </is>
      </c>
      <c r="K176" s="19" t="inlineStr">
        <is>
          <t>Siddhartha's son, played as a child by Kapoor's elder son Kunal, who would later act in Paap Aur Punya and Junoon.</t>
        </is>
      </c>
      <c r="L176" s="5" t="n"/>
      <c r="M176" s="5" t="inlineStr">
        <is>
          <t>SOURCE-031</t>
        </is>
      </c>
    </row>
    <row r="177" ht="49" customHeight="1">
      <c r="A177" s="15" t="inlineStr">
        <is>
          <t>CAST-176</t>
        </is>
      </c>
      <c r="B177" s="18" t="inlineStr">
        <is>
          <t>FILM-041</t>
        </is>
      </c>
      <c r="C177" s="5" t="inlineStr">
        <is>
          <t>Siddhartha</t>
        </is>
      </c>
      <c r="D177" s="17" t="n">
        <v>1972</v>
      </c>
      <c r="E177" s="5" t="inlineStr">
        <is>
          <t>Amrik Singh</t>
        </is>
      </c>
      <c r="F177" s="5" t="inlineStr">
        <is>
          <t>Father</t>
        </is>
      </c>
      <c r="G177" s="5" t="inlineStr">
        <is>
          <t>Family</t>
        </is>
      </c>
      <c r="H177" s="5" t="inlineStr">
        <is>
          <t>Medium</t>
        </is>
      </c>
      <c r="I177" s="5" t="inlineStr">
        <is>
          <t>The Brahmin father whose house and expectations Siddhartha leaves at the start of the search.</t>
        </is>
      </c>
      <c r="J177" s="5" t="inlineStr">
        <is>
          <t>Outside it.</t>
        </is>
      </c>
      <c r="K177" s="19" t="inlineStr">
        <is>
          <t>Siddhartha's father, credited with Shanti Hiranand as his mother, the rich family the young man leaves in order to look for a meaningful way of life.</t>
        </is>
      </c>
      <c r="L177" s="5" t="n"/>
      <c r="M177" s="5" t="inlineStr">
        <is>
          <t>SOURCE-031</t>
        </is>
      </c>
    </row>
    <row r="178" ht="79" customHeight="1">
      <c r="A178" s="15" t="inlineStr">
        <is>
          <t>CAST-177</t>
        </is>
      </c>
      <c r="B178" s="18" t="inlineStr">
        <is>
          <t>FILM-042</t>
        </is>
      </c>
      <c r="C178" s="5" t="inlineStr">
        <is>
          <t>Naina</t>
        </is>
      </c>
      <c r="D178" s="17" t="n">
        <v>1973</v>
      </c>
      <c r="E178" s="5" t="inlineStr">
        <is>
          <t>Moushumi Chatterjee</t>
        </is>
      </c>
      <c r="F178" s="5" t="inlineStr">
        <is>
          <t>Jyoti</t>
        </is>
      </c>
      <c r="G178" s="5" t="inlineStr">
        <is>
          <t>Co-lead</t>
        </is>
      </c>
      <c r="H178" s="5" t="inlineStr">
        <is>
          <t>Major</t>
        </is>
      </c>
      <c r="I178" s="5" t="inlineStr">
        <is>
          <t>His second wife, according to the cast list. The article has no plot section, so what the marriage consists of is undocumented.</t>
        </is>
      </c>
      <c r="J178" s="5" t="inlineStr">
        <is>
          <t>The living half of a marital structure the cast list sets out and the article never narrates; no Romances row was created for the film on that account.</t>
        </is>
      </c>
      <c r="K178" s="19" t="inlineStr">
        <is>
          <t>Credited as Ravi's second wife. The film article carries a cast list and no synopsis, so the part is documented only by that relation.</t>
        </is>
      </c>
      <c r="L178" s="5" t="n"/>
      <c r="M178" s="5" t="inlineStr">
        <is>
          <t>SOURCE-034</t>
        </is>
      </c>
    </row>
    <row r="179" ht="49" customHeight="1">
      <c r="A179" s="15" t="inlineStr">
        <is>
          <t>CAST-178</t>
        </is>
      </c>
      <c r="B179" s="18" t="inlineStr">
        <is>
          <t>FILM-042</t>
        </is>
      </c>
      <c r="C179" s="5" t="inlineStr">
        <is>
          <t>Naina</t>
        </is>
      </c>
      <c r="D179" s="17" t="n">
        <v>1973</v>
      </c>
      <c r="E179" s="5" t="inlineStr">
        <is>
          <t>Rajshree Shantaram</t>
        </is>
      </c>
      <c r="F179" s="5" t="inlineStr">
        <is>
          <t>Naina</t>
        </is>
      </c>
      <c r="G179" s="5" t="inlineStr">
        <is>
          <t>Supporting</t>
        </is>
      </c>
      <c r="H179" s="5" t="inlineStr">
        <is>
          <t>Major</t>
        </is>
      </c>
      <c r="I179" s="5" t="inlineStr">
        <is>
          <t>His first wife, given in the cast list as already dead when the story begins; she is the title of the film.</t>
        </is>
      </c>
      <c r="J179" s="5" t="inlineStr">
        <is>
          <t>The absent presence the title names, though the article gives no account of her part in the story.</t>
        </is>
      </c>
      <c r="K179" s="19" t="inlineStr">
        <is>
          <t>Credited as Ravi's first wife and marked deceased, the character whose name the film carries. With no plot section the article leaves her function unstated.</t>
        </is>
      </c>
      <c r="L179" s="5" t="n"/>
      <c r="M179" s="5" t="inlineStr">
        <is>
          <t>SOURCE-034</t>
        </is>
      </c>
    </row>
    <row r="180" ht="34" customHeight="1">
      <c r="A180" s="15" t="inlineStr">
        <is>
          <t>CAST-179</t>
        </is>
      </c>
      <c r="B180" s="18" t="inlineStr">
        <is>
          <t>FILM-042</t>
        </is>
      </c>
      <c r="C180" s="5" t="inlineStr">
        <is>
          <t>Naina</t>
        </is>
      </c>
      <c r="D180" s="17" t="n">
        <v>1973</v>
      </c>
      <c r="E180" s="5" t="inlineStr">
        <is>
          <t>Rehman</t>
        </is>
      </c>
      <c r="F180" s="5" t="inlineStr">
        <is>
          <t>Raja Bansi Lal Berma</t>
        </is>
      </c>
      <c r="G180" s="5" t="inlineStr">
        <is>
          <t>Family</t>
        </is>
      </c>
      <c r="H180" s="5" t="inlineStr">
        <is>
          <t>Major</t>
        </is>
      </c>
      <c r="I180" s="5" t="inlineStr">
        <is>
          <t>His father, a raja, per the cast list.</t>
        </is>
      </c>
      <c r="J180" s="5" t="inlineStr">
        <is>
          <t>Not documented.</t>
        </is>
      </c>
      <c r="K180" s="19" t="inlineStr">
        <is>
          <t>Credited as Ravi's father, a raja, which is the whole of what the article establishes about the household.</t>
        </is>
      </c>
      <c r="L180" s="5" t="n"/>
      <c r="M180" s="5" t="inlineStr">
        <is>
          <t>SOURCE-034</t>
        </is>
      </c>
    </row>
    <row r="181" ht="49" customHeight="1">
      <c r="A181" s="15" t="inlineStr">
        <is>
          <t>CAST-180</t>
        </is>
      </c>
      <c r="B181" s="18" t="inlineStr">
        <is>
          <t>FILM-042</t>
        </is>
      </c>
      <c r="C181" s="5" t="inlineStr">
        <is>
          <t>Naina</t>
        </is>
      </c>
      <c r="D181" s="17" t="n">
        <v>1973</v>
      </c>
      <c r="E181" s="5" t="inlineStr">
        <is>
          <t>Padma Khanna</t>
        </is>
      </c>
      <c r="F181" s="5" t="n"/>
      <c r="G181" s="5" t="inlineStr">
        <is>
          <t>Supporting</t>
        </is>
      </c>
      <c r="H181" s="5" t="inlineStr">
        <is>
          <t>Medium</t>
        </is>
      </c>
      <c r="I181" s="5" t="inlineStr">
        <is>
          <t>Not documented; the article gives her no character name.</t>
        </is>
      </c>
      <c r="J181" s="5" t="inlineStr">
        <is>
          <t>Not documented.</t>
        </is>
      </c>
      <c r="K181" s="19" t="inlineStr">
        <is>
          <t>Credited without a character name, alongside David Abraham Cheulkar, in a cast list the article does not support with any synopsis.</t>
        </is>
      </c>
      <c r="L181" s="5" t="n"/>
      <c r="M181" s="5" t="inlineStr">
        <is>
          <t>SOURCE-034</t>
        </is>
      </c>
    </row>
    <row r="182" ht="94" customHeight="1">
      <c r="A182" s="15" t="inlineStr">
        <is>
          <t>CAST-181</t>
        </is>
      </c>
      <c r="B182" s="18" t="inlineStr">
        <is>
          <t>FILM-043</t>
        </is>
      </c>
      <c r="C182" s="5" t="inlineStr">
        <is>
          <t>Aa Gale Lag Jaa</t>
        </is>
      </c>
      <c r="D182" s="17" t="n">
        <v>1973</v>
      </c>
      <c r="E182" s="5" t="inlineStr">
        <is>
          <t>Sharmila Tagore</t>
        </is>
      </c>
      <c r="F182" s="5" t="inlineStr">
        <is>
          <t>Preeti</t>
        </is>
      </c>
      <c r="G182" s="5" t="inlineStr">
        <is>
          <t>Co-lead</t>
        </is>
      </c>
      <c r="H182" s="5" t="inlineStr">
        <is>
          <t>Major</t>
        </is>
      </c>
      <c r="I182" s="5" t="inlineStr">
        <is>
          <t>The woman he teases, wins, becomes intimate with and proposes to, and who is then made to believe he wanted money for the marriage; she bears his son believing the child stillborn.</t>
        </is>
      </c>
      <c r="J182" s="5" t="inlineStr">
        <is>
          <t>The whole of it, and the pairing recorded in the Romances sheet: a relationship broken and kept broken by her father's forgery rather than by anything between them.</t>
        </is>
      </c>
      <c r="K182" s="19" t="inlineStr">
        <is>
          <t>A young doctor in Bombay living with her widower father, who meets a skater in Simla, is saved from hypothermia by him and becomes intimate, accepts his proposal, is shown a letter her father has rewritten to make him a fortune-hunter, becomes engaged elsewhere, and gives birth to a son she is told did not live.</t>
        </is>
      </c>
      <c r="L182" s="5" t="n"/>
      <c r="M182" s="5" t="inlineStr">
        <is>
          <t>SOURCE-033</t>
        </is>
      </c>
    </row>
    <row r="183" ht="79" customHeight="1">
      <c r="A183" s="15" t="inlineStr">
        <is>
          <t>CAST-272</t>
        </is>
      </c>
      <c r="B183" s="18" t="inlineStr">
        <is>
          <t>FILM-043</t>
        </is>
      </c>
      <c r="C183" s="5" t="inlineStr">
        <is>
          <t>Aa Gale Lag Jaa</t>
        </is>
      </c>
      <c r="D183" s="17" t="n">
        <v>1973</v>
      </c>
      <c r="E183" s="5" t="inlineStr">
        <is>
          <t>Shatrughan Sinha</t>
        </is>
      </c>
      <c r="F183" s="5" t="inlineStr">
        <is>
          <t>Dr. Amar</t>
        </is>
      </c>
      <c r="G183" s="5" t="inlineStr">
        <is>
          <t>Romantic rival</t>
        </is>
      </c>
      <c r="H183" s="5" t="inlineStr">
        <is>
          <t>Major</t>
        </is>
      </c>
      <c r="I183" s="5" t="inlineStr">
        <is>
          <t>The rival who gets Preeti after the forged letter, and who then treats Prem's polio-stricken son without knowing whose child he is.</t>
        </is>
      </c>
      <c r="J183" s="5" t="inlineStr">
        <is>
          <t>The competing claim, and an honourable one: he vows not to marry until he has made the boy walk, which is what keeps the two households in contact.</t>
        </is>
      </c>
      <c r="K183" s="19" t="inlineStr">
        <is>
          <t>Preeti's long-standing friend and admirer, a doctor, who becomes engaged to her after Prem is driven off, leaves for higher studies in Germany, and returns to undertake the treatment of Rahul.</t>
        </is>
      </c>
      <c r="L183" s="5" t="n"/>
      <c r="M183" s="5" t="inlineStr">
        <is>
          <t>SOURCE-033</t>
        </is>
      </c>
    </row>
    <row r="184" ht="64" customHeight="1">
      <c r="A184" s="15" t="inlineStr">
        <is>
          <t>CAST-273</t>
        </is>
      </c>
      <c r="B184" s="18" t="inlineStr">
        <is>
          <t>FILM-043</t>
        </is>
      </c>
      <c r="C184" s="5" t="inlineStr">
        <is>
          <t>Aa Gale Lag Jaa</t>
        </is>
      </c>
      <c r="D184" s="17" t="n">
        <v>1973</v>
      </c>
      <c r="E184" s="5" t="inlineStr">
        <is>
          <t>Om Prakash</t>
        </is>
      </c>
      <c r="F184" s="5" t="inlineStr">
        <is>
          <t>Heera Chand</t>
        </is>
      </c>
      <c r="G184" s="5" t="inlineStr">
        <is>
          <t>Family</t>
        </is>
      </c>
      <c r="H184" s="5" t="inlineStr">
        <is>
          <t>Major</t>
        </is>
      </c>
      <c r="I184" s="5" t="inlineStr">
        <is>
          <t>Preeti's widower father, who offers him money to leave her, forges his letter into a demand for money, and later hands over his newborn son.</t>
        </is>
      </c>
      <c r="J184" s="5" t="inlineStr">
        <is>
          <t>The whole of the external opposition, and the author of the deception that keeps the couple apart for years.</t>
        </is>
      </c>
      <c r="K184" s="19" t="inlineStr">
        <is>
          <t>Preeti's widower father, who refuses Prem as a match, tries to buy him off, rewrites his letter to make him a fortune-hunter, wants the pregnancy aborted, and gives the baby away telling his daughter it was stillborn.</t>
        </is>
      </c>
      <c r="L184" s="5" t="n"/>
      <c r="M184" s="5" t="inlineStr">
        <is>
          <t>SOURCE-033</t>
        </is>
      </c>
    </row>
    <row r="185" ht="49" customHeight="1">
      <c r="A185" s="15" t="inlineStr">
        <is>
          <t>CAST-274</t>
        </is>
      </c>
      <c r="B185" s="18" t="inlineStr">
        <is>
          <t>FILM-043</t>
        </is>
      </c>
      <c r="C185" s="5" t="inlineStr">
        <is>
          <t>Aa Gale Lag Jaa</t>
        </is>
      </c>
      <c r="D185" s="17" t="n">
        <v>1973</v>
      </c>
      <c r="E185" s="5" t="inlineStr">
        <is>
          <t>Sulochana Latkar</t>
        </is>
      </c>
      <c r="F185" s="5" t="inlineStr">
        <is>
          <t>Prem's mother</t>
        </is>
      </c>
      <c r="G185" s="5" t="inlineStr">
        <is>
          <t>Family</t>
        </is>
      </c>
      <c r="H185" s="5" t="inlineStr">
        <is>
          <t>Medium</t>
        </is>
      </c>
      <c r="I185" s="5" t="inlineStr">
        <is>
          <t>His mother, with whom he is living in Khandala when Preeti is brought there to give birth.</t>
        </is>
      </c>
      <c r="J185" s="5" t="inlineStr">
        <is>
          <t>The household that takes in the child, which is how Prem comes to raise his son alone.</t>
        </is>
      </c>
      <c r="K185" s="19" t="inlineStr">
        <is>
          <t>Prem's mother, living in Khandala, unknowingly in the same town where Preeti is sent to have her baby.</t>
        </is>
      </c>
      <c r="L185" s="5" t="n"/>
      <c r="M185" s="5" t="inlineStr">
        <is>
          <t>SOURCE-033</t>
        </is>
      </c>
    </row>
    <row r="186" ht="34" customHeight="1">
      <c r="A186" s="15" t="inlineStr">
        <is>
          <t>CAST-275</t>
        </is>
      </c>
      <c r="B186" s="18" t="inlineStr">
        <is>
          <t>FILM-043</t>
        </is>
      </c>
      <c r="C186" s="5" t="inlineStr">
        <is>
          <t>Aa Gale Lag Jaa</t>
        </is>
      </c>
      <c r="D186" s="17" t="n">
        <v>1973</v>
      </c>
      <c r="E186" s="5" t="inlineStr">
        <is>
          <t>Jagdeep</t>
        </is>
      </c>
      <c r="F186" s="5" t="inlineStr">
        <is>
          <t>Jaggi</t>
        </is>
      </c>
      <c r="G186" s="5" t="inlineStr">
        <is>
          <t>Comic support</t>
        </is>
      </c>
      <c r="H186" s="5" t="inlineStr">
        <is>
          <t>Medium</t>
        </is>
      </c>
      <c r="I186" s="5" t="inlineStr">
        <is>
          <t>Comic support around Prem's skating world in Simla and later Bombay.</t>
        </is>
      </c>
      <c r="J186" s="5" t="inlineStr">
        <is>
          <t>No part in the deception plot.</t>
        </is>
      </c>
      <c r="K186" s="19" t="inlineStr">
        <is>
          <t>Credited as Jaggi, in the comic register of a film built on a forged letter and a concealed birth.</t>
        </is>
      </c>
      <c r="L186" s="5" t="n"/>
      <c r="M186" s="5" t="inlineStr">
        <is>
          <t>SOURCE-033</t>
        </is>
      </c>
    </row>
    <row r="187" ht="64" customHeight="1">
      <c r="A187" s="15" t="inlineStr">
        <is>
          <t>CAST-276</t>
        </is>
      </c>
      <c r="B187" s="18" t="inlineStr">
        <is>
          <t>FILM-043</t>
        </is>
      </c>
      <c r="C187" s="5" t="inlineStr">
        <is>
          <t>Aa Gale Lag Jaa</t>
        </is>
      </c>
      <c r="D187" s="17" t="n">
        <v>1973</v>
      </c>
      <c r="E187" s="5" t="inlineStr">
        <is>
          <t>Kunal Kapoor</t>
        </is>
      </c>
      <c r="F187" s="5" t="inlineStr">
        <is>
          <t>Child skating</t>
        </is>
      </c>
      <c r="G187" s="5" t="inlineStr">
        <is>
          <t>Cameo</t>
        </is>
      </c>
      <c r="H187" s="5" t="inlineStr">
        <is>
          <t>Minor</t>
        </is>
      </c>
      <c r="I187" s="5" t="inlineStr">
        <is>
          <t>A cameo by Kapoor's own elder son, credited as a child skating, in a film whose hero is a skating teacher.</t>
        </is>
      </c>
      <c r="J187" s="5" t="inlineStr">
        <is>
          <t>No part in it.</t>
        </is>
      </c>
      <c r="K187" s="19" t="inlineStr">
        <is>
          <t>A cameo appearance as a child skater by Kunal Kapoor, the same year he played Siddhartha's son for Conrad Rooks. Master Tito plays the boy Nitin Dawane and Roohi Berde is credited as Tikki.</t>
        </is>
      </c>
      <c r="L187" s="5" t="n"/>
      <c r="M187" s="5" t="inlineStr">
        <is>
          <t>SOURCE-033</t>
        </is>
      </c>
    </row>
    <row r="188" ht="79" customHeight="1">
      <c r="A188" s="15" t="inlineStr">
        <is>
          <t>CAST-182</t>
        </is>
      </c>
      <c r="B188" s="18" t="inlineStr">
        <is>
          <t>FILM-046</t>
        </is>
      </c>
      <c r="C188" s="5" t="inlineStr">
        <is>
          <t>Jeevan Sangram</t>
        </is>
      </c>
      <c r="D188" s="17" t="n">
        <v>1974</v>
      </c>
      <c r="E188" s="5" t="inlineStr">
        <is>
          <t>Radha Saluja</t>
        </is>
      </c>
      <c r="F188" s="5" t="inlineStr">
        <is>
          <t>Amba</t>
        </is>
      </c>
      <c r="G188" s="5" t="inlineStr">
        <is>
          <t>Supporting</t>
        </is>
      </c>
      <c r="H188" s="5" t="inlineStr">
        <is>
          <t>Major</t>
        </is>
      </c>
      <c r="I188" s="5" t="inlineStr">
        <is>
          <t>Not documented. The film article carries a cast list with no plot section, which is also why romance presence is left blank for the film and no Romances row was created.</t>
        </is>
      </c>
      <c r="J188" s="5" t="inlineStr">
        <is>
          <t>Not documented.</t>
        </is>
      </c>
      <c r="K188" s="19" t="inlineStr">
        <is>
          <t>Credited as Amba, the principal female part opposite Kapoor's Arjun. The article gives no synopsis, so nothing further is recorded.</t>
        </is>
      </c>
      <c r="L188" s="5" t="n"/>
      <c r="M188" s="5" t="inlineStr">
        <is>
          <t>SOURCE-038</t>
        </is>
      </c>
    </row>
    <row r="189" ht="34" customHeight="1">
      <c r="A189" s="15" t="inlineStr">
        <is>
          <t>CAST-183</t>
        </is>
      </c>
      <c r="B189" s="18" t="inlineStr">
        <is>
          <t>FILM-046</t>
        </is>
      </c>
      <c r="C189" s="5" t="inlineStr">
        <is>
          <t>Jeevan Sangram</t>
        </is>
      </c>
      <c r="D189" s="17" t="n">
        <v>1974</v>
      </c>
      <c r="E189" s="5" t="inlineStr">
        <is>
          <t>Padma Khanna</t>
        </is>
      </c>
      <c r="F189" s="5" t="inlineStr">
        <is>
          <t>Allah Rakhi</t>
        </is>
      </c>
      <c r="G189" s="5" t="inlineStr">
        <is>
          <t>Supporting</t>
        </is>
      </c>
      <c r="H189" s="5" t="inlineStr">
        <is>
          <t>Medium</t>
        </is>
      </c>
      <c r="I189" s="5" t="inlineStr">
        <is>
          <t>Not documented.</t>
        </is>
      </c>
      <c r="J189" s="5" t="inlineStr">
        <is>
          <t>Not documented.</t>
        </is>
      </c>
      <c r="K189" s="19" t="inlineStr">
        <is>
          <t>Credited as Allah Rakhi. The article has no plot section and the function of the part is unrecorded.</t>
        </is>
      </c>
      <c r="L189" s="5" t="n"/>
      <c r="M189" s="5" t="inlineStr">
        <is>
          <t>SOURCE-038</t>
        </is>
      </c>
    </row>
    <row r="190" ht="34" customHeight="1">
      <c r="A190" s="15" t="inlineStr">
        <is>
          <t>CAST-184</t>
        </is>
      </c>
      <c r="B190" s="18" t="inlineStr">
        <is>
          <t>FILM-046</t>
        </is>
      </c>
      <c r="C190" s="5" t="inlineStr">
        <is>
          <t>Jeevan Sangram</t>
        </is>
      </c>
      <c r="D190" s="17" t="n">
        <v>1974</v>
      </c>
      <c r="E190" s="5" t="inlineStr">
        <is>
          <t>Tarun Bose</t>
        </is>
      </c>
      <c r="F190" s="5" t="inlineStr">
        <is>
          <t>Kirpal</t>
        </is>
      </c>
      <c r="G190" s="5" t="inlineStr">
        <is>
          <t>Supporting</t>
        </is>
      </c>
      <c r="H190" s="5" t="inlineStr">
        <is>
          <t>Medium</t>
        </is>
      </c>
      <c r="I190" s="5" t="inlineStr">
        <is>
          <t>Not documented.</t>
        </is>
      </c>
      <c r="J190" s="5" t="inlineStr">
        <is>
          <t>Not documented.</t>
        </is>
      </c>
      <c r="K190" s="19" t="inlineStr">
        <is>
          <t>Credited as Kirpal, among the senior supporting parts of a film whose article carries no synopsis.</t>
        </is>
      </c>
      <c r="L190" s="5" t="n"/>
      <c r="M190" s="5" t="inlineStr">
        <is>
          <t>SOURCE-038</t>
        </is>
      </c>
    </row>
    <row r="191" ht="49" customHeight="1">
      <c r="A191" s="15" t="inlineStr">
        <is>
          <t>CAST-185</t>
        </is>
      </c>
      <c r="B191" s="18" t="inlineStr">
        <is>
          <t>FILM-046</t>
        </is>
      </c>
      <c r="C191" s="5" t="inlineStr">
        <is>
          <t>Jeevan Sangram</t>
        </is>
      </c>
      <c r="D191" s="17" t="n">
        <v>1974</v>
      </c>
      <c r="E191" s="5" t="inlineStr">
        <is>
          <t>Iftekhar</t>
        </is>
      </c>
      <c r="F191" s="5" t="inlineStr">
        <is>
          <t>Police Inspector</t>
        </is>
      </c>
      <c r="G191" s="5" t="inlineStr">
        <is>
          <t>Authority figure</t>
        </is>
      </c>
      <c r="H191" s="5" t="inlineStr">
        <is>
          <t>Medium</t>
        </is>
      </c>
      <c r="I191" s="5" t="inlineStr">
        <is>
          <t>Not documented, beyond the police function the credit names.</t>
        </is>
      </c>
      <c r="J191" s="5" t="inlineStr">
        <is>
          <t>Not documented.</t>
        </is>
      </c>
      <c r="K191" s="19" t="inlineStr">
        <is>
          <t>Credited as a police inspector, with Ram Mohan as Abdul Police, indicating a crime setting the article otherwise does not describe.</t>
        </is>
      </c>
      <c r="L191" s="5" t="n"/>
      <c r="M191" s="5" t="inlineStr">
        <is>
          <t>SOURCE-038</t>
        </is>
      </c>
    </row>
    <row r="192" ht="64" customHeight="1">
      <c r="A192" s="15" t="inlineStr">
        <is>
          <t>CAST-186</t>
        </is>
      </c>
      <c r="B192" s="18" t="inlineStr">
        <is>
          <t>FILM-047</t>
        </is>
      </c>
      <c r="C192" s="5" t="inlineStr">
        <is>
          <t>Insaaniyat</t>
        </is>
      </c>
      <c r="D192" s="17" t="n">
        <v>1974</v>
      </c>
      <c r="E192" s="5" t="inlineStr">
        <is>
          <t>Madhu</t>
        </is>
      </c>
      <c r="F192" s="5" t="inlineStr">
        <is>
          <t>Leena</t>
        </is>
      </c>
      <c r="G192" s="5" t="inlineStr">
        <is>
          <t>Co-lead</t>
        </is>
      </c>
      <c r="H192" s="5" t="inlineStr">
        <is>
          <t>Major</t>
        </is>
      </c>
      <c r="I192" s="5" t="inlineStr">
        <is>
          <t>The woman he woos against her initial refusal, and who joins him and Ram in the plan against Raghuveer.</t>
        </is>
      </c>
      <c r="J192" s="5" t="inlineStr">
        <is>
          <t>The pairing recorded in the Romances sheet, and secondary to the revenge plot: the courtship is complete before the film's real business begins.</t>
        </is>
      </c>
      <c r="K192" s="19" t="inlineStr">
        <is>
          <t>The woman Dilip spends his carefree days pursuing, who rebuffs him at first and then loves him, and who takes part in the scheme to reach the circus owner who murdered his family.</t>
        </is>
      </c>
      <c r="L192" s="5" t="n"/>
      <c r="M192" s="5" t="inlineStr">
        <is>
          <t>SOURCE-039</t>
        </is>
      </c>
    </row>
    <row r="193" ht="64" customHeight="1">
      <c r="A193" s="15" t="inlineStr">
        <is>
          <t>CAST-187</t>
        </is>
      </c>
      <c r="B193" s="18" t="inlineStr">
        <is>
          <t>FILM-047</t>
        </is>
      </c>
      <c r="C193" s="5" t="inlineStr">
        <is>
          <t>Insaaniyat</t>
        </is>
      </c>
      <c r="D193" s="17" t="n">
        <v>1974</v>
      </c>
      <c r="E193" s="5" t="inlineStr">
        <is>
          <t>Sujit Kumar</t>
        </is>
      </c>
      <c r="F193" s="5" t="inlineStr">
        <is>
          <t>Ram</t>
        </is>
      </c>
      <c r="G193" s="5" t="inlineStr">
        <is>
          <t>Friend</t>
        </is>
      </c>
      <c r="H193" s="5" t="inlineStr">
        <is>
          <t>Major</t>
        </is>
      </c>
      <c r="I193" s="5" t="inlineStr">
        <is>
          <t>His lifelong friend, and the man whose father turns out to be the murderer Dilip is hunting; the friendship is what the film puts at stake.</t>
        </is>
      </c>
      <c r="J193" s="5" t="inlineStr">
        <is>
          <t>Outside the romance; his marriage to Asha is the settled counterpart to Dilip's courtship.</t>
        </is>
      </c>
      <c r="K193" s="19" t="inlineStr">
        <is>
          <t>Dilip's close friend since boyhood, married to Asha, who discovers that the criminal his friend has sworn to destroy is the father who abandoned him and his mother twenty years earlier.</t>
        </is>
      </c>
      <c r="L193" s="5" t="n"/>
      <c r="M193" s="5" t="inlineStr">
        <is>
          <t>SOURCE-039</t>
        </is>
      </c>
    </row>
    <row r="194" ht="64" customHeight="1">
      <c r="A194" s="15" t="inlineStr">
        <is>
          <t>CAST-188</t>
        </is>
      </c>
      <c r="B194" s="18" t="inlineStr">
        <is>
          <t>FILM-047</t>
        </is>
      </c>
      <c r="C194" s="5" t="inlineStr">
        <is>
          <t>Insaaniyat</t>
        </is>
      </c>
      <c r="D194" s="17" t="n">
        <v>1974</v>
      </c>
      <c r="E194" s="5" t="inlineStr">
        <is>
          <t>Jayant</t>
        </is>
      </c>
      <c r="F194" s="5" t="inlineStr">
        <is>
          <t>Raghuveer / Diwan</t>
        </is>
      </c>
      <c r="G194" s="5" t="inlineStr">
        <is>
          <t>Antagonist</t>
        </is>
      </c>
      <c r="H194" s="5" t="inlineStr">
        <is>
          <t>Major</t>
        </is>
      </c>
      <c r="I194" s="5" t="inlineStr">
        <is>
          <t>The escaped convict who murdered Dilip's father, mother and siblings, and the object of the revenge that drives the second half.</t>
        </is>
      </c>
      <c r="J194" s="5" t="inlineStr">
        <is>
          <t>No direct part, beyond the danger the courtship is conducted under.</t>
        </is>
      </c>
      <c r="K194" s="19" t="inlineStr">
        <is>
          <t>A notorious criminal sentenced by Dilip's real father, who escaped prison, murdered the judge's whole family, and now owns a circus under the name Diwan; he is also Ram's father.</t>
        </is>
      </c>
      <c r="L194" s="5" t="n"/>
      <c r="M194" s="5" t="inlineStr">
        <is>
          <t>SOURCE-039</t>
        </is>
      </c>
    </row>
    <row r="195" ht="64" customHeight="1">
      <c r="A195" s="15" t="inlineStr">
        <is>
          <t>CAST-189</t>
        </is>
      </c>
      <c r="B195" s="18" t="inlineStr">
        <is>
          <t>FILM-047</t>
        </is>
      </c>
      <c r="C195" s="5" t="inlineStr">
        <is>
          <t>Insaaniyat</t>
        </is>
      </c>
      <c r="D195" s="17" t="n">
        <v>1974</v>
      </c>
      <c r="E195" s="5" t="inlineStr">
        <is>
          <t>Mubarak</t>
        </is>
      </c>
      <c r="F195" s="5" t="inlineStr">
        <is>
          <t>Karamchand</t>
        </is>
      </c>
      <c r="G195" s="5" t="inlineStr">
        <is>
          <t>Family</t>
        </is>
      </c>
      <c r="H195" s="5" t="inlineStr">
        <is>
          <t>Major</t>
        </is>
      </c>
      <c r="I195" s="5" t="inlineStr">
        <is>
          <t>The wealthy man Dilip believes to be his father, whose deathbed disclosure converts the film from a romance into a revenge story.</t>
        </is>
      </c>
      <c r="J195" s="5" t="inlineStr">
        <is>
          <t>Was arranging Dilip's marriage to Poonamchand's daughter, which the courtship of Leena was running against.</t>
        </is>
      </c>
      <c r="K195" s="19" t="inlineStr">
        <is>
          <t>Dilip's supposed father, who raises him in wealth and tries to marry him to his friend Poonamchand's daughter, and who tells him on his deathbed that he is not his son.</t>
        </is>
      </c>
      <c r="L195" s="5" t="n"/>
      <c r="M195" s="5" t="inlineStr">
        <is>
          <t>SOURCE-039</t>
        </is>
      </c>
    </row>
    <row r="196" ht="49" customHeight="1">
      <c r="A196" s="15" t="inlineStr">
        <is>
          <t>CAST-190</t>
        </is>
      </c>
      <c r="B196" s="18" t="inlineStr">
        <is>
          <t>FILM-047</t>
        </is>
      </c>
      <c r="C196" s="5" t="inlineStr">
        <is>
          <t>Insaaniyat</t>
        </is>
      </c>
      <c r="D196" s="17" t="n">
        <v>1974</v>
      </c>
      <c r="E196" s="5" t="inlineStr">
        <is>
          <t>Durga Khote</t>
        </is>
      </c>
      <c r="F196" s="5" t="inlineStr">
        <is>
          <t>Ram's mother</t>
        </is>
      </c>
      <c r="G196" s="5" t="inlineStr">
        <is>
          <t>Family</t>
        </is>
      </c>
      <c r="H196" s="5" t="inlineStr">
        <is>
          <t>Medium</t>
        </is>
      </c>
      <c r="I196" s="5" t="inlineStr">
        <is>
          <t>Mother of his closest friend, and abandoned twenty years earlier by the man Dilip means to kill.</t>
        </is>
      </c>
      <c r="J196" s="5" t="inlineStr">
        <is>
          <t>No part in it.</t>
        </is>
      </c>
      <c r="K196" s="19" t="inlineStr">
        <is>
          <t>Ram's mother, left by Raghuveer twenty years before the story, and the other person whose life the revenge would cut through.</t>
        </is>
      </c>
      <c r="L196" s="5" t="n"/>
      <c r="M196" s="5" t="inlineStr">
        <is>
          <t>SOURCE-039</t>
        </is>
      </c>
    </row>
    <row r="197" ht="49" customHeight="1">
      <c r="A197" s="15" t="inlineStr">
        <is>
          <t>CAST-191</t>
        </is>
      </c>
      <c r="B197" s="18" t="inlineStr">
        <is>
          <t>FILM-047</t>
        </is>
      </c>
      <c r="C197" s="5" t="inlineStr">
        <is>
          <t>Insaaniyat</t>
        </is>
      </c>
      <c r="D197" s="17" t="n">
        <v>1974</v>
      </c>
      <c r="E197" s="5" t="inlineStr">
        <is>
          <t>Krishan Dhawan</t>
        </is>
      </c>
      <c r="F197" s="5" t="inlineStr">
        <is>
          <t>Ramu</t>
        </is>
      </c>
      <c r="G197" s="5" t="inlineStr">
        <is>
          <t>Supporting</t>
        </is>
      </c>
      <c r="H197" s="5" t="inlineStr">
        <is>
          <t>Medium</t>
        </is>
      </c>
      <c r="I197" s="5" t="inlineStr">
        <is>
          <t>The loyal servant who, pressed, tells Dilip who his real parents were and how they died.</t>
        </is>
      </c>
      <c r="J197" s="5" t="inlineStr">
        <is>
          <t>No part in it.</t>
        </is>
      </c>
      <c r="K197" s="19" t="inlineStr">
        <is>
          <t>The household's loyal servant, who under prodding gives Dilip the history of the judge, the convict and the murders.</t>
        </is>
      </c>
      <c r="L197" s="5" t="n"/>
      <c r="M197" s="5" t="inlineStr">
        <is>
          <t>SOURCE-039</t>
        </is>
      </c>
    </row>
    <row r="198" ht="49" customHeight="1">
      <c r="A198" s="15" t="inlineStr">
        <is>
          <t>CAST-192</t>
        </is>
      </c>
      <c r="B198" s="18" t="inlineStr">
        <is>
          <t>FILM-047</t>
        </is>
      </c>
      <c r="C198" s="5" t="inlineStr">
        <is>
          <t>Insaaniyat</t>
        </is>
      </c>
      <c r="D198" s="17" t="n">
        <v>1974</v>
      </c>
      <c r="E198" s="5" t="inlineStr">
        <is>
          <t>Kamal Kapoor</t>
        </is>
      </c>
      <c r="F198" s="5" t="inlineStr">
        <is>
          <t>Judge</t>
        </is>
      </c>
      <c r="G198" s="5" t="inlineStr">
        <is>
          <t>Family</t>
        </is>
      </c>
      <c r="H198" s="5" t="inlineStr">
        <is>
          <t>Medium</t>
        </is>
      </c>
      <c r="I198" s="5" t="inlineStr">
        <is>
          <t>Dilip's actual father, dead before the story, whose sentence on Raghuveer caused the massacre of his family.</t>
        </is>
      </c>
      <c r="J198" s="5" t="inlineStr">
        <is>
          <t>No part in it.</t>
        </is>
      </c>
      <c r="K198" s="19" t="inlineStr">
        <is>
          <t>The judge who sentenced Raghuveer to a long term and was murdered with his wife and children when the man escaped; Dilip is the surviving son.</t>
        </is>
      </c>
      <c r="L198" s="5" t="n"/>
      <c r="M198" s="5" t="inlineStr">
        <is>
          <t>SOURCE-039</t>
        </is>
      </c>
    </row>
    <row r="199" ht="64" customHeight="1">
      <c r="A199" s="15" t="inlineStr">
        <is>
          <t>CAST-193</t>
        </is>
      </c>
      <c r="B199" s="18" t="inlineStr">
        <is>
          <t>FILM-048</t>
        </is>
      </c>
      <c r="C199" s="5" t="inlineStr">
        <is>
          <t>Chor Machaye Shor</t>
        </is>
      </c>
      <c r="D199" s="17" t="n">
        <v>1974</v>
      </c>
      <c r="E199" s="5" t="inlineStr">
        <is>
          <t>Mumtaz</t>
        </is>
      </c>
      <c r="F199" s="5" t="inlineStr">
        <is>
          <t>Rekha</t>
        </is>
      </c>
      <c r="G199" s="5" t="inlineStr">
        <is>
          <t>Co-lead</t>
        </is>
      </c>
      <c r="H199" s="5" t="inlineStr">
        <is>
          <t>Major</t>
        </is>
      </c>
      <c r="I199" s="5" t="inlineStr">
        <is>
          <t>The rich girl he loves, who is matched elsewhere by her father and reconnects with him after his escape.</t>
        </is>
      </c>
      <c r="J199" s="5" t="inlineStr">
        <is>
          <t>The pairing recorded in the Romances sheet: a couple against her father and a politician, with no conflict of their own.</t>
        </is>
      </c>
      <c r="K199" s="19" t="inlineStr">
        <is>
          <t>The wealthy daughter of Jagdish, in love with a poor engineer, promised instead to the son of a politician, and reunited with Vijay after he breaks out of the jail he was framed into.</t>
        </is>
      </c>
      <c r="L199" s="5" t="n"/>
      <c r="M199" s="5" t="inlineStr">
        <is>
          <t>SOURCE-035</t>
        </is>
      </c>
    </row>
    <row r="200" ht="64" customHeight="1">
      <c r="A200" s="15" t="inlineStr">
        <is>
          <t>CAST-194</t>
        </is>
      </c>
      <c r="B200" s="18" t="inlineStr">
        <is>
          <t>FILM-048</t>
        </is>
      </c>
      <c r="C200" s="5" t="inlineStr">
        <is>
          <t>Chor Machaye Shor</t>
        </is>
      </c>
      <c r="D200" s="17" t="n">
        <v>1974</v>
      </c>
      <c r="E200" s="5" t="inlineStr">
        <is>
          <t>Kamal Kapoor</t>
        </is>
      </c>
      <c r="F200" s="5" t="inlineStr">
        <is>
          <t>Jagdish</t>
        </is>
      </c>
      <c r="G200" s="5" t="inlineStr">
        <is>
          <t>Family</t>
        </is>
      </c>
      <c r="H200" s="5" t="inlineStr">
        <is>
          <t>Major</t>
        </is>
      </c>
      <c r="I200" s="5" t="inlineStr">
        <is>
          <t>Rekha's father, who rejects him for poverty and then helps frame him for a crime he did not commit.</t>
        </is>
      </c>
      <c r="J200" s="5" t="inlineStr">
        <is>
          <t>The opposition, and the one character who reverses: he repents at the end and accepts Vijay as his son-in-law.</t>
        </is>
      </c>
      <c r="K200" s="19" t="inlineStr">
        <is>
          <t>Rekha's father, who disapproves of a suitor without money, arranges her marriage to an evil politician's son, joins in framing Vijay, and finally feels remorse and accepts him.</t>
        </is>
      </c>
      <c r="L200" s="5" t="n"/>
      <c r="M200" s="5" t="inlineStr">
        <is>
          <t>SOURCE-035</t>
        </is>
      </c>
    </row>
    <row r="201" ht="49" customHeight="1">
      <c r="A201" s="15" t="inlineStr">
        <is>
          <t>CAST-195</t>
        </is>
      </c>
      <c r="B201" s="18" t="inlineStr">
        <is>
          <t>FILM-048</t>
        </is>
      </c>
      <c r="C201" s="5" t="inlineStr">
        <is>
          <t>Chor Machaye Shor</t>
        </is>
      </c>
      <c r="D201" s="17" t="n">
        <v>1974</v>
      </c>
      <c r="E201" s="5" t="inlineStr">
        <is>
          <t>Madan Puri</t>
        </is>
      </c>
      <c r="F201" s="5" t="inlineStr">
        <is>
          <t>Seth Jamunadas</t>
        </is>
      </c>
      <c r="G201" s="5" t="inlineStr">
        <is>
          <t>Antagonist</t>
        </is>
      </c>
      <c r="H201" s="5" t="inlineStr">
        <is>
          <t>Major</t>
        </is>
      </c>
      <c r="I201" s="5" t="inlineStr">
        <is>
          <t>The politician whose son is Rekha's intended and who engineers the false charge that jails him.</t>
        </is>
      </c>
      <c r="J201" s="5" t="inlineStr">
        <is>
          <t>The active opposition, working through Rekha's father.</t>
        </is>
      </c>
      <c r="K201" s="19" t="inlineStr">
        <is>
          <t>An evil politician whose son is to marry Rekha, who frames Vijay for a crime, terrorises the village of Shantinagar with bandits, and is arrested at the end.</t>
        </is>
      </c>
      <c r="L201" s="5" t="n"/>
      <c r="M201" s="5" t="inlineStr">
        <is>
          <t>SOURCE-035</t>
        </is>
      </c>
    </row>
    <row r="202" ht="64" customHeight="1">
      <c r="A202" s="15" t="inlineStr">
        <is>
          <t>CAST-196</t>
        </is>
      </c>
      <c r="B202" s="18" t="inlineStr">
        <is>
          <t>FILM-048</t>
        </is>
      </c>
      <c r="C202" s="5" t="inlineStr">
        <is>
          <t>Chor Machaye Shor</t>
        </is>
      </c>
      <c r="D202" s="17" t="n">
        <v>1974</v>
      </c>
      <c r="E202" s="5" t="inlineStr">
        <is>
          <t>Danny Denzongpa</t>
        </is>
      </c>
      <c r="F202" s="5" t="inlineStr">
        <is>
          <t>Raju Ustad</t>
        </is>
      </c>
      <c r="G202" s="5" t="inlineStr">
        <is>
          <t>Friend</t>
        </is>
      </c>
      <c r="H202" s="5" t="inlineStr">
        <is>
          <t>Major</t>
        </is>
      </c>
      <c r="I202" s="5" t="inlineStr">
        <is>
          <t>One of the three prisoners who become his friends and escape with him, and who return to jail with him voluntarily at the end.</t>
        </is>
      </c>
      <c r="J202" s="5" t="inlineStr">
        <is>
          <t>Outside the romance; the prison friendship is the film's other relationship.</t>
        </is>
      </c>
      <c r="K202" s="19" t="inlineStr">
        <is>
          <t>One of the three convicts Vijay befriends inside, who breaks out with him, helps save Shantinagar from the politician's bandits, and goes back to prison with the others.</t>
        </is>
      </c>
      <c r="L202" s="5" t="n"/>
      <c r="M202" s="5" t="inlineStr">
        <is>
          <t>SOURCE-035</t>
        </is>
      </c>
    </row>
    <row r="203" ht="49" customHeight="1">
      <c r="A203" s="15" t="inlineStr">
        <is>
          <t>CAST-197</t>
        </is>
      </c>
      <c r="B203" s="18" t="inlineStr">
        <is>
          <t>FILM-048</t>
        </is>
      </c>
      <c r="C203" s="5" t="inlineStr">
        <is>
          <t>Chor Machaye Shor</t>
        </is>
      </c>
      <c r="D203" s="17" t="n">
        <v>1974</v>
      </c>
      <c r="E203" s="5" t="inlineStr">
        <is>
          <t>Asrani</t>
        </is>
      </c>
      <c r="F203" s="5" t="inlineStr">
        <is>
          <t>Bhalua</t>
        </is>
      </c>
      <c r="G203" s="5" t="inlineStr">
        <is>
          <t>Comic support</t>
        </is>
      </c>
      <c r="H203" s="5" t="inlineStr">
        <is>
          <t>Medium</t>
        </is>
      </c>
      <c r="I203" s="5" t="inlineStr">
        <is>
          <t>Another of the escaped prisoners, in the comic register of the group.</t>
        </is>
      </c>
      <c r="J203" s="5" t="inlineStr">
        <is>
          <t>No part in it.</t>
        </is>
      </c>
      <c r="K203" s="19" t="inlineStr">
        <is>
          <t>One of Vijay's fellow prisoners, credited with Tarun Ghosh's Kalua in the band that escapes and then defends the village.</t>
        </is>
      </c>
      <c r="L203" s="5" t="n"/>
      <c r="M203" s="5" t="inlineStr">
        <is>
          <t>SOURCE-035</t>
        </is>
      </c>
    </row>
    <row r="204" ht="49" customHeight="1">
      <c r="A204" s="15" t="inlineStr">
        <is>
          <t>CAST-198</t>
        </is>
      </c>
      <c r="B204" s="18" t="inlineStr">
        <is>
          <t>FILM-048</t>
        </is>
      </c>
      <c r="C204" s="5" t="inlineStr">
        <is>
          <t>Chor Machaye Shor</t>
        </is>
      </c>
      <c r="D204" s="17" t="n">
        <v>1974</v>
      </c>
      <c r="E204" s="5" t="inlineStr">
        <is>
          <t>Meena T</t>
        </is>
      </c>
      <c r="F204" s="5" t="inlineStr">
        <is>
          <t>Chandramukhi</t>
        </is>
      </c>
      <c r="G204" s="5" t="inlineStr">
        <is>
          <t>Supporting</t>
        </is>
      </c>
      <c r="H204" s="5" t="inlineStr">
        <is>
          <t>Medium</t>
        </is>
      </c>
      <c r="I204" s="5" t="inlineStr">
        <is>
          <t>Not detailed by the article's summary, which follows the frame-up and the village rescue.</t>
        </is>
      </c>
      <c r="J204" s="5" t="inlineStr">
        <is>
          <t>No part in the central courtship.</t>
        </is>
      </c>
      <c r="K204" s="19" t="inlineStr">
        <is>
          <t>Credited as Chandramukhi, in the world of the jail break and the terrorised village that the film's second half occupies.</t>
        </is>
      </c>
      <c r="L204" s="5" t="n"/>
      <c r="M204" s="5" t="inlineStr">
        <is>
          <t>SOURCE-035</t>
        </is>
      </c>
    </row>
    <row r="205" ht="79" customHeight="1">
      <c r="A205" s="15" t="inlineStr">
        <is>
          <t>CAST-199</t>
        </is>
      </c>
      <c r="B205" s="18" t="inlineStr">
        <is>
          <t>FILM-049</t>
        </is>
      </c>
      <c r="C205" s="5" t="inlineStr">
        <is>
          <t>Paap Aur Punya</t>
        </is>
      </c>
      <c r="D205" s="17" t="n">
        <v>1974</v>
      </c>
      <c r="E205" s="5" t="inlineStr">
        <is>
          <t>Sharmila Tagore</t>
        </is>
      </c>
      <c r="F205" s="5" t="inlineStr">
        <is>
          <t>Jugni</t>
        </is>
      </c>
      <c r="G205" s="5" t="inlineStr">
        <is>
          <t>Co-lead</t>
        </is>
      </c>
      <c r="H205" s="5" t="inlineStr">
        <is>
          <t>Major</t>
        </is>
      </c>
      <c r="I205" s="5" t="inlineStr">
        <is>
          <t>The poor woman the heir loves and intends to marry, and whom the changed Ganga abandons for the rich match.</t>
        </is>
      </c>
      <c r="J205" s="5" t="inlineStr">
        <is>
          <t>The pairing recorded in the Romances sheet as forbidden love: the obstacle is dynastic, and the article's synopsis ends on her question rather than a resolution.</t>
        </is>
      </c>
      <c r="K205" s="19" t="inlineStr">
        <is>
          <t>A young woman from a poor family who loves the prince Ganga Singh and is to marry him, set aside when he abruptly turns dissolute and agrees to wed the wealthy Mala, and left by the article's own summary asking what she will do.</t>
        </is>
      </c>
      <c r="L205" s="5" t="n"/>
      <c r="M205" s="5" t="inlineStr">
        <is>
          <t>SOURCE-036</t>
        </is>
      </c>
    </row>
    <row r="206" ht="64" customHeight="1">
      <c r="A206" s="15" t="inlineStr">
        <is>
          <t>CAST-200</t>
        </is>
      </c>
      <c r="B206" s="18" t="inlineStr">
        <is>
          <t>FILM-049</t>
        </is>
      </c>
      <c r="C206" s="5" t="inlineStr">
        <is>
          <t>Paap Aur Punya</t>
        </is>
      </c>
      <c r="D206" s="17" t="n">
        <v>1974</v>
      </c>
      <c r="E206" s="5" t="inlineStr">
        <is>
          <t>Ajit</t>
        </is>
      </c>
      <c r="F206" s="5" t="inlineStr">
        <is>
          <t>Balbir Singh</t>
        </is>
      </c>
      <c r="G206" s="5" t="inlineStr">
        <is>
          <t>Antagonist</t>
        </is>
      </c>
      <c r="H206" s="5" t="inlineStr">
        <is>
          <t>Major</t>
        </is>
      </c>
      <c r="I206" s="5" t="inlineStr">
        <is>
          <t>The usurper who ordered the killing of his brother's son, and the father of the prince Kapoor plays; he is both parent and villain.</t>
        </is>
      </c>
      <c r="J206" s="5" t="inlineStr">
        <is>
          <t>The opposition: he will have nothing to do with a poor bride and intends Mala for his son.</t>
        </is>
      </c>
      <c r="K206" s="19" t="inlineStr">
        <is>
          <t>The brother who overthrows the fair-minded Raja Gajraj Singh, orders his infant nephew killed, arranges the fatal accident of Gajraj and his wife, and rules unchallenged while grooming his own son for the throne.</t>
        </is>
      </c>
      <c r="L206" s="5" t="n"/>
      <c r="M206" s="5" t="inlineStr">
        <is>
          <t>SOURCE-036</t>
        </is>
      </c>
    </row>
    <row r="207" ht="64" customHeight="1">
      <c r="A207" s="15" t="inlineStr">
        <is>
          <t>CAST-201</t>
        </is>
      </c>
      <c r="B207" s="18" t="inlineStr">
        <is>
          <t>FILM-049</t>
        </is>
      </c>
      <c r="C207" s="5" t="inlineStr">
        <is>
          <t>Paap Aur Punya</t>
        </is>
      </c>
      <c r="D207" s="17" t="n">
        <v>1974</v>
      </c>
      <c r="E207" s="5" t="inlineStr">
        <is>
          <t>Aruna Irani</t>
        </is>
      </c>
      <c r="F207" s="5" t="inlineStr">
        <is>
          <t>Mala</t>
        </is>
      </c>
      <c r="G207" s="5" t="inlineStr">
        <is>
          <t>Romantic rival</t>
        </is>
      </c>
      <c r="H207" s="5" t="inlineStr">
        <is>
          <t>Major</t>
        </is>
      </c>
      <c r="I207" s="5" t="inlineStr">
        <is>
          <t>The wealthy match his father requires, and the marriage he unaccountably consents to after his character changes.</t>
        </is>
      </c>
      <c r="J207" s="5" t="inlineStr">
        <is>
          <t>The competing claim, and dynastic rather than emotional.</t>
        </is>
      </c>
      <c r="K207" s="19" t="inlineStr">
        <is>
          <t>The rich woman Balbir Singh wants his son to marry, and whom the transformed Ganga becomes willing to wed.</t>
        </is>
      </c>
      <c r="L207" s="5" t="n"/>
      <c r="M207" s="5" t="inlineStr">
        <is>
          <t>SOURCE-036</t>
        </is>
      </c>
    </row>
    <row r="208" ht="64" customHeight="1">
      <c r="A208" s="15" t="inlineStr">
        <is>
          <t>CAST-202</t>
        </is>
      </c>
      <c r="B208" s="18" t="inlineStr">
        <is>
          <t>FILM-049</t>
        </is>
      </c>
      <c r="C208" s="5" t="inlineStr">
        <is>
          <t>Paap Aur Punya</t>
        </is>
      </c>
      <c r="D208" s="17" t="n">
        <v>1974</v>
      </c>
      <c r="E208" s="5" t="inlineStr">
        <is>
          <t>Sapru</t>
        </is>
      </c>
      <c r="F208" s="5" t="inlineStr">
        <is>
          <t>Raja Gajraj Singh</t>
        </is>
      </c>
      <c r="G208" s="5" t="inlineStr">
        <is>
          <t>Family</t>
        </is>
      </c>
      <c r="H208" s="5" t="inlineStr">
        <is>
          <t>Medium</t>
        </is>
      </c>
      <c r="I208" s="5" t="inlineStr">
        <is>
          <t>The deposed and murdered raja, father of the twins and uncle of the prince; the double role rests on his line.</t>
        </is>
      </c>
      <c r="J208" s="5" t="inlineStr">
        <is>
          <t>No part in it.</t>
        </is>
      </c>
      <c r="K208" s="19" t="inlineStr">
        <is>
          <t>A fair-minded ruler overthrown by his own brother, whose twin sons are ordered killed and who is then killed with his wife in a staged road accident.</t>
        </is>
      </c>
      <c r="L208" s="5" t="n"/>
      <c r="M208" s="5" t="inlineStr">
        <is>
          <t>SOURCE-036</t>
        </is>
      </c>
    </row>
    <row r="209" ht="49" customHeight="1">
      <c r="A209" s="15" t="inlineStr">
        <is>
          <t>CAST-203</t>
        </is>
      </c>
      <c r="B209" s="18" t="inlineStr">
        <is>
          <t>FILM-049</t>
        </is>
      </c>
      <c r="C209" s="5" t="inlineStr">
        <is>
          <t>Paap Aur Punya</t>
        </is>
      </c>
      <c r="D209" s="17" t="n">
        <v>1974</v>
      </c>
      <c r="E209" s="5" t="inlineStr">
        <is>
          <t>Achala Sachdev</t>
        </is>
      </c>
      <c r="F209" s="5" t="inlineStr">
        <is>
          <t>Ganga's mother</t>
        </is>
      </c>
      <c r="G209" s="5" t="inlineStr">
        <is>
          <t>Family</t>
        </is>
      </c>
      <c r="H209" s="5" t="inlineStr">
        <is>
          <t>Medium</t>
        </is>
      </c>
      <c r="I209" s="5" t="inlineStr">
        <is>
          <t>His mother and the usurper's wife, inside the household the coup created.</t>
        </is>
      </c>
      <c r="J209" s="5" t="inlineStr">
        <is>
          <t>Part of the family front against a poor bride.</t>
        </is>
      </c>
      <c r="K209" s="19" t="inlineStr">
        <is>
          <t>Balbir Singh's wife and Ganga's mother, pregnant at the time of the coup along with the raja's wife.</t>
        </is>
      </c>
      <c r="L209" s="5" t="n"/>
      <c r="M209" s="5" t="inlineStr">
        <is>
          <t>SOURCE-036</t>
        </is>
      </c>
    </row>
    <row r="210" ht="64" customHeight="1">
      <c r="A210" s="15" t="inlineStr">
        <is>
          <t>CAST-204</t>
        </is>
      </c>
      <c r="B210" s="18" t="inlineStr">
        <is>
          <t>FILM-049</t>
        </is>
      </c>
      <c r="C210" s="5" t="inlineStr">
        <is>
          <t>Paap Aur Punya</t>
        </is>
      </c>
      <c r="D210" s="17" t="n">
        <v>1974</v>
      </c>
      <c r="E210" s="5" t="inlineStr">
        <is>
          <t>Kunal Kapoor</t>
        </is>
      </c>
      <c r="F210" s="5" t="inlineStr">
        <is>
          <t>Young Ganga / Jwala Singh</t>
        </is>
      </c>
      <c r="G210" s="5" t="inlineStr">
        <is>
          <t>Family</t>
        </is>
      </c>
      <c r="H210" s="5" t="inlineStr">
        <is>
          <t>Minor</t>
        </is>
      </c>
      <c r="I210" s="5" t="inlineStr">
        <is>
          <t>Plays both of Kapoor's identities as children, so the double role is doubled again in the child section; he is Kapoor's own son.</t>
        </is>
      </c>
      <c r="J210" s="5" t="inlineStr">
        <is>
          <t>No part in it.</t>
        </is>
      </c>
      <c r="K210" s="19" t="inlineStr">
        <is>
          <t>The childhood of both Ganga and Jwala Singh, played by Kapoor's elder son, two years after his appearance as Siddhartha's son.</t>
        </is>
      </c>
      <c r="L210" s="5" t="n"/>
      <c r="M210" s="5" t="inlineStr">
        <is>
          <t>SOURCE-036</t>
        </is>
      </c>
    </row>
    <row r="211" ht="79" customHeight="1">
      <c r="A211" s="15" t="inlineStr">
        <is>
          <t>CAST-205</t>
        </is>
      </c>
      <c r="B211" s="18" t="inlineStr">
        <is>
          <t>FILM-050</t>
        </is>
      </c>
      <c r="C211" s="5" t="inlineStr">
        <is>
          <t>Roti Kapda Aur Makaan</t>
        </is>
      </c>
      <c r="D211" s="17" t="n">
        <v>1974</v>
      </c>
      <c r="E211" s="5" t="inlineStr">
        <is>
          <t>Manoj Kumar</t>
        </is>
      </c>
      <c r="F211" s="5" t="inlineStr">
        <is>
          <t>Bharat</t>
        </is>
      </c>
      <c r="G211" s="5" t="inlineStr">
        <is>
          <t>Co-lead</t>
        </is>
      </c>
      <c r="H211" s="5" t="inlineStr">
        <is>
          <t>Major</t>
        </is>
      </c>
      <c r="I211" s="5" t="inlineStr">
        <is>
          <t>The film's protagonist, and the man whose girlfriend Kapoor's businessman takes; the two never contend directly, which is the point.</t>
        </is>
      </c>
      <c r="J211" s="5" t="inlineStr">
        <is>
          <t>Holds the claim Kapoor's character displaces. Sheetal loves Bharat and marries Mohan.</t>
        </is>
      </c>
      <c r="K211" s="19" t="inlineStr">
        <is>
          <t>An unemployed graduate supporting his family on a singer's pay, who loses his building job to a government takeover, watches his girlfriend marry a rich man, burns his diploma on his father's pyre, and takes work with a corrupt businessman before turning informer.</t>
        </is>
      </c>
      <c r="L211" s="5" t="n"/>
      <c r="M211" s="5" t="inlineStr">
        <is>
          <t>SOURCE-037</t>
        </is>
      </c>
    </row>
    <row r="212" ht="79" customHeight="1">
      <c r="A212" s="15" t="inlineStr">
        <is>
          <t>CAST-206</t>
        </is>
      </c>
      <c r="B212" s="18" t="inlineStr">
        <is>
          <t>FILM-050</t>
        </is>
      </c>
      <c r="C212" s="5" t="inlineStr">
        <is>
          <t>Roti Kapda Aur Makaan</t>
        </is>
      </c>
      <c r="D212" s="17" t="n">
        <v>1974</v>
      </c>
      <c r="E212" s="5" t="inlineStr">
        <is>
          <t>Zeenat Aman</t>
        </is>
      </c>
      <c r="F212" s="5" t="inlineStr">
        <is>
          <t>Sheetal</t>
        </is>
      </c>
      <c r="G212" s="5" t="inlineStr">
        <is>
          <t>Co-lead</t>
        </is>
      </c>
      <c r="H212" s="5" t="inlineStr">
        <is>
          <t>Major</t>
        </is>
      </c>
      <c r="I212" s="5" t="inlineStr">
        <is>
          <t>His secretary, then his wife: she accepts Kapoor's Mohan while loving Bharat, which is the film's hardest transaction.</t>
        </is>
      </c>
      <c r="J212" s="5" t="inlineStr">
        <is>
          <t>The pairing recorded in the Romances sheet, and secondary to the film's argument about poverty: the marriage is an economic decision rather than a courtship.</t>
        </is>
      </c>
      <c r="K212" s="19" t="inlineStr">
        <is>
          <t>Bharat's girlfriend, frustrated by his low pay, who takes a secretary's job with the businessman Mohan Babu, cannot contemplate a life in poverty, and accepts Mohan's proposal.</t>
        </is>
      </c>
      <c r="L212" s="5" t="n"/>
      <c r="M212" s="5" t="inlineStr">
        <is>
          <t>SOURCE-037</t>
        </is>
      </c>
    </row>
    <row r="213" ht="64" customHeight="1">
      <c r="A213" s="15" t="inlineStr">
        <is>
          <t>CAST-207</t>
        </is>
      </c>
      <c r="B213" s="18" t="inlineStr">
        <is>
          <t>FILM-050</t>
        </is>
      </c>
      <c r="C213" s="5" t="inlineStr">
        <is>
          <t>Roti Kapda Aur Makaan</t>
        </is>
      </c>
      <c r="D213" s="17" t="n">
        <v>1974</v>
      </c>
      <c r="E213" s="5" t="inlineStr">
        <is>
          <t>Amitabh Bachchan</t>
        </is>
      </c>
      <c r="F213" s="5" t="inlineStr">
        <is>
          <t>Vijay</t>
        </is>
      </c>
      <c r="G213" s="5" t="inlineStr">
        <is>
          <t>Supporting</t>
        </is>
      </c>
      <c r="H213" s="5" t="inlineStr">
        <is>
          <t>Major</t>
        </is>
      </c>
      <c r="I213" s="5" t="inlineStr">
        <is>
          <t>No dealings with Kapoor's Mohan; the two occupy separate strands of the same film, a year before Deewaar paired them directly.</t>
        </is>
      </c>
      <c r="J213" s="5" t="inlineStr">
        <is>
          <t>Outside it.</t>
        </is>
      </c>
      <c r="K213" s="19" t="inlineStr">
        <is>
          <t>Bharat's younger brother, who turns to crime to provide for the family, quarrels with Bharat and joins the army, and returns to help him bring down Nekiram.</t>
        </is>
      </c>
      <c r="L213" s="5" t="n"/>
      <c r="M213" s="5" t="inlineStr">
        <is>
          <t>SOURCE-037</t>
        </is>
      </c>
    </row>
    <row r="214" ht="49" customHeight="1">
      <c r="A214" s="15" t="inlineStr">
        <is>
          <t>CAST-208</t>
        </is>
      </c>
      <c r="B214" s="18" t="inlineStr">
        <is>
          <t>FILM-050</t>
        </is>
      </c>
      <c r="C214" s="5" t="inlineStr">
        <is>
          <t>Roti Kapda Aur Makaan</t>
        </is>
      </c>
      <c r="D214" s="17" t="n">
        <v>1974</v>
      </c>
      <c r="E214" s="5" t="inlineStr">
        <is>
          <t>Madan Puri</t>
        </is>
      </c>
      <c r="F214" s="5" t="inlineStr">
        <is>
          <t>Nekiram</t>
        </is>
      </c>
      <c r="G214" s="5" t="inlineStr">
        <is>
          <t>Antagonist</t>
        </is>
      </c>
      <c r="H214" s="5" t="inlineStr">
        <is>
          <t>Major</t>
        </is>
      </c>
      <c r="I214" s="5" t="inlineStr">
        <is>
          <t>No dealings with Mohan Babu; he is the antagonist of Bharat's strand.</t>
        </is>
      </c>
      <c r="J214" s="5" t="inlineStr">
        <is>
          <t>No part in it.</t>
        </is>
      </c>
      <c r="K214" s="19" t="inlineStr">
        <is>
          <t>A corrupt businessman who recruits the desperate Bharat for his illegal work and frames him when Bharat decides to inform the police.</t>
        </is>
      </c>
      <c r="L214" s="5" t="n"/>
      <c r="M214" s="5" t="inlineStr">
        <is>
          <t>SOURCE-037</t>
        </is>
      </c>
    </row>
    <row r="215" ht="64" customHeight="1">
      <c r="A215" s="15" t="inlineStr">
        <is>
          <t>CAST-209</t>
        </is>
      </c>
      <c r="B215" s="18" t="inlineStr">
        <is>
          <t>FILM-050</t>
        </is>
      </c>
      <c r="C215" s="5" t="inlineStr">
        <is>
          <t>Roti Kapda Aur Makaan</t>
        </is>
      </c>
      <c r="D215" s="17" t="n">
        <v>1974</v>
      </c>
      <c r="E215" s="5" t="inlineStr">
        <is>
          <t>Moushumi Chatterjee</t>
        </is>
      </c>
      <c r="F215" s="5" t="inlineStr">
        <is>
          <t>Tulsi</t>
        </is>
      </c>
      <c r="G215" s="5" t="inlineStr">
        <is>
          <t>Supporting</t>
        </is>
      </c>
      <c r="H215" s="5" t="inlineStr">
        <is>
          <t>Medium</t>
        </is>
      </c>
      <c r="I215" s="5" t="inlineStr">
        <is>
          <t>Outside Mohan Babu's strand.</t>
        </is>
      </c>
      <c r="J215" s="5" t="inlineStr">
        <is>
          <t>The counterweight to Sheetal in the film's scheme: the poor woman Bharat helps, against the one who leaves him for money.</t>
        </is>
      </c>
      <c r="K215" s="19" t="inlineStr">
        <is>
          <t>A woman living in poverty whom Bharat helps and in helping finds some salvation, and whose rescue from a gang brings Harnam Singh into his life.</t>
        </is>
      </c>
      <c r="L215" s="5" t="n"/>
      <c r="M215" s="5" t="inlineStr">
        <is>
          <t>SOURCE-037</t>
        </is>
      </c>
    </row>
    <row r="216" ht="34" customHeight="1">
      <c r="A216" s="15" t="inlineStr">
        <is>
          <t>CAST-210</t>
        </is>
      </c>
      <c r="B216" s="18" t="inlineStr">
        <is>
          <t>FILM-050</t>
        </is>
      </c>
      <c r="C216" s="5" t="inlineStr">
        <is>
          <t>Roti Kapda Aur Makaan</t>
        </is>
      </c>
      <c r="D216" s="17" t="n">
        <v>1974</v>
      </c>
      <c r="E216" s="5" t="inlineStr">
        <is>
          <t>Prem Nath</t>
        </is>
      </c>
      <c r="F216" s="5" t="inlineStr">
        <is>
          <t>Harnam Singh</t>
        </is>
      </c>
      <c r="G216" s="5" t="inlineStr">
        <is>
          <t>Friend</t>
        </is>
      </c>
      <c r="H216" s="5" t="inlineStr">
        <is>
          <t>Medium</t>
        </is>
      </c>
      <c r="I216" s="5" t="inlineStr">
        <is>
          <t>Outside Mohan Babu's strand.</t>
        </is>
      </c>
      <c r="J216" s="5" t="inlineStr">
        <is>
          <t>No part in it.</t>
        </is>
      </c>
      <c r="K216" s="19" t="inlineStr">
        <is>
          <t>A sardar who comes to Bharat's rescue when he tries to save Tulsi from a gang of hoodlums, and becomes his friend.</t>
        </is>
      </c>
      <c r="L216" s="5" t="n"/>
      <c r="M216" s="5" t="inlineStr">
        <is>
          <t>SOURCE-037</t>
        </is>
      </c>
    </row>
    <row r="217" ht="49" customHeight="1">
      <c r="A217" s="15" t="inlineStr">
        <is>
          <t>CAST-211</t>
        </is>
      </c>
      <c r="B217" s="18" t="inlineStr">
        <is>
          <t>FILM-050</t>
        </is>
      </c>
      <c r="C217" s="5" t="inlineStr">
        <is>
          <t>Roti Kapda Aur Makaan</t>
        </is>
      </c>
      <c r="D217" s="17" t="n">
        <v>1974</v>
      </c>
      <c r="E217" s="5" t="inlineStr">
        <is>
          <t>Sulochana</t>
        </is>
      </c>
      <c r="F217" s="5" t="inlineStr">
        <is>
          <t>Mohan's mother</t>
        </is>
      </c>
      <c r="G217" s="5" t="inlineStr">
        <is>
          <t>Family</t>
        </is>
      </c>
      <c r="H217" s="5" t="inlineStr">
        <is>
          <t>Minor</t>
        </is>
      </c>
      <c r="I217" s="5" t="inlineStr">
        <is>
          <t>The one family member the film gives Kapoor's businessman, in a part the synopsis does not develop.</t>
        </is>
      </c>
      <c r="J217" s="5" t="inlineStr">
        <is>
          <t>The household Sheetal marries into.</t>
        </is>
      </c>
      <c r="K217" s="19" t="inlineStr">
        <is>
          <t>Credited as the mother of Kapoor's Mohan Babu, the sole domestic detail the film attaches to the rich man's side of the story.</t>
        </is>
      </c>
      <c r="L217" s="5" t="n"/>
      <c r="M217" s="5" t="inlineStr">
        <is>
          <t>SOURCE-037</t>
        </is>
      </c>
    </row>
    <row r="218" ht="79" customHeight="1">
      <c r="A218" s="15" t="inlineStr">
        <is>
          <t>CAST-212</t>
        </is>
      </c>
      <c r="B218" s="18" t="inlineStr">
        <is>
          <t>FILM-051</t>
        </is>
      </c>
      <c r="C218" s="5" t="inlineStr">
        <is>
          <t>Anari</t>
        </is>
      </c>
      <c r="D218" s="17" t="n">
        <v>1975</v>
      </c>
      <c r="E218" s="5" t="inlineStr">
        <is>
          <t>Sharmila Tagore</t>
        </is>
      </c>
      <c r="F218" s="5" t="inlineStr">
        <is>
          <t>Poonam</t>
        </is>
      </c>
      <c r="G218" s="5" t="inlineStr">
        <is>
          <t>Co-lead</t>
        </is>
      </c>
      <c r="H218" s="5" t="inlineStr">
        <is>
          <t>Major</t>
        </is>
      </c>
      <c r="I218" s="5" t="inlineStr">
        <is>
          <t>His sweetheart, and his equal in poverty: both are supporting families on nothing when the job offer comes.</t>
        </is>
      </c>
      <c r="J218" s="5" t="inlineStr">
        <is>
          <t>The pairing recorded in the Romances sheet: a couple whose enemy is money, and who lose their moral bearings together rather than against each other.</t>
        </is>
      </c>
      <c r="K218" s="19" t="inlineStr">
        <is>
          <t>A young woman scraping for pennies to nurse her ailing mother while her father drinks his earnings, sweetheart to a man in the same condition, and drawn with him into a world of wealth that costs them both their moral compass.</t>
        </is>
      </c>
      <c r="L218" s="5" t="n"/>
      <c r="M218" s="5" t="inlineStr">
        <is>
          <t>SOURCE-040</t>
        </is>
      </c>
    </row>
    <row r="219" ht="64" customHeight="1">
      <c r="A219" s="15" t="inlineStr">
        <is>
          <t>CAST-213</t>
        </is>
      </c>
      <c r="B219" s="18" t="inlineStr">
        <is>
          <t>FILM-051</t>
        </is>
      </c>
      <c r="C219" s="5" t="inlineStr">
        <is>
          <t>Anari</t>
        </is>
      </c>
      <c r="D219" s="17" t="n">
        <v>1975</v>
      </c>
      <c r="E219" s="5" t="inlineStr">
        <is>
          <t>Moushumi Chatterjee</t>
        </is>
      </c>
      <c r="F219" s="5" t="inlineStr">
        <is>
          <t>Rashmi</t>
        </is>
      </c>
      <c r="G219" s="5" t="inlineStr">
        <is>
          <t>Supporting</t>
        </is>
      </c>
      <c r="H219" s="5" t="inlineStr">
        <is>
          <t>Major</t>
        </is>
      </c>
      <c r="I219" s="5" t="inlineStr">
        <is>
          <t>Third-billed, in the world of wealth and intrigue the job takes him into; the article's four-sentence synopsis does not detail the part.</t>
        </is>
      </c>
      <c r="J219" s="5" t="inlineStr">
        <is>
          <t>Not documented, though the billing places her opposite the established couple.</t>
        </is>
      </c>
      <c r="K219" s="19" t="inlineStr">
        <is>
          <t>Credited as Rashmi. The article's plot summary runs to four sentences and names no character beyond Raj, Poonam and her.</t>
        </is>
      </c>
      <c r="L219" s="5" t="n"/>
      <c r="M219" s="5" t="inlineStr">
        <is>
          <t>SOURCE-040</t>
        </is>
      </c>
    </row>
    <row r="220" ht="34" customHeight="1">
      <c r="A220" s="15" t="inlineStr">
        <is>
          <t>CAST-214</t>
        </is>
      </c>
      <c r="B220" s="18" t="inlineStr">
        <is>
          <t>FILM-051</t>
        </is>
      </c>
      <c r="C220" s="5" t="inlineStr">
        <is>
          <t>Anari</t>
        </is>
      </c>
      <c r="D220" s="17" t="n">
        <v>1975</v>
      </c>
      <c r="E220" s="5" t="inlineStr">
        <is>
          <t>Kabir Bedi</t>
        </is>
      </c>
      <c r="F220" s="5" t="n"/>
      <c r="G220" s="5" t="inlineStr">
        <is>
          <t>Supporting</t>
        </is>
      </c>
      <c r="H220" s="5" t="inlineStr">
        <is>
          <t>Medium</t>
        </is>
      </c>
      <c r="I220" s="5" t="inlineStr">
        <is>
          <t>Not documented; the article gives no character name.</t>
        </is>
      </c>
      <c r="J220" s="5" t="inlineStr">
        <is>
          <t>Not documented.</t>
        </is>
      </c>
      <c r="K220" s="19" t="inlineStr">
        <is>
          <t>Credited without a character name, among the principals of the wealthy world the film's second half enters.</t>
        </is>
      </c>
      <c r="L220" s="5" t="n"/>
      <c r="M220" s="5" t="inlineStr">
        <is>
          <t>SOURCE-040</t>
        </is>
      </c>
    </row>
    <row r="221" ht="49" customHeight="1">
      <c r="A221" s="15" t="inlineStr">
        <is>
          <t>CAST-215</t>
        </is>
      </c>
      <c r="B221" s="18" t="inlineStr">
        <is>
          <t>FILM-051</t>
        </is>
      </c>
      <c r="C221" s="5" t="inlineStr">
        <is>
          <t>Anari</t>
        </is>
      </c>
      <c r="D221" s="17" t="n">
        <v>1975</v>
      </c>
      <c r="E221" s="5" t="inlineStr">
        <is>
          <t>Utpal Dutt</t>
        </is>
      </c>
      <c r="F221" s="5" t="n"/>
      <c r="G221" s="5" t="inlineStr">
        <is>
          <t>Supporting</t>
        </is>
      </c>
      <c r="H221" s="5" t="inlineStr">
        <is>
          <t>Medium</t>
        </is>
      </c>
      <c r="I221" s="5" t="inlineStr">
        <is>
          <t>Not documented; the article gives no character name.</t>
        </is>
      </c>
      <c r="J221" s="5" t="inlineStr">
        <is>
          <t>Not documented.</t>
        </is>
      </c>
      <c r="K221" s="19" t="inlineStr">
        <is>
          <t>Credited without a character name, alongside Kader Khan and Dina Pathak, in a cast list the article's brief synopsis does not map.</t>
        </is>
      </c>
      <c r="L221" s="5" t="n"/>
      <c r="M221" s="5" t="inlineStr">
        <is>
          <t>SOURCE-040</t>
        </is>
      </c>
    </row>
    <row r="222" ht="49" customHeight="1">
      <c r="A222" s="15" t="inlineStr">
        <is>
          <t>CAST-216</t>
        </is>
      </c>
      <c r="B222" s="18" t="inlineStr">
        <is>
          <t>FILM-051</t>
        </is>
      </c>
      <c r="C222" s="5" t="inlineStr">
        <is>
          <t>Anari</t>
        </is>
      </c>
      <c r="D222" s="17" t="n">
        <v>1975</v>
      </c>
      <c r="E222" s="5" t="inlineStr">
        <is>
          <t>Dina Pathak</t>
        </is>
      </c>
      <c r="F222" s="5" t="n"/>
      <c r="G222" s="5" t="inlineStr">
        <is>
          <t>Family</t>
        </is>
      </c>
      <c r="H222" s="5" t="inlineStr">
        <is>
          <t>Medium</t>
        </is>
      </c>
      <c r="I222" s="5" t="inlineStr">
        <is>
          <t>Not documented; the article gives no character name.</t>
        </is>
      </c>
      <c r="J222" s="5" t="inlineStr">
        <is>
          <t>Not documented.</t>
        </is>
      </c>
      <c r="K222" s="19" t="inlineStr">
        <is>
          <t>Credited without a character name. The film turns on two families kept in poverty, but the article does not say which of them she belongs to.</t>
        </is>
      </c>
      <c r="L222" s="5" t="n"/>
      <c r="M222" s="5" t="inlineStr">
        <is>
          <t>SOURCE-040</t>
        </is>
      </c>
    </row>
    <row r="223" ht="79" customHeight="1">
      <c r="A223" s="15" t="inlineStr">
        <is>
          <t>CAST-217</t>
        </is>
      </c>
      <c r="B223" s="18" t="inlineStr">
        <is>
          <t>FILM-052</t>
        </is>
      </c>
      <c r="C223" s="5" t="inlineStr">
        <is>
          <t>Deewaar</t>
        </is>
      </c>
      <c r="D223" s="17" t="n">
        <v>1975</v>
      </c>
      <c r="E223" s="5" t="inlineStr">
        <is>
          <t>Amitabh Bachchan</t>
        </is>
      </c>
      <c r="F223" s="5" t="inlineStr">
        <is>
          <t>Vijay Verma</t>
        </is>
      </c>
      <c r="G223" s="5" t="inlineStr">
        <is>
          <t>Co-lead</t>
        </is>
      </c>
      <c r="H223" s="5" t="inlineStr">
        <is>
          <t>Major</t>
        </is>
      </c>
      <c r="I223" s="5" t="inlineStr">
        <is>
          <t>His elder brother, who sacrificed his own schooling to pay for Ravi's, and whom Ravi as a policeman must finally hunt and shoot; the film is the argument between them.</t>
        </is>
      </c>
      <c r="J223" s="5" t="inlineStr">
        <is>
          <t>Outside Ravi's romance. His own attachment to Anita runs parallel and ends in her death.</t>
        </is>
      </c>
      <c r="K223" s="19" t="inlineStr">
        <is>
          <t>The elder son, tattooed as a boy with his father's supposed disgrace, who refuses the temple, rises from shoeshiner and dockworker to smuggler under Daavar, and is killed by his brother's bullet after their mother chooses Ravi's side.</t>
        </is>
      </c>
      <c r="L223" s="5" t="n"/>
      <c r="M223" s="5" t="inlineStr">
        <is>
          <t>SOURCE-041</t>
        </is>
      </c>
    </row>
    <row r="224" ht="64" customHeight="1">
      <c r="A224" s="15" t="inlineStr">
        <is>
          <t>CAST-218</t>
        </is>
      </c>
      <c r="B224" s="18" t="inlineStr">
        <is>
          <t>FILM-052</t>
        </is>
      </c>
      <c r="C224" s="5" t="inlineStr">
        <is>
          <t>Deewaar</t>
        </is>
      </c>
      <c r="D224" s="17" t="n">
        <v>1975</v>
      </c>
      <c r="E224" s="5" t="inlineStr">
        <is>
          <t>Nirupa Roy</t>
        </is>
      </c>
      <c r="F224" s="5" t="inlineStr">
        <is>
          <t>Sumitra Verma</t>
        </is>
      </c>
      <c r="G224" s="5" t="inlineStr">
        <is>
          <t>Family</t>
        </is>
      </c>
      <c r="H224" s="5" t="inlineStr">
        <is>
          <t>Major</t>
        </is>
      </c>
      <c r="I224" s="5" t="inlineStr">
        <is>
          <t>His mother, who leaves Vijay's house to live with Ravi, and whose choice supplies the moral sanction for everything Ravi does after.</t>
        </is>
      </c>
      <c r="J224" s="5" t="inlineStr">
        <is>
          <t>No part in it.</t>
        </is>
      </c>
      <c r="K224" s="19" t="inlineStr">
        <is>
          <t>The mother who brings both sons to Bombay after her husband's disgrace and flight, raises them on a building site and under a bridge, and finally sides with the policeman against the smuggler.</t>
        </is>
      </c>
      <c r="L224" s="5" t="n"/>
      <c r="M224" s="5" t="inlineStr">
        <is>
          <t>SOURCE-041</t>
        </is>
      </c>
    </row>
    <row r="225" ht="64" customHeight="1">
      <c r="A225" s="15" t="inlineStr">
        <is>
          <t>CAST-219</t>
        </is>
      </c>
      <c r="B225" s="18" t="inlineStr">
        <is>
          <t>FILM-052</t>
        </is>
      </c>
      <c r="C225" s="5" t="inlineStr">
        <is>
          <t>Deewaar</t>
        </is>
      </c>
      <c r="D225" s="17" t="n">
        <v>1975</v>
      </c>
      <c r="E225" s="5" t="inlineStr">
        <is>
          <t>Neetu Singh</t>
        </is>
      </c>
      <c r="F225" s="5" t="inlineStr">
        <is>
          <t>Veera Narang</t>
        </is>
      </c>
      <c r="G225" s="5" t="inlineStr">
        <is>
          <t>Supporting</t>
        </is>
      </c>
      <c r="H225" s="5" t="inlineStr">
        <is>
          <t>Major</t>
        </is>
      </c>
      <c r="I225" s="5" t="inlineStr">
        <is>
          <t>Ravi's romance, and the daughter of the DCP he serves under; the courtship runs through the household of his own authority.</t>
        </is>
      </c>
      <c r="J225" s="5" t="inlineStr">
        <is>
          <t>The pairing recorded in the Romances sheet, and minor in the film: the romance is light relief inside a story about two brothers.</t>
        </is>
      </c>
      <c r="K225" s="19" t="inlineStr">
        <is>
          <t>Daughter of DCP Narang, courted by the unemployed and then newly commissioned Ravi, in the one strand of the film conducted in a comic register.</t>
        </is>
      </c>
      <c r="L225" s="5" t="n"/>
      <c r="M225" s="5" t="inlineStr">
        <is>
          <t>SOURCE-041</t>
        </is>
      </c>
    </row>
    <row r="226" ht="49" customHeight="1">
      <c r="A226" s="15" t="inlineStr">
        <is>
          <t>CAST-220</t>
        </is>
      </c>
      <c r="B226" s="18" t="inlineStr">
        <is>
          <t>FILM-052</t>
        </is>
      </c>
      <c r="C226" s="5" t="inlineStr">
        <is>
          <t>Deewaar</t>
        </is>
      </c>
      <c r="D226" s="17" t="n">
        <v>1975</v>
      </c>
      <c r="E226" s="5" t="inlineStr">
        <is>
          <t>Parveen Babi</t>
        </is>
      </c>
      <c r="F226" s="5" t="inlineStr">
        <is>
          <t>Anita</t>
        </is>
      </c>
      <c r="G226" s="5" t="inlineStr">
        <is>
          <t>Supporting</t>
        </is>
      </c>
      <c r="H226" s="5" t="inlineStr">
        <is>
          <t>Major</t>
        </is>
      </c>
      <c r="I226" s="5" t="inlineStr">
        <is>
          <t>No dealings with Ravi; she belongs wholly to Vijay's side of the film.</t>
        </is>
      </c>
      <c r="J226" s="5" t="inlineStr">
        <is>
          <t>The other romance, and the tragic one against which Ravi's courtship is measured.</t>
        </is>
      </c>
      <c r="K226" s="19" t="inlineStr">
        <is>
          <t>The woman who attaches herself to Vijay at the height of his power, carries his child, and is killed by Samant's men, taking from him the last thing he had outside the feud.</t>
        </is>
      </c>
      <c r="L226" s="5" t="n"/>
      <c r="M226" s="5" t="inlineStr">
        <is>
          <t>SOURCE-041</t>
        </is>
      </c>
    </row>
    <row r="227" ht="64" customHeight="1">
      <c r="A227" s="15" t="inlineStr">
        <is>
          <t>CAST-221</t>
        </is>
      </c>
      <c r="B227" s="18" t="inlineStr">
        <is>
          <t>FILM-052</t>
        </is>
      </c>
      <c r="C227" s="5" t="inlineStr">
        <is>
          <t>Deewaar</t>
        </is>
      </c>
      <c r="D227" s="17" t="n">
        <v>1975</v>
      </c>
      <c r="E227" s="5" t="inlineStr">
        <is>
          <t>Satyen Kappu</t>
        </is>
      </c>
      <c r="F227" s="5" t="inlineStr">
        <is>
          <t>Anand Verma</t>
        </is>
      </c>
      <c r="G227" s="5" t="inlineStr">
        <is>
          <t>Family</t>
        </is>
      </c>
      <c r="H227" s="5" t="inlineStr">
        <is>
          <t>Medium</t>
        </is>
      </c>
      <c r="I227" s="5" t="inlineStr">
        <is>
          <t>His father, who abandoned the family before Ravi was old enough to know him, and whose disgrace shaped Vijay rather than Ravi.</t>
        </is>
      </c>
      <c r="J227" s="5" t="inlineStr">
        <is>
          <t>No part in it.</t>
        </is>
      </c>
      <c r="K227" s="19" t="inlineStr">
        <is>
          <t>A principled trade union leader blackmailed into signing away his labourers' rights to save his kidnapped family, beaten by the men he led, and lost to a life of aimless travel by train.</t>
        </is>
      </c>
      <c r="L227" s="5" t="n"/>
      <c r="M227" s="5" t="inlineStr">
        <is>
          <t>SOURCE-041</t>
        </is>
      </c>
    </row>
    <row r="228" ht="64" customHeight="1">
      <c r="A228" s="15" t="inlineStr">
        <is>
          <t>CAST-222</t>
        </is>
      </c>
      <c r="B228" s="18" t="inlineStr">
        <is>
          <t>FILM-052</t>
        </is>
      </c>
      <c r="C228" s="5" t="inlineStr">
        <is>
          <t>Deewaar</t>
        </is>
      </c>
      <c r="D228" s="17" t="n">
        <v>1975</v>
      </c>
      <c r="E228" s="5" t="inlineStr">
        <is>
          <t>A. K. Hangal</t>
        </is>
      </c>
      <c r="F228" s="5" t="inlineStr">
        <is>
          <t>A teacher</t>
        </is>
      </c>
      <c r="G228" s="5" t="inlineStr">
        <is>
          <t>Supporting</t>
        </is>
      </c>
      <c r="H228" s="5" t="inlineStr">
        <is>
          <t>Medium</t>
        </is>
      </c>
      <c r="I228" s="5" t="inlineStr">
        <is>
          <t>The father of the boy Ravi shoots for stealing bread, and so the author of Ravi's one real crisis of conscience about the law he serves.</t>
        </is>
      </c>
      <c r="J228" s="5" t="inlineStr">
        <is>
          <t>No part in it.</t>
        </is>
      </c>
      <c r="K228" s="19" t="inlineStr">
        <is>
          <t>A schoolteacher whose hungry son Ravi shoots while on duty, and who tells the policeman he did right, in the scene that sets Ravi's creed against his own doubt.</t>
        </is>
      </c>
      <c r="L228" s="5" t="n"/>
      <c r="M228" s="5" t="inlineStr">
        <is>
          <t>SOURCE-041</t>
        </is>
      </c>
    </row>
    <row r="229" ht="64" customHeight="1">
      <c r="A229" s="15" t="inlineStr">
        <is>
          <t>CAST-223</t>
        </is>
      </c>
      <c r="B229" s="18" t="inlineStr">
        <is>
          <t>FILM-052</t>
        </is>
      </c>
      <c r="C229" s="5" t="inlineStr">
        <is>
          <t>Deewaar</t>
        </is>
      </c>
      <c r="D229" s="17" t="n">
        <v>1975</v>
      </c>
      <c r="E229" s="5" t="inlineStr">
        <is>
          <t>Manmohan Krishna</t>
        </is>
      </c>
      <c r="F229" s="5" t="inlineStr">
        <is>
          <t>DCP Narang</t>
        </is>
      </c>
      <c r="G229" s="5" t="inlineStr">
        <is>
          <t>Authority figure</t>
        </is>
      </c>
      <c r="H229" s="5" t="inlineStr">
        <is>
          <t>Medium</t>
        </is>
      </c>
      <c r="I229" s="5" t="inlineStr">
        <is>
          <t>His superior officer and Veera's father, the two facts that make Ravi's position untenable once the quarry is his own brother.</t>
        </is>
      </c>
      <c r="J229" s="5" t="inlineStr">
        <is>
          <t>Governs it, being the father of the woman Ravi is courting.</t>
        </is>
      </c>
      <c r="K229" s="19" t="inlineStr">
        <is>
          <t>The deputy commissioner who commands Ravi and whose daughter he is courting, and who gives him the assignment against the smuggler he cannot name.</t>
        </is>
      </c>
      <c r="L229" s="5" t="n"/>
      <c r="M229" s="5" t="inlineStr">
        <is>
          <t>SOURCE-041</t>
        </is>
      </c>
    </row>
    <row r="230" ht="64" customHeight="1">
      <c r="A230" s="15" t="inlineStr">
        <is>
          <t>CAST-224</t>
        </is>
      </c>
      <c r="B230" s="18" t="inlineStr">
        <is>
          <t>FILM-052</t>
        </is>
      </c>
      <c r="C230" s="5" t="inlineStr">
        <is>
          <t>Deewaar</t>
        </is>
      </c>
      <c r="D230" s="17" t="n">
        <v>1975</v>
      </c>
      <c r="E230" s="5" t="inlineStr">
        <is>
          <t>Iftekhar</t>
        </is>
      </c>
      <c r="F230" s="5" t="inlineStr">
        <is>
          <t>Mulk Raj Daavar</t>
        </is>
      </c>
      <c r="G230" s="5" t="inlineStr">
        <is>
          <t>Antagonist</t>
        </is>
      </c>
      <c r="H230" s="5" t="inlineStr">
        <is>
          <t>Medium</t>
        </is>
      </c>
      <c r="I230" s="5" t="inlineStr">
        <is>
          <t>The smuggler whose organisation Ravi is set against, and Vijay's patron; he is the reason the brothers end on opposite sides.</t>
        </is>
      </c>
      <c r="J230" s="5" t="inlineStr">
        <is>
          <t>No part in it.</t>
        </is>
      </c>
      <c r="K230" s="19" t="inlineStr">
        <is>
          <t>The smuggling boss who recruits the dockworker Vijay after seeing him fight, raises him to be his right hand, and is killed in the war with Samant.</t>
        </is>
      </c>
      <c r="L230" s="5" t="n"/>
      <c r="M230" s="5" t="inlineStr">
        <is>
          <t>SOURCE-041</t>
        </is>
      </c>
    </row>
    <row r="231" ht="49" customHeight="1">
      <c r="A231" s="15" t="inlineStr">
        <is>
          <t>CAST-225</t>
        </is>
      </c>
      <c r="B231" s="18" t="inlineStr">
        <is>
          <t>FILM-052</t>
        </is>
      </c>
      <c r="C231" s="5" t="inlineStr">
        <is>
          <t>Deewaar</t>
        </is>
      </c>
      <c r="D231" s="17" t="n">
        <v>1975</v>
      </c>
      <c r="E231" s="5" t="inlineStr">
        <is>
          <t>Madan Puri</t>
        </is>
      </c>
      <c r="F231" s="5" t="inlineStr">
        <is>
          <t>Samant</t>
        </is>
      </c>
      <c r="G231" s="5" t="inlineStr">
        <is>
          <t>Antagonist</t>
        </is>
      </c>
      <c r="H231" s="5" t="inlineStr">
        <is>
          <t>Medium</t>
        </is>
      </c>
      <c r="I231" s="5" t="inlineStr">
        <is>
          <t>No dealings with Ravi; he is the rival Vijay destroys, and the man whose retaliation kills Anita.</t>
        </is>
      </c>
      <c r="J231" s="5" t="inlineStr">
        <is>
          <t>Destroys Vijay's, by having Anita killed.</t>
        </is>
      </c>
      <c r="K231" s="19" t="inlineStr">
        <is>
          <t>Daavar's rival smuggler, whose war with Vijay costs Daavar his life and Vijay the woman carrying his child.</t>
        </is>
      </c>
      <c r="L231" s="5" t="n"/>
      <c r="M231" s="5" t="inlineStr">
        <is>
          <t>SOURCE-041</t>
        </is>
      </c>
    </row>
    <row r="232" ht="79" customHeight="1">
      <c r="A232" s="15" t="inlineStr">
        <is>
          <t>CAST-226</t>
        </is>
      </c>
      <c r="B232" s="18" t="inlineStr">
        <is>
          <t>FILM-053</t>
        </is>
      </c>
      <c r="C232" s="5" t="inlineStr">
        <is>
          <t>Prem Kahani</t>
        </is>
      </c>
      <c r="D232" s="17" t="n">
        <v>1975</v>
      </c>
      <c r="E232" s="5" t="inlineStr">
        <is>
          <t>Rajesh Khanna</t>
        </is>
      </c>
      <c r="F232" s="5" t="inlineStr">
        <is>
          <t>Rajesh Kamleshwar Narayan</t>
        </is>
      </c>
      <c r="G232" s="5" t="inlineStr">
        <is>
          <t>Co-lead</t>
        </is>
      </c>
      <c r="H232" s="5" t="inlineStr">
        <is>
          <t>Major</t>
        </is>
      </c>
      <c r="I232" s="5" t="inlineStr">
        <is>
          <t>His best friend, whom he shelters as a wanted revolutionary without knowing the man was his own wife's lover; the friendship and the marriage are the same crisis.</t>
        </is>
      </c>
      <c r="J232" s="5" t="inlineStr">
        <is>
          <t>The prior claim on Kapoor's wife, and the reason the marriage is poisoned by a police file rather than by anything either spouse does.</t>
        </is>
      </c>
      <c r="K232" s="19" t="inlineStr">
        <is>
          <t>An apolitical poet who turns revolutionary after his freedom-fighter brother is shot, pretends to Kamini that he only used her as material for his verse so she will not be widowed, kills British officials, and takes refuge in the house of the friend who has married her.</t>
        </is>
      </c>
      <c r="L232" s="5" t="n"/>
      <c r="M232" s="5" t="inlineStr">
        <is>
          <t>SOURCE-042</t>
        </is>
      </c>
    </row>
    <row r="233" ht="64" customHeight="1">
      <c r="A233" s="15" t="inlineStr">
        <is>
          <t>CAST-227</t>
        </is>
      </c>
      <c r="B233" s="18" t="inlineStr">
        <is>
          <t>FILM-053</t>
        </is>
      </c>
      <c r="C233" s="5" t="inlineStr">
        <is>
          <t>Prem Kahani</t>
        </is>
      </c>
      <c r="D233" s="17" t="n">
        <v>1975</v>
      </c>
      <c r="E233" s="5" t="inlineStr">
        <is>
          <t>Mumtaz</t>
        </is>
      </c>
      <c r="F233" s="5" t="inlineStr">
        <is>
          <t>Kamini Sinha</t>
        </is>
      </c>
      <c r="G233" s="5" t="inlineStr">
        <is>
          <t>Co-lead</t>
        </is>
      </c>
      <c r="H233" s="5" t="inlineStr">
        <is>
          <t>Major</t>
        </is>
      </c>
      <c r="I233" s="5" t="inlineStr">
        <is>
          <t>His bride, who was Rajesh's sweetheart and is hostile to the fugitive in her house; the marriage is new when the crisis arrives.</t>
        </is>
      </c>
      <c r="J233" s="5" t="inlineStr">
        <is>
          <t>The pairing recorded in the Romances sheet as a triangle, and the one whose terms neither man will state aloud.</t>
        </is>
      </c>
      <c r="K233" s="19" t="inlineStr">
        <is>
          <t>Daughter of a Rai Bahadur in British service, sweetheart of the poet Rajesh, told by him that she was only material for his poems, married to his best friend, and made to recite with him the poem in which he admits breaking her heart.</t>
        </is>
      </c>
      <c r="L233" s="5" t="n"/>
      <c r="M233" s="5" t="inlineStr">
        <is>
          <t>SOURCE-042</t>
        </is>
      </c>
    </row>
    <row r="234" ht="64" customHeight="1">
      <c r="A234" s="15" t="inlineStr">
        <is>
          <t>CAST-228</t>
        </is>
      </c>
      <c r="B234" s="18" t="inlineStr">
        <is>
          <t>FILM-053</t>
        </is>
      </c>
      <c r="C234" s="5" t="inlineStr">
        <is>
          <t>Prem Kahani</t>
        </is>
      </c>
      <c r="D234" s="17" t="n">
        <v>1975</v>
      </c>
      <c r="E234" s="5" t="inlineStr">
        <is>
          <t>Vinod Khanna</t>
        </is>
      </c>
      <c r="F234" s="5" t="inlineStr">
        <is>
          <t>Sher Khan</t>
        </is>
      </c>
      <c r="G234" s="5" t="inlineStr">
        <is>
          <t>Cameo</t>
        </is>
      </c>
      <c r="H234" s="5" t="inlineStr">
        <is>
          <t>Major</t>
        </is>
      </c>
      <c r="I234" s="5" t="inlineStr">
        <is>
          <t>Brings the wounded fugitive to Kapoor's door, and is the man Kapoor then lies to Rajesh about; billed as a guest appearance.</t>
        </is>
      </c>
      <c r="J234" s="5" t="inlineStr">
        <is>
          <t>No part in it, though his death is the lie that sits between the two friends.</t>
        </is>
      </c>
      <c r="K234" s="19" t="inlineStr">
        <is>
          <t>A Pathan truck driver who carries the wounded Rajesh to Dheeraj's house, is tortured by a constable seeking the revolutionary's whereabouts, and kills himself saying Rajesh lives in his heart.</t>
        </is>
      </c>
      <c r="L234" s="5" t="n"/>
      <c r="M234" s="5" t="inlineStr">
        <is>
          <t>SOURCE-042</t>
        </is>
      </c>
    </row>
    <row r="235" ht="64" customHeight="1">
      <c r="A235" s="15" t="inlineStr">
        <is>
          <t>CAST-229</t>
        </is>
      </c>
      <c r="B235" s="18" t="inlineStr">
        <is>
          <t>FILM-053</t>
        </is>
      </c>
      <c r="C235" s="5" t="inlineStr">
        <is>
          <t>Prem Kahani</t>
        </is>
      </c>
      <c r="D235" s="17" t="n">
        <v>1975</v>
      </c>
      <c r="E235" s="5" t="inlineStr">
        <is>
          <t>Trilok Kapoor</t>
        </is>
      </c>
      <c r="F235" s="5" t="inlineStr">
        <is>
          <t>Brijesh Narayan</t>
        </is>
      </c>
      <c r="G235" s="5" t="inlineStr">
        <is>
          <t>Family</t>
        </is>
      </c>
      <c r="H235" s="5" t="inlineStr">
        <is>
          <t>Medium</t>
        </is>
      </c>
      <c r="I235" s="5" t="inlineStr">
        <is>
          <t>Rajesh's elder brother rather than Dheeraj's kin; his death converts the poet into the fugitive Dheeraj must hide.</t>
        </is>
      </c>
      <c r="J235" s="5" t="inlineStr">
        <is>
          <t>No part in it.</t>
        </is>
      </c>
      <c r="K235" s="19" t="inlineStr">
        <is>
          <t>A freedom fighter, elder brother of the poet, shot dead by British officials during a demonstration, whose killing turns Rajesh to the armed struggle.</t>
        </is>
      </c>
      <c r="L235" s="5" t="n"/>
      <c r="M235" s="5" t="inlineStr">
        <is>
          <t>SOURCE-042</t>
        </is>
      </c>
    </row>
    <row r="236" ht="49" customHeight="1">
      <c r="A236" s="15" t="inlineStr">
        <is>
          <t>CAST-230</t>
        </is>
      </c>
      <c r="B236" s="18" t="inlineStr">
        <is>
          <t>FILM-053</t>
        </is>
      </c>
      <c r="C236" s="5" t="inlineStr">
        <is>
          <t>Prem Kahani</t>
        </is>
      </c>
      <c r="D236" s="17" t="n">
        <v>1975</v>
      </c>
      <c r="E236" s="5" t="inlineStr">
        <is>
          <t>K. N. Singh</t>
        </is>
      </c>
      <c r="F236" s="5" t="inlineStr">
        <is>
          <t>Rai Bahadur Shrikant Sinha</t>
        </is>
      </c>
      <c r="G236" s="5" t="inlineStr">
        <is>
          <t>Family</t>
        </is>
      </c>
      <c r="H236" s="5" t="inlineStr">
        <is>
          <t>Medium</t>
        </is>
      </c>
      <c r="I236" s="5" t="inlineStr">
        <is>
          <t>Kamini's father, and the reason she was never going to be given to a Gandhian household.</t>
        </is>
      </c>
      <c r="J236" s="5" t="inlineStr">
        <is>
          <t>The original external opposition to Rajesh and Kamini, which is what leaves her free to marry Dheeraj.</t>
        </is>
      </c>
      <c r="K236" s="19" t="inlineStr">
        <is>
          <t>Kamini's father, who works for the British government and dislikes the Narayan family for working for Gandhi.</t>
        </is>
      </c>
      <c r="L236" s="5" t="n"/>
      <c r="M236" s="5" t="inlineStr">
        <is>
          <t>SOURCE-042</t>
        </is>
      </c>
    </row>
    <row r="237" ht="49" customHeight="1">
      <c r="A237" s="15" t="inlineStr">
        <is>
          <t>CAST-231</t>
        </is>
      </c>
      <c r="B237" s="18" t="inlineStr">
        <is>
          <t>FILM-053</t>
        </is>
      </c>
      <c r="C237" s="5" t="inlineStr">
        <is>
          <t>Prem Kahani</t>
        </is>
      </c>
      <c r="D237" s="17" t="n">
        <v>1975</v>
      </c>
      <c r="E237" s="5" t="inlineStr">
        <is>
          <t>Leela Mishra</t>
        </is>
      </c>
      <c r="F237" s="5" t="inlineStr">
        <is>
          <t>Dheeraj's aunt</t>
        </is>
      </c>
      <c r="G237" s="5" t="inlineStr">
        <is>
          <t>Family</t>
        </is>
      </c>
      <c r="H237" s="5" t="inlineStr">
        <is>
          <t>Minor</t>
        </is>
      </c>
      <c r="I237" s="5" t="inlineStr">
        <is>
          <t>The one relative the film gives Kapoor's superintendent, in the household where the fugitive is hidden.</t>
        </is>
      </c>
      <c r="J237" s="5" t="inlineStr">
        <is>
          <t>A presence in the house where the triangle plays out.</t>
        </is>
      </c>
      <c r="K237" s="19" t="inlineStr">
        <is>
          <t>Credited as Dheeraj's aunty, in the police officer's household that shelters a wanted revolutionary.</t>
        </is>
      </c>
      <c r="L237" s="5" t="n"/>
      <c r="M237" s="5" t="inlineStr">
        <is>
          <t>SOURCE-042</t>
        </is>
      </c>
    </row>
    <row r="238" ht="79" customHeight="1">
      <c r="A238" s="15" t="inlineStr">
        <is>
          <t>CAST-232</t>
        </is>
      </c>
      <c r="B238" s="18" t="inlineStr">
        <is>
          <t>FILM-054</t>
        </is>
      </c>
      <c r="C238" s="5" t="inlineStr">
        <is>
          <t>Chori Mera Kaam</t>
        </is>
      </c>
      <c r="D238" s="17" t="n">
        <v>1975</v>
      </c>
      <c r="E238" s="5" t="inlineStr">
        <is>
          <t>Ashok Kumar</t>
        </is>
      </c>
      <c r="F238" s="5" t="inlineStr">
        <is>
          <t>Shankar</t>
        </is>
      </c>
      <c r="G238" s="5" t="inlineStr">
        <is>
          <t>Co-lead</t>
        </is>
      </c>
      <c r="H238" s="5" t="inlineStr">
        <is>
          <t>Major</t>
        </is>
      </c>
      <c r="I238" s="5" t="inlineStr">
        <is>
          <t>First-billed opposite Kapoor's Bhola in what the credits present as a two-man film. The article has no plot section, so the partnership is not documented.</t>
        </is>
      </c>
      <c r="J238" s="5" t="inlineStr">
        <is>
          <t>Not documented. Romance presence is left blank for the film for the same reason.</t>
        </is>
      </c>
      <c r="K238" s="19" t="inlineStr">
        <is>
          <t>Credited as Shankar and billed ahead of Kapoor. With no synopsis in the article the part is recorded from the cast list alone.</t>
        </is>
      </c>
      <c r="L238" s="5" t="n"/>
      <c r="M238" s="5" t="inlineStr">
        <is>
          <t>SOURCE-043</t>
        </is>
      </c>
    </row>
    <row r="239" ht="64" customHeight="1">
      <c r="A239" s="15" t="inlineStr">
        <is>
          <t>CAST-233</t>
        </is>
      </c>
      <c r="B239" s="18" t="inlineStr">
        <is>
          <t>FILM-054</t>
        </is>
      </c>
      <c r="C239" s="5" t="inlineStr">
        <is>
          <t>Chori Mera Kaam</t>
        </is>
      </c>
      <c r="D239" s="17" t="n">
        <v>1975</v>
      </c>
      <c r="E239" s="5" t="inlineStr">
        <is>
          <t>Zeenat Aman</t>
        </is>
      </c>
      <c r="F239" s="5" t="inlineStr">
        <is>
          <t>Sharmili</t>
        </is>
      </c>
      <c r="G239" s="5" t="inlineStr">
        <is>
          <t>Co-lead</t>
        </is>
      </c>
      <c r="H239" s="5" t="inlineStr">
        <is>
          <t>Major</t>
        </is>
      </c>
      <c r="I239" s="5" t="inlineStr">
        <is>
          <t>The principal female part, credited with Chaman Puri as her father. The article gives no plot, so her relation to Bhola is unrecorded.</t>
        </is>
      </c>
      <c r="J239" s="5" t="inlineStr">
        <is>
          <t>Not documented, which is why no Romances row was created for the film.</t>
        </is>
      </c>
      <c r="K239" s="19" t="inlineStr">
        <is>
          <t>Credited as Sharmili, third-billed. The article carries a long cast list and no synopsis.</t>
        </is>
      </c>
      <c r="L239" s="5" t="n"/>
      <c r="M239" s="5" t="inlineStr">
        <is>
          <t>SOURCE-043</t>
        </is>
      </c>
    </row>
    <row r="240" ht="64" customHeight="1">
      <c r="A240" s="15" t="inlineStr">
        <is>
          <t>CAST-234</t>
        </is>
      </c>
      <c r="B240" s="18" t="inlineStr">
        <is>
          <t>FILM-054</t>
        </is>
      </c>
      <c r="C240" s="5" t="inlineStr">
        <is>
          <t>Chori Mera Kaam</t>
        </is>
      </c>
      <c r="D240" s="17" t="n">
        <v>1975</v>
      </c>
      <c r="E240" s="5" t="inlineStr">
        <is>
          <t>Pran</t>
        </is>
      </c>
      <c r="F240" s="5" t="inlineStr">
        <is>
          <t>Inspector Kumar / Shera</t>
        </is>
      </c>
      <c r="G240" s="5" t="inlineStr">
        <is>
          <t>Antagonist</t>
        </is>
      </c>
      <c r="H240" s="5" t="inlineStr">
        <is>
          <t>Major</t>
        </is>
      </c>
      <c r="I240" s="5" t="inlineStr">
        <is>
          <t>Not documented, though the double credit of a policeman and a second identity implies the film's central deception.</t>
        </is>
      </c>
      <c r="J240" s="5" t="inlineStr">
        <is>
          <t>Not documented.</t>
        </is>
      </c>
      <c r="K240" s="19" t="inlineStr">
        <is>
          <t>A double credit as Inspector Kumar and Shera, with Asha Potdar as the inspector's wife. The article has no plot section to explain the doubling.</t>
        </is>
      </c>
      <c r="L240" s="5" t="n"/>
      <c r="M240" s="5" t="inlineStr">
        <is>
          <t>SOURCE-043</t>
        </is>
      </c>
    </row>
    <row r="241" ht="49" customHeight="1">
      <c r="A241" s="15" t="inlineStr">
        <is>
          <t>CAST-235</t>
        </is>
      </c>
      <c r="B241" s="18" t="inlineStr">
        <is>
          <t>FILM-054</t>
        </is>
      </c>
      <c r="C241" s="5" t="inlineStr">
        <is>
          <t>Chori Mera Kaam</t>
        </is>
      </c>
      <c r="D241" s="17" t="n">
        <v>1975</v>
      </c>
      <c r="E241" s="5" t="inlineStr">
        <is>
          <t>Deven Verma</t>
        </is>
      </c>
      <c r="F241" s="5" t="inlineStr">
        <is>
          <t>Parvin Chandra Shah</t>
        </is>
      </c>
      <c r="G241" s="5" t="inlineStr">
        <is>
          <t>Comic support</t>
        </is>
      </c>
      <c r="H241" s="5" t="inlineStr">
        <is>
          <t>Medium</t>
        </is>
      </c>
      <c r="I241" s="5" t="inlineStr">
        <is>
          <t>Not documented.</t>
        </is>
      </c>
      <c r="J241" s="5" t="inlineStr">
        <is>
          <t>Not documented.</t>
        </is>
      </c>
      <c r="K241" s="19" t="inlineStr">
        <is>
          <t>Credited as Parvin Chandra Shah, in the comic register Deven Verma occupied in this period. The article gives no synopsis.</t>
        </is>
      </c>
      <c r="L241" s="5" t="n"/>
      <c r="M241" s="5" t="inlineStr">
        <is>
          <t>SOURCE-043</t>
        </is>
      </c>
    </row>
    <row r="242" ht="49" customHeight="1">
      <c r="A242" s="15" t="inlineStr">
        <is>
          <t>CAST-236</t>
        </is>
      </c>
      <c r="B242" s="18" t="inlineStr">
        <is>
          <t>FILM-054</t>
        </is>
      </c>
      <c r="C242" s="5" t="inlineStr">
        <is>
          <t>Chori Mera Kaam</t>
        </is>
      </c>
      <c r="D242" s="17" t="n">
        <v>1975</v>
      </c>
      <c r="E242" s="5" t="inlineStr">
        <is>
          <t>Anwar Hussain</t>
        </is>
      </c>
      <c r="F242" s="5" t="inlineStr">
        <is>
          <t>Amarchand Rathod</t>
        </is>
      </c>
      <c r="G242" s="5" t="inlineStr">
        <is>
          <t>Supporting</t>
        </is>
      </c>
      <c r="H242" s="5" t="inlineStr">
        <is>
          <t>Medium</t>
        </is>
      </c>
      <c r="I242" s="5" t="inlineStr">
        <is>
          <t>Not documented.</t>
        </is>
      </c>
      <c r="J242" s="5" t="inlineStr">
        <is>
          <t>Not documented.</t>
        </is>
      </c>
      <c r="K242" s="19" t="inlineStr">
        <is>
          <t>Credited as Amarchand Rathod, with Urmila Bhatt as Parvati Rathod, a family unit the article does not place in any story.</t>
        </is>
      </c>
      <c r="L242" s="5" t="n"/>
      <c r="M242" s="5" t="inlineStr">
        <is>
          <t>SOURCE-043</t>
        </is>
      </c>
    </row>
    <row r="243" ht="34" customHeight="1">
      <c r="A243" s="15" t="inlineStr">
        <is>
          <t>CAST-237</t>
        </is>
      </c>
      <c r="B243" s="18" t="inlineStr">
        <is>
          <t>FILM-054</t>
        </is>
      </c>
      <c r="C243" s="5" t="inlineStr">
        <is>
          <t>Chori Mera Kaam</t>
        </is>
      </c>
      <c r="D243" s="17" t="n">
        <v>1975</v>
      </c>
      <c r="E243" s="5" t="inlineStr">
        <is>
          <t>Chaman Puri</t>
        </is>
      </c>
      <c r="F243" s="5" t="inlineStr">
        <is>
          <t>Shambhu</t>
        </is>
      </c>
      <c r="G243" s="5" t="inlineStr">
        <is>
          <t>Family</t>
        </is>
      </c>
      <c r="H243" s="5" t="inlineStr">
        <is>
          <t>Medium</t>
        </is>
      </c>
      <c r="I243" s="5" t="inlineStr">
        <is>
          <t>Not documented beyond the credit, which names him Sharmili's father.</t>
        </is>
      </c>
      <c r="J243" s="5" t="inlineStr">
        <is>
          <t>Not documented.</t>
        </is>
      </c>
      <c r="K243" s="19" t="inlineStr">
        <is>
          <t>Credited as Shambhu, Sharmili's father. The article's cast list is its only content on the story.</t>
        </is>
      </c>
      <c r="L243" s="5" t="n"/>
      <c r="M243" s="5" t="inlineStr">
        <is>
          <t>SOURCE-043</t>
        </is>
      </c>
    </row>
    <row r="244" ht="79" customHeight="1">
      <c r="A244" s="15" t="inlineStr">
        <is>
          <t>CAST-238</t>
        </is>
      </c>
      <c r="B244" s="18" t="inlineStr">
        <is>
          <t>FILM-055</t>
        </is>
      </c>
      <c r="C244" s="5" t="inlineStr">
        <is>
          <t>Salaakhen</t>
        </is>
      </c>
      <c r="D244" s="17" t="n">
        <v>1975</v>
      </c>
      <c r="E244" s="5" t="inlineStr">
        <is>
          <t>Sulakshana Pandit</t>
        </is>
      </c>
      <c r="F244" s="5" t="inlineStr">
        <is>
          <t>Guddi / Seema</t>
        </is>
      </c>
      <c r="G244" s="5" t="inlineStr">
        <is>
          <t>Co-lead</t>
        </is>
      </c>
      <c r="H244" s="5" t="inlineStr">
        <is>
          <t>Major</t>
        </is>
      </c>
      <c r="I244" s="5" t="inlineStr">
        <is>
          <t>The childhood neighbour from whom he was separated by his father's arrest, and the woman he meets and loves years later without either recognising the other.</t>
        </is>
      </c>
      <c r="J244" s="5" t="inlineStr">
        <is>
          <t>The whole of it, and the pairing recorded in the Romances sheet: friendship to love, with the friendship forgotten by both parties.</t>
        </is>
      </c>
      <c r="K244" s="19" t="inlineStr">
        <is>
          <t>A girl inseparable from the boy next door, separated from him when his father is arrested, grown into a professional stage singer and dancer under the name Seema, travelling to her birthplace on a religious errand when she meets and falls in love with the card-sharp she once knew as Raju.</t>
        </is>
      </c>
      <c r="L244" s="5" t="n"/>
      <c r="M244" s="5" t="inlineStr">
        <is>
          <t>SOURCE-044</t>
        </is>
      </c>
    </row>
    <row r="245" ht="49" customHeight="1">
      <c r="A245" s="15" t="inlineStr">
        <is>
          <t>CAST-239</t>
        </is>
      </c>
      <c r="B245" s="18" t="inlineStr">
        <is>
          <t>FILM-055</t>
        </is>
      </c>
      <c r="C245" s="5" t="inlineStr">
        <is>
          <t>Salaakhen</t>
        </is>
      </c>
      <c r="D245" s="17" t="n">
        <v>1975</v>
      </c>
      <c r="E245" s="5" t="inlineStr">
        <is>
          <t>Mehmood</t>
        </is>
      </c>
      <c r="F245" s="5" t="inlineStr">
        <is>
          <t>Abdul Rehman</t>
        </is>
      </c>
      <c r="G245" s="5" t="inlineStr">
        <is>
          <t>Comic support</t>
        </is>
      </c>
      <c r="H245" s="5" t="inlineStr">
        <is>
          <t>Major</t>
        </is>
      </c>
      <c r="I245" s="5" t="inlineStr">
        <is>
          <t>Billed high among the supporting cast around the thief's world.</t>
        </is>
      </c>
      <c r="J245" s="5" t="inlineStr">
        <is>
          <t>The comic accompaniment to a courtship built on two forgotten childhoods.</t>
        </is>
      </c>
      <c r="K245" s="19" t="inlineStr">
        <is>
          <t>Credited as Abdul Rehman, the comic lead of the supporting cast in a film about a card-sharp who gets himself jailed for money.</t>
        </is>
      </c>
      <c r="L245" s="5" t="n"/>
      <c r="M245" s="5" t="inlineStr">
        <is>
          <t>SOURCE-044</t>
        </is>
      </c>
    </row>
    <row r="246" ht="64" customHeight="1">
      <c r="A246" s="15" t="inlineStr">
        <is>
          <t>CAST-240</t>
        </is>
      </c>
      <c r="B246" s="18" t="inlineStr">
        <is>
          <t>FILM-055</t>
        </is>
      </c>
      <c r="C246" s="5" t="inlineStr">
        <is>
          <t>Salaakhen</t>
        </is>
      </c>
      <c r="D246" s="17" t="n">
        <v>1975</v>
      </c>
      <c r="E246" s="5" t="inlineStr">
        <is>
          <t>Amrish Puri</t>
        </is>
      </c>
      <c r="F246" s="5" t="inlineStr">
        <is>
          <t>Master</t>
        </is>
      </c>
      <c r="G246" s="5" t="inlineStr">
        <is>
          <t>Antagonist</t>
        </is>
      </c>
      <c r="H246" s="5" t="inlineStr">
        <is>
          <t>Major</t>
        </is>
      </c>
      <c r="I246" s="5" t="inlineStr">
        <is>
          <t>Credited as Master, in the criminal apparatus around Chander; the article's synopsis breaks off before the jail scheme plays out.</t>
        </is>
      </c>
      <c r="J246" s="5" t="inlineStr">
        <is>
          <t>The danger the romance is conducted against.</t>
        </is>
      </c>
      <c r="K246" s="19" t="inlineStr">
        <is>
          <t>Credited as Master, among the film's criminal figures. The article's plot summary stops at Chander's plan to be jailed for a gangster's fee.</t>
        </is>
      </c>
      <c r="L246" s="5" t="n"/>
      <c r="M246" s="5" t="inlineStr">
        <is>
          <t>SOURCE-044</t>
        </is>
      </c>
    </row>
    <row r="247" ht="34" customHeight="1">
      <c r="A247" s="15" t="inlineStr">
        <is>
          <t>CAST-241</t>
        </is>
      </c>
      <c r="B247" s="18" t="inlineStr">
        <is>
          <t>FILM-055</t>
        </is>
      </c>
      <c r="C247" s="5" t="inlineStr">
        <is>
          <t>Salaakhen</t>
        </is>
      </c>
      <c r="D247" s="17" t="n">
        <v>1975</v>
      </c>
      <c r="E247" s="5" t="inlineStr">
        <is>
          <t>Goga Kapoor</t>
        </is>
      </c>
      <c r="F247" s="5" t="inlineStr">
        <is>
          <t>Casino owner</t>
        </is>
      </c>
      <c r="G247" s="5" t="inlineStr">
        <is>
          <t>Antagonist</t>
        </is>
      </c>
      <c r="H247" s="5" t="inlineStr">
        <is>
          <t>Medium</t>
        </is>
      </c>
      <c r="I247" s="5" t="inlineStr">
        <is>
          <t>The proprietor of the gambling world where the card-sharp works.</t>
        </is>
      </c>
      <c r="J247" s="5" t="inlineStr">
        <is>
          <t>No documented part in it.</t>
        </is>
      </c>
      <c r="K247" s="19" t="inlineStr">
        <is>
          <t>The casino owner in the world Raju has grown into as a card-sharp and thief.</t>
        </is>
      </c>
      <c r="L247" s="5" t="n"/>
      <c r="M247" s="5" t="inlineStr">
        <is>
          <t>SOURCE-044</t>
        </is>
      </c>
    </row>
    <row r="248" ht="34" customHeight="1">
      <c r="A248" s="15" t="inlineStr">
        <is>
          <t>CAST-242</t>
        </is>
      </c>
      <c r="B248" s="18" t="inlineStr">
        <is>
          <t>FILM-055</t>
        </is>
      </c>
      <c r="C248" s="5" t="inlineStr">
        <is>
          <t>Salaakhen</t>
        </is>
      </c>
      <c r="D248" s="17" t="n">
        <v>1975</v>
      </c>
      <c r="E248" s="5" t="inlineStr">
        <is>
          <t>Sajjan</t>
        </is>
      </c>
      <c r="F248" s="5" t="inlineStr">
        <is>
          <t>Ram Lal</t>
        </is>
      </c>
      <c r="G248" s="5" t="inlineStr">
        <is>
          <t>Family</t>
        </is>
      </c>
      <c r="H248" s="5" t="inlineStr">
        <is>
          <t>Medium</t>
        </is>
      </c>
      <c r="I248" s="5" t="inlineStr">
        <is>
          <t>Seema's father, from the neighbourhood the two children shared.</t>
        </is>
      </c>
      <c r="J248" s="5" t="inlineStr">
        <is>
          <t>The family on her side of a reunion neither party knows is one.</t>
        </is>
      </c>
      <c r="K248" s="19" t="inlineStr">
        <is>
          <t>Credited as Ram Lal, Seema's father, belonging to the childhood neighbourhood the film's second half returns to.</t>
        </is>
      </c>
      <c r="L248" s="5" t="n"/>
      <c r="M248" s="5" t="inlineStr">
        <is>
          <t>SOURCE-044</t>
        </is>
      </c>
    </row>
    <row r="249" ht="34" customHeight="1">
      <c r="A249" s="15" t="inlineStr">
        <is>
          <t>CAST-243</t>
        </is>
      </c>
      <c r="B249" s="18" t="inlineStr">
        <is>
          <t>FILM-055</t>
        </is>
      </c>
      <c r="C249" s="5" t="inlineStr">
        <is>
          <t>Salaakhen</t>
        </is>
      </c>
      <c r="D249" s="17" t="n">
        <v>1975</v>
      </c>
      <c r="E249" s="5" t="inlineStr">
        <is>
          <t>Shammi Kapoor</t>
        </is>
      </c>
      <c r="F249" s="5" t="inlineStr">
        <is>
          <t>Truck driver</t>
        </is>
      </c>
      <c r="G249" s="5" t="inlineStr">
        <is>
          <t>Cameo</t>
        </is>
      </c>
      <c r="H249" s="5" t="inlineStr">
        <is>
          <t>Minor</t>
        </is>
      </c>
      <c r="I249" s="5" t="inlineStr">
        <is>
          <t>A guest appearance by Kapoor's own elder brother, billed as a cameo.</t>
        </is>
      </c>
      <c r="J249" s="5" t="inlineStr">
        <is>
          <t>No part in it.</t>
        </is>
      </c>
      <c r="K249" s="19" t="inlineStr">
        <is>
          <t>A truck driver, played as a cameo appearance by Shammi Kapoor, the middle of the three Kapoor brothers.</t>
        </is>
      </c>
      <c r="L249" s="5" t="n"/>
      <c r="M249" s="5" t="inlineStr">
        <is>
          <t>SOURCE-044</t>
        </is>
      </c>
    </row>
    <row r="250" ht="94" customHeight="1">
      <c r="A250" s="15" t="inlineStr">
        <is>
          <t>CAST-244</t>
        </is>
      </c>
      <c r="B250" s="18" t="inlineStr">
        <is>
          <t>FILM-056</t>
        </is>
      </c>
      <c r="C250" s="5" t="inlineStr">
        <is>
          <t>Naach Uthe Sansaar</t>
        </is>
      </c>
      <c r="D250" s="17" t="n">
        <v>1976</v>
      </c>
      <c r="E250" s="5" t="inlineStr">
        <is>
          <t>Hema Malini</t>
        </is>
      </c>
      <c r="F250" s="5" t="inlineStr">
        <is>
          <t>Nanki Mehto</t>
        </is>
      </c>
      <c r="G250" s="5" t="inlineStr">
        <is>
          <t>Co-lead</t>
        </is>
      </c>
      <c r="H250" s="5" t="inlineStr">
        <is>
          <t>Major</t>
        </is>
      </c>
      <c r="I250" s="5" t="inlineStr">
        <is>
          <t>The female lead opposite Kapoor's Karmu. The article describes the film as a romance and carries a cast list and a production section, but no plot, so the courtship is undocumented.</t>
        </is>
      </c>
      <c r="J250" s="5" t="inlineStr">
        <is>
          <t>The romance the article's genre description implies and never narrates, which is why no Romances row was created for the film.</t>
        </is>
      </c>
      <c r="K250" s="19" t="inlineStr">
        <is>
          <t>Credited as Nanki Mehto, of the Mehto family the cast list builds out with a mother, a Vaidraj and a Jaggu. The article gives no synopsis.</t>
        </is>
      </c>
      <c r="L250" s="5" t="n"/>
      <c r="M250" s="5" t="inlineStr">
        <is>
          <t>SOURCE-048</t>
        </is>
      </c>
    </row>
    <row r="251" ht="49" customHeight="1">
      <c r="A251" s="15" t="inlineStr">
        <is>
          <t>CAST-245</t>
        </is>
      </c>
      <c r="B251" s="18" t="inlineStr">
        <is>
          <t>FILM-056</t>
        </is>
      </c>
      <c r="C251" s="5" t="inlineStr">
        <is>
          <t>Naach Uthe Sansaar</t>
        </is>
      </c>
      <c r="D251" s="17" t="n">
        <v>1976</v>
      </c>
      <c r="E251" s="5" t="inlineStr">
        <is>
          <t>Simi Garewal</t>
        </is>
      </c>
      <c r="F251" s="5" t="inlineStr">
        <is>
          <t>Somu</t>
        </is>
      </c>
      <c r="G251" s="5" t="inlineStr">
        <is>
          <t>Supporting</t>
        </is>
      </c>
      <c r="H251" s="5" t="inlineStr">
        <is>
          <t>Major</t>
        </is>
      </c>
      <c r="I251" s="5" t="inlineStr">
        <is>
          <t>Third-billed, so a substantial part, but the article carries no plot to place her against Karmu or Nanki.</t>
        </is>
      </c>
      <c r="J251" s="5" t="inlineStr">
        <is>
          <t>Not documented.</t>
        </is>
      </c>
      <c r="K251" s="19" t="inlineStr">
        <is>
          <t>Credited as Somu, third-billed. Whether the part is a second romantic interest or something else cannot be determined from the article.</t>
        </is>
      </c>
      <c r="L251" s="5" t="n"/>
      <c r="M251" s="5" t="inlineStr">
        <is>
          <t>SOURCE-048</t>
        </is>
      </c>
    </row>
    <row r="252" ht="34" customHeight="1">
      <c r="A252" s="15" t="inlineStr">
        <is>
          <t>CAST-246</t>
        </is>
      </c>
      <c r="B252" s="18" t="inlineStr">
        <is>
          <t>FILM-056</t>
        </is>
      </c>
      <c r="C252" s="5" t="inlineStr">
        <is>
          <t>Naach Uthe Sansaar</t>
        </is>
      </c>
      <c r="D252" s="17" t="n">
        <v>1976</v>
      </c>
      <c r="E252" s="5" t="inlineStr">
        <is>
          <t>Aruna Irani</t>
        </is>
      </c>
      <c r="F252" s="5" t="inlineStr">
        <is>
          <t>Nital</t>
        </is>
      </c>
      <c r="G252" s="5" t="inlineStr">
        <is>
          <t>Supporting</t>
        </is>
      </c>
      <c r="H252" s="5" t="inlineStr">
        <is>
          <t>Medium</t>
        </is>
      </c>
      <c r="I252" s="5" t="inlineStr">
        <is>
          <t>Not documented.</t>
        </is>
      </c>
      <c r="J252" s="5" t="inlineStr">
        <is>
          <t>Not documented.</t>
        </is>
      </c>
      <c r="K252" s="19" t="inlineStr">
        <is>
          <t>Credited as Nital, fourth-billed, in a cast list the article supports with no plot section.</t>
        </is>
      </c>
      <c r="L252" s="5" t="n"/>
      <c r="M252" s="5" t="inlineStr">
        <is>
          <t>SOURCE-048</t>
        </is>
      </c>
    </row>
    <row r="253" ht="49" customHeight="1">
      <c r="A253" s="15" t="inlineStr">
        <is>
          <t>CAST-247</t>
        </is>
      </c>
      <c r="B253" s="18" t="inlineStr">
        <is>
          <t>FILM-056</t>
        </is>
      </c>
      <c r="C253" s="5" t="inlineStr">
        <is>
          <t>Naach Uthe Sansaar</t>
        </is>
      </c>
      <c r="D253" s="17" t="n">
        <v>1976</v>
      </c>
      <c r="E253" s="5" t="inlineStr">
        <is>
          <t>Leela Mishra</t>
        </is>
      </c>
      <c r="F253" s="5" t="inlineStr">
        <is>
          <t>Karmu's mother</t>
        </is>
      </c>
      <c r="G253" s="5" t="inlineStr">
        <is>
          <t>Family</t>
        </is>
      </c>
      <c r="H253" s="5" t="inlineStr">
        <is>
          <t>Medium</t>
        </is>
      </c>
      <c r="I253" s="5" t="inlineStr">
        <is>
          <t>His mother, which is the one relation the cast list establishes for Kapoor's character.</t>
        </is>
      </c>
      <c r="J253" s="5" t="inlineStr">
        <is>
          <t>Not documented.</t>
        </is>
      </c>
      <c r="K253" s="19" t="inlineStr">
        <is>
          <t>Credited as Karmu's mother, the only family the cast list gives Kapoor's character in a film with no documented plot.</t>
        </is>
      </c>
      <c r="L253" s="5" t="n"/>
      <c r="M253" s="5" t="inlineStr">
        <is>
          <t>SOURCE-048</t>
        </is>
      </c>
    </row>
    <row r="254" ht="64" customHeight="1">
      <c r="A254" s="15" t="inlineStr">
        <is>
          <t>CAST-248</t>
        </is>
      </c>
      <c r="B254" s="18" t="inlineStr">
        <is>
          <t>FILM-056</t>
        </is>
      </c>
      <c r="C254" s="5" t="inlineStr">
        <is>
          <t>Naach Uthe Sansaar</t>
        </is>
      </c>
      <c r="D254" s="17" t="n">
        <v>1976</v>
      </c>
      <c r="E254" s="5" t="inlineStr">
        <is>
          <t>Roopesh Kumar</t>
        </is>
      </c>
      <c r="F254" s="5" t="inlineStr">
        <is>
          <t>Johny</t>
        </is>
      </c>
      <c r="G254" s="5" t="inlineStr">
        <is>
          <t>Antagonist</t>
        </is>
      </c>
      <c r="H254" s="5" t="inlineStr">
        <is>
          <t>Medium</t>
        </is>
      </c>
      <c r="I254" s="5" t="inlineStr">
        <is>
          <t>Not documented; Roopesh Kumar's parts of the period are usually antagonists, and the article confirms nothing.</t>
        </is>
      </c>
      <c r="J254" s="5" t="inlineStr">
        <is>
          <t>Not documented.</t>
        </is>
      </c>
      <c r="K254" s="19" t="inlineStr">
        <is>
          <t>Credited as Johny. With no plot section the function of the part is unrecorded.</t>
        </is>
      </c>
      <c r="L254" s="5" t="n"/>
      <c r="M254" s="5" t="inlineStr">
        <is>
          <t>SOURCE-048</t>
        </is>
      </c>
    </row>
    <row r="255" ht="79" customHeight="1">
      <c r="A255" s="15" t="inlineStr">
        <is>
          <t>CAST-249</t>
        </is>
      </c>
      <c r="B255" s="18" t="inlineStr">
        <is>
          <t>FILM-057</t>
        </is>
      </c>
      <c r="C255" s="5" t="inlineStr">
        <is>
          <t>Koi Jeeta Koi Haara</t>
        </is>
      </c>
      <c r="D255" s="17" t="n">
        <v>1976</v>
      </c>
      <c r="E255" s="5" t="inlineStr">
        <is>
          <t>Saira Banu</t>
        </is>
      </c>
      <c r="F255" s="5" t="inlineStr">
        <is>
          <t>Sonali</t>
        </is>
      </c>
      <c r="G255" s="5" t="inlineStr">
        <is>
          <t>Co-lead</t>
        </is>
      </c>
      <c r="H255" s="5" t="inlineStr">
        <is>
          <t>Major</t>
        </is>
      </c>
      <c r="I255" s="5" t="inlineStr">
        <is>
          <t>The woman the gang leader unexpectedly loves, who believes him dead and marries another man; the loss is not either party's choice.</t>
        </is>
      </c>
      <c r="J255" s="5" t="inlineStr">
        <is>
          <t>The pairing recorded in the Romances sheet as tragic lovers: a separation caused by a false report of death rather than by any rupture.</t>
        </is>
      </c>
      <c r="K255" s="19" t="inlineStr">
        <is>
          <t>The young woman a notorious gang leader falls in love with, who marries someone else on believing he has been killed, and is still married when he returns for his revenge. The article's cast list gives no character names, so the name comes from the film's summary.</t>
        </is>
      </c>
      <c r="L255" s="5" t="n"/>
      <c r="M255" s="5" t="inlineStr">
        <is>
          <t>SOURCE-049</t>
        </is>
      </c>
    </row>
    <row r="256" ht="49" customHeight="1">
      <c r="A256" s="15" t="inlineStr">
        <is>
          <t>CAST-250</t>
        </is>
      </c>
      <c r="B256" s="18" t="inlineStr">
        <is>
          <t>FILM-057</t>
        </is>
      </c>
      <c r="C256" s="5" t="inlineStr">
        <is>
          <t>Koi Jeeta Koi Haara</t>
        </is>
      </c>
      <c r="D256" s="17" t="n">
        <v>1976</v>
      </c>
      <c r="E256" s="5" t="inlineStr">
        <is>
          <t>Ranjeet</t>
        </is>
      </c>
      <c r="F256" s="5" t="n"/>
      <c r="G256" s="5" t="inlineStr">
        <is>
          <t>Supporting</t>
        </is>
      </c>
      <c r="H256" s="5" t="inlineStr">
        <is>
          <t>Major</t>
        </is>
      </c>
      <c r="I256" s="5" t="inlineStr">
        <is>
          <t>Not documented. The article's cast list carries no character names and its plot is three sentences long.</t>
        </is>
      </c>
      <c r="J256" s="5" t="inlineStr">
        <is>
          <t>Not documented.</t>
        </is>
      </c>
      <c r="K256" s="19" t="inlineStr">
        <is>
          <t>Credited without a character name in a film whose plot summary names only Ajit and Sonali. The enemies who try to kill Ajit are unnamed in the article.</t>
        </is>
      </c>
      <c r="L256" s="5" t="n"/>
      <c r="M256" s="5" t="inlineStr">
        <is>
          <t>SOURCE-049</t>
        </is>
      </c>
    </row>
    <row r="257" ht="34" customHeight="1">
      <c r="A257" s="15" t="inlineStr">
        <is>
          <t>CAST-251</t>
        </is>
      </c>
      <c r="B257" s="18" t="inlineStr">
        <is>
          <t>FILM-057</t>
        </is>
      </c>
      <c r="C257" s="5" t="inlineStr">
        <is>
          <t>Koi Jeeta Koi Haara</t>
        </is>
      </c>
      <c r="D257" s="17" t="n">
        <v>1976</v>
      </c>
      <c r="E257" s="5" t="inlineStr">
        <is>
          <t>Farida Jalal</t>
        </is>
      </c>
      <c r="F257" s="5" t="n"/>
      <c r="G257" s="5" t="inlineStr">
        <is>
          <t>Supporting</t>
        </is>
      </c>
      <c r="H257" s="5" t="inlineStr">
        <is>
          <t>Medium</t>
        </is>
      </c>
      <c r="I257" s="5" t="inlineStr">
        <is>
          <t>Not documented; the article gives no character names.</t>
        </is>
      </c>
      <c r="J257" s="5" t="inlineStr">
        <is>
          <t>Not documented.</t>
        </is>
      </c>
      <c r="K257" s="19" t="inlineStr">
        <is>
          <t>Second-billed after Saira Banu in a cast list without character names, in a film the article covers in three sentences.</t>
        </is>
      </c>
      <c r="L257" s="5" t="n"/>
      <c r="M257" s="5" t="inlineStr">
        <is>
          <t>SOURCE-049</t>
        </is>
      </c>
    </row>
    <row r="258" ht="49" customHeight="1">
      <c r="A258" s="15" t="inlineStr">
        <is>
          <t>CAST-252</t>
        </is>
      </c>
      <c r="B258" s="18" t="inlineStr">
        <is>
          <t>FILM-057</t>
        </is>
      </c>
      <c r="C258" s="5" t="inlineStr">
        <is>
          <t>Koi Jeeta Koi Haara</t>
        </is>
      </c>
      <c r="D258" s="17" t="n">
        <v>1976</v>
      </c>
      <c r="E258" s="5" t="inlineStr">
        <is>
          <t>Narendra Nath</t>
        </is>
      </c>
      <c r="F258" s="5" t="n"/>
      <c r="G258" s="5" t="inlineStr">
        <is>
          <t>Supporting</t>
        </is>
      </c>
      <c r="H258" s="5" t="inlineStr">
        <is>
          <t>Medium</t>
        </is>
      </c>
      <c r="I258" s="5" t="inlineStr">
        <is>
          <t>Not documented.</t>
        </is>
      </c>
      <c r="J258" s="5" t="inlineStr">
        <is>
          <t>Not documented.</t>
        </is>
      </c>
      <c r="K258" s="19" t="inlineStr">
        <is>
          <t>Credited without a character name, alongside Romesh Sharma and Seema Kapoor, in a cast list the article does not map to its short plot.</t>
        </is>
      </c>
      <c r="L258" s="5" t="n"/>
      <c r="M258" s="5" t="inlineStr">
        <is>
          <t>SOURCE-049</t>
        </is>
      </c>
    </row>
    <row r="259" ht="94" customHeight="1">
      <c r="A259" s="15" t="inlineStr">
        <is>
          <t>CAST-253</t>
        </is>
      </c>
      <c r="B259" s="18" t="inlineStr">
        <is>
          <t>FILM-058</t>
        </is>
      </c>
      <c r="C259" s="5" t="inlineStr">
        <is>
          <t>Deewaangee</t>
        </is>
      </c>
      <c r="D259" s="17" t="n">
        <v>1976</v>
      </c>
      <c r="E259" s="5" t="inlineStr">
        <is>
          <t>Zeenat Aman</t>
        </is>
      </c>
      <c r="F259" s="5" t="inlineStr">
        <is>
          <t>Kanchan</t>
        </is>
      </c>
      <c r="G259" s="5" t="inlineStr">
        <is>
          <t>Co-lead</t>
        </is>
      </c>
      <c r="H259" s="5" t="inlineStr">
        <is>
          <t>Major</t>
        </is>
      </c>
      <c r="I259" s="5" t="inlineStr">
        <is>
          <t>The article's one-sentence description sets a woman protecting her family against a man who thinks money is everything, which places her opposite Kapoor's Shekhar; nothing further is documented.</t>
        </is>
      </c>
      <c r="J259" s="5" t="inlineStr">
        <is>
          <t>Not documented, which is why romance presence is left blank for the film and no Romances row was created.</t>
        </is>
      </c>
      <c r="K259" s="19" t="inlineStr">
        <is>
          <t>Credited as Kanchan, and by the article's single line of plot the woman who protects her family after the loss of their property and money.</t>
        </is>
      </c>
      <c r="L259" s="5" t="n"/>
      <c r="M259" s="5" t="inlineStr">
        <is>
          <t>SOURCE-050</t>
        </is>
      </c>
    </row>
    <row r="260" ht="34" customHeight="1">
      <c r="A260" s="15" t="inlineStr">
        <is>
          <t>CAST-254</t>
        </is>
      </c>
      <c r="B260" s="18" t="inlineStr">
        <is>
          <t>FILM-058</t>
        </is>
      </c>
      <c r="C260" s="5" t="inlineStr">
        <is>
          <t>Deewaangee</t>
        </is>
      </c>
      <c r="D260" s="17" t="n">
        <v>1976</v>
      </c>
      <c r="E260" s="5" t="inlineStr">
        <is>
          <t>Ranjeet</t>
        </is>
      </c>
      <c r="F260" s="5" t="inlineStr">
        <is>
          <t>Harry</t>
        </is>
      </c>
      <c r="G260" s="5" t="inlineStr">
        <is>
          <t>Antagonist</t>
        </is>
      </c>
      <c r="H260" s="5" t="inlineStr">
        <is>
          <t>Major</t>
        </is>
      </c>
      <c r="I260" s="5" t="inlineStr">
        <is>
          <t>Not documented beyond the credit.</t>
        </is>
      </c>
      <c r="J260" s="5" t="inlineStr">
        <is>
          <t>Not documented.</t>
        </is>
      </c>
      <c r="K260" s="19" t="inlineStr">
        <is>
          <t>Credited as Harry, second among the supporting cast. The article's plot runs to one sentence.</t>
        </is>
      </c>
      <c r="L260" s="5" t="n"/>
      <c r="M260" s="5" t="inlineStr">
        <is>
          <t>SOURCE-050</t>
        </is>
      </c>
    </row>
    <row r="261" ht="34" customHeight="1">
      <c r="A261" s="15" t="inlineStr">
        <is>
          <t>CAST-255</t>
        </is>
      </c>
      <c r="B261" s="18" t="inlineStr">
        <is>
          <t>FILM-058</t>
        </is>
      </c>
      <c r="C261" s="5" t="inlineStr">
        <is>
          <t>Deewaangee</t>
        </is>
      </c>
      <c r="D261" s="17" t="n">
        <v>1976</v>
      </c>
      <c r="E261" s="5" t="inlineStr">
        <is>
          <t>Madan Puri</t>
        </is>
      </c>
      <c r="F261" s="5" t="inlineStr">
        <is>
          <t>George</t>
        </is>
      </c>
      <c r="G261" s="5" t="inlineStr">
        <is>
          <t>Antagonist</t>
        </is>
      </c>
      <c r="H261" s="5" t="inlineStr">
        <is>
          <t>Medium</t>
        </is>
      </c>
      <c r="I261" s="5" t="inlineStr">
        <is>
          <t>Not documented.</t>
        </is>
      </c>
      <c r="J261" s="5" t="inlineStr">
        <is>
          <t>Not documented.</t>
        </is>
      </c>
      <c r="K261" s="19" t="inlineStr">
        <is>
          <t>Credited as George. With a single line of plot in the article, the part's function is unrecorded.</t>
        </is>
      </c>
      <c r="L261" s="5" t="n"/>
      <c r="M261" s="5" t="inlineStr">
        <is>
          <t>SOURCE-050</t>
        </is>
      </c>
    </row>
    <row r="262" ht="49" customHeight="1">
      <c r="A262" s="15" t="inlineStr">
        <is>
          <t>CAST-256</t>
        </is>
      </c>
      <c r="B262" s="18" t="inlineStr">
        <is>
          <t>FILM-058</t>
        </is>
      </c>
      <c r="C262" s="5" t="inlineStr">
        <is>
          <t>Deewaangee</t>
        </is>
      </c>
      <c r="D262" s="17" t="n">
        <v>1976</v>
      </c>
      <c r="E262" s="5" t="inlineStr">
        <is>
          <t>Helen</t>
        </is>
      </c>
      <c r="F262" s="5" t="inlineStr">
        <is>
          <t>Kitty</t>
        </is>
      </c>
      <c r="G262" s="5" t="inlineStr">
        <is>
          <t>Supporting</t>
        </is>
      </c>
      <c r="H262" s="5" t="inlineStr">
        <is>
          <t>Medium</t>
        </is>
      </c>
      <c r="I262" s="5" t="inlineStr">
        <is>
          <t>Not documented.</t>
        </is>
      </c>
      <c r="J262" s="5" t="inlineStr">
        <is>
          <t>Not documented.</t>
        </is>
      </c>
      <c r="K262" s="19" t="inlineStr">
        <is>
          <t>Credited as Kitty, the kind of part Helen took throughout this period, though the article gives no plot to confirm its function.</t>
        </is>
      </c>
      <c r="L262" s="5" t="n"/>
      <c r="M262" s="5" t="inlineStr">
        <is>
          <t>SOURCE-050</t>
        </is>
      </c>
    </row>
    <row r="263" ht="49" customHeight="1">
      <c r="A263" s="15" t="inlineStr">
        <is>
          <t>CAST-257</t>
        </is>
      </c>
      <c r="B263" s="18" t="inlineStr">
        <is>
          <t>FILM-058</t>
        </is>
      </c>
      <c r="C263" s="5" t="inlineStr">
        <is>
          <t>Deewaangee</t>
        </is>
      </c>
      <c r="D263" s="17" t="n">
        <v>1976</v>
      </c>
      <c r="E263" s="5" t="inlineStr">
        <is>
          <t>Raju Shrestha</t>
        </is>
      </c>
      <c r="F263" s="5" t="inlineStr">
        <is>
          <t>Baabla</t>
        </is>
      </c>
      <c r="G263" s="5" t="inlineStr">
        <is>
          <t>Family</t>
        </is>
      </c>
      <c r="H263" s="5" t="inlineStr">
        <is>
          <t>Medium</t>
        </is>
      </c>
      <c r="I263" s="5" t="inlineStr">
        <is>
          <t>Not documented. A child part in a film whose stated subject is a family losing its property.</t>
        </is>
      </c>
      <c r="J263" s="5" t="inlineStr">
        <is>
          <t>Not documented.</t>
        </is>
      </c>
      <c r="K263" s="19" t="inlineStr">
        <is>
          <t>Credited as Baabla, a child role, in the family the article's one-line synopsis says is dispossessed.</t>
        </is>
      </c>
      <c r="L263" s="5" t="n"/>
      <c r="M263" s="5" t="inlineStr">
        <is>
          <t>SOURCE-050</t>
        </is>
      </c>
    </row>
    <row r="264" ht="79" customHeight="1">
      <c r="A264" s="15" t="inlineStr">
        <is>
          <t>CAST-258</t>
        </is>
      </c>
      <c r="B264" s="18" t="inlineStr">
        <is>
          <t>FILM-059</t>
        </is>
      </c>
      <c r="C264" s="5" t="inlineStr">
        <is>
          <t>Aap Beati</t>
        </is>
      </c>
      <c r="D264" s="17" t="n">
        <v>1976</v>
      </c>
      <c r="E264" s="5" t="inlineStr">
        <is>
          <t>Hema Malini</t>
        </is>
      </c>
      <c r="F264" s="5" t="inlineStr">
        <is>
          <t>Geeta Kapoor</t>
        </is>
      </c>
      <c r="G264" s="5" t="inlineStr">
        <is>
          <t>Co-lead</t>
        </is>
      </c>
      <c r="H264" s="5" t="inlineStr">
        <is>
          <t>Major</t>
        </is>
      </c>
      <c r="I264" s="5" t="inlineStr">
        <is>
          <t>The woman he loves and cannot marry once his father disowns him for refusing a wealthy match; she carries her own family's ruin at the same time.</t>
        </is>
      </c>
      <c r="J264" s="5" t="inlineStr">
        <is>
          <t>The pairing recorded in the Romances sheet as forbidden love: the obstacle is his father's terms, and it holds.</t>
        </is>
      </c>
      <c r="K264" s="19" t="inlineStr">
        <is>
          <t>A daughter who works alongside her father to put her brother through an American education, tells her sister-in-law she has met and loves Ranjeet, and returns from three weeks in Paris to find her mother blinded, her father dead and Ranjeet turned towards crime.</t>
        </is>
      </c>
      <c r="L264" s="5" t="n"/>
      <c r="M264" s="5" t="inlineStr">
        <is>
          <t>SOURCE-051</t>
        </is>
      </c>
    </row>
    <row r="265" ht="64" customHeight="1">
      <c r="A265" s="15" t="inlineStr">
        <is>
          <t>CAST-259</t>
        </is>
      </c>
      <c r="B265" s="18" t="inlineStr">
        <is>
          <t>FILM-059</t>
        </is>
      </c>
      <c r="C265" s="5" t="inlineStr">
        <is>
          <t>Aap Beati</t>
        </is>
      </c>
      <c r="D265" s="17" t="n">
        <v>1976</v>
      </c>
      <c r="E265" s="5" t="inlineStr">
        <is>
          <t>Ashok Kumar</t>
        </is>
      </c>
      <c r="F265" s="5" t="inlineStr">
        <is>
          <t>Kishorilal Kapoor</t>
        </is>
      </c>
      <c r="G265" s="5" t="inlineStr">
        <is>
          <t>Family</t>
        </is>
      </c>
      <c r="H265" s="5" t="inlineStr">
        <is>
          <t>Major</t>
        </is>
      </c>
      <c r="I265" s="5" t="inlineStr">
        <is>
          <t>Geeta's father, on whose family the film's debts fall, and who dies before the marriage can happen.</t>
        </is>
      </c>
      <c r="J265" s="5" t="inlineStr">
        <is>
          <t>The household the romance would join, and whose collapse overtakes it.</t>
        </is>
      </c>
      <c r="K265" s="19" t="inlineStr">
        <is>
          <t>The head of the Kapoor family, who toils with his daughter to educate his son abroad, ends up employed under that son, is abandoned with the loans when the son's wife moves him out, falls ill and dies.</t>
        </is>
      </c>
      <c r="L265" s="5" t="n"/>
      <c r="M265" s="5" t="inlineStr">
        <is>
          <t>SOURCE-051</t>
        </is>
      </c>
    </row>
    <row r="266" ht="79" customHeight="1">
      <c r="A266" s="15" t="inlineStr">
        <is>
          <t>CAST-260</t>
        </is>
      </c>
      <c r="B266" s="18" t="inlineStr">
        <is>
          <t>FILM-059</t>
        </is>
      </c>
      <c r="C266" s="5" t="inlineStr">
        <is>
          <t>Aap Beati</t>
        </is>
      </c>
      <c r="D266" s="17" t="n">
        <v>1976</v>
      </c>
      <c r="E266" s="5" t="inlineStr">
        <is>
          <t>Madan Puri</t>
        </is>
      </c>
      <c r="F266" s="5" t="inlineStr">
        <is>
          <t>Mayadas</t>
        </is>
      </c>
      <c r="G266" s="5" t="inlineStr">
        <is>
          <t>Family</t>
        </is>
      </c>
      <c r="H266" s="5" t="inlineStr">
        <is>
          <t>Major</t>
        </is>
      </c>
      <c r="I266" s="5" t="inlineStr">
        <is>
          <t>His father, who orders him to marry a rich man's daughter and turns him out when he refuses; the whole external opposition to the romance is his.</t>
        </is>
      </c>
      <c r="J266" s="5" t="inlineStr">
        <is>
          <t>The obstacle entire. Disowning Ranjeet is what strands both him and Geeta.</t>
        </is>
      </c>
      <c r="K266" s="19" t="inlineStr">
        <is>
          <t>Ranjeet's father, who requires his son to marry the daughter of a wealthy man and expels him from the house when he will not give up Geeta.</t>
        </is>
      </c>
      <c r="L266" s="5" t="n"/>
      <c r="M266" s="5" t="inlineStr">
        <is>
          <t>SOURCE-051</t>
        </is>
      </c>
    </row>
    <row r="267" ht="34" customHeight="1">
      <c r="A267" s="15" t="inlineStr">
        <is>
          <t>CAST-261</t>
        </is>
      </c>
      <c r="B267" s="18" t="inlineStr">
        <is>
          <t>FILM-059</t>
        </is>
      </c>
      <c r="C267" s="5" t="inlineStr">
        <is>
          <t>Aap Beati</t>
        </is>
      </c>
      <c r="D267" s="17" t="n">
        <v>1976</v>
      </c>
      <c r="E267" s="5" t="inlineStr">
        <is>
          <t>Nirupa Roy</t>
        </is>
      </c>
      <c r="F267" s="5" t="inlineStr">
        <is>
          <t>Laajo Kapoor</t>
        </is>
      </c>
      <c r="G267" s="5" t="inlineStr">
        <is>
          <t>Family</t>
        </is>
      </c>
      <c r="H267" s="5" t="inlineStr">
        <is>
          <t>Major</t>
        </is>
      </c>
      <c r="I267" s="5" t="inlineStr">
        <is>
          <t>Geeta's mother, blinded in a fire while Geeta is abroad.</t>
        </is>
      </c>
      <c r="J267" s="5" t="inlineStr">
        <is>
          <t>Part of the ruin that closes over the couple rather than an actor in it.</t>
        </is>
      </c>
      <c r="K267" s="19" t="inlineStr">
        <is>
          <t>Kishorilal's wife, who loses her sight in a fire during the three weeks her daughter is in Paris.</t>
        </is>
      </c>
      <c r="L267" s="5" t="n"/>
      <c r="M267" s="5" t="inlineStr">
        <is>
          <t>SOURCE-051</t>
        </is>
      </c>
    </row>
    <row r="268" ht="64" customHeight="1">
      <c r="A268" s="15" t="inlineStr">
        <is>
          <t>CAST-262</t>
        </is>
      </c>
      <c r="B268" s="18" t="inlineStr">
        <is>
          <t>FILM-059</t>
        </is>
      </c>
      <c r="C268" s="5" t="inlineStr">
        <is>
          <t>Aap Beati</t>
        </is>
      </c>
      <c r="D268" s="17" t="n">
        <v>1976</v>
      </c>
      <c r="E268" s="5" t="inlineStr">
        <is>
          <t>Sujit Kumar</t>
        </is>
      </c>
      <c r="F268" s="5" t="inlineStr">
        <is>
          <t>Prakash Kapoor</t>
        </is>
      </c>
      <c r="G268" s="5" t="inlineStr">
        <is>
          <t>Family</t>
        </is>
      </c>
      <c r="H268" s="5" t="inlineStr">
        <is>
          <t>Medium</t>
        </is>
      </c>
      <c r="I268" s="5" t="inlineStr">
        <is>
          <t>Geeta's brother, whose abandonment of the family is what leaves her carrying it alone.</t>
        </is>
      </c>
      <c r="J268" s="5" t="inlineStr">
        <is>
          <t>No direct part; his desertion is what makes the marriage impossible from her side.</t>
        </is>
      </c>
      <c r="K268" s="19" t="inlineStr">
        <is>
          <t>The son the family impoverished itself to educate in America, who returns as his own father's boss, marries into money, and is persuaded by his wife to cut the parents and their loans loose.</t>
        </is>
      </c>
      <c r="L268" s="5" t="n"/>
      <c r="M268" s="5" t="inlineStr">
        <is>
          <t>SOURCE-051</t>
        </is>
      </c>
    </row>
    <row r="269" ht="49" customHeight="1">
      <c r="A269" s="15" t="inlineStr">
        <is>
          <t>CAST-263</t>
        </is>
      </c>
      <c r="B269" s="18" t="inlineStr">
        <is>
          <t>FILM-059</t>
        </is>
      </c>
      <c r="C269" s="5" t="inlineStr">
        <is>
          <t>Aap Beati</t>
        </is>
      </c>
      <c r="D269" s="17" t="n">
        <v>1976</v>
      </c>
      <c r="E269" s="5" t="inlineStr">
        <is>
          <t>Aruna Irani</t>
        </is>
      </c>
      <c r="F269" s="5" t="inlineStr">
        <is>
          <t>Reena Kapoor</t>
        </is>
      </c>
      <c r="G269" s="5" t="inlineStr">
        <is>
          <t>Family</t>
        </is>
      </c>
      <c r="H269" s="5" t="inlineStr">
        <is>
          <t>Medium</t>
        </is>
      </c>
      <c r="I269" s="5" t="inlineStr">
        <is>
          <t>Prakash's wife, in whom Geeta first confided about Ranjeet, and the one who engineers the desertion.</t>
        </is>
      </c>
      <c r="J269" s="5" t="inlineStr">
        <is>
          <t>The confidante who becomes the agent of the family's collapse.</t>
        </is>
      </c>
      <c r="K269" s="19" t="inlineStr">
        <is>
          <t>A wealthy woman who marries Prakash, is told Geeta's secret, and then presses her husband to move out and disown his parents and their debts.</t>
        </is>
      </c>
      <c r="L269" s="5" t="n"/>
      <c r="M269" s="5" t="inlineStr">
        <is>
          <t>SOURCE-051</t>
        </is>
      </c>
    </row>
    <row r="270" ht="49" customHeight="1">
      <c r="A270" s="15" t="inlineStr">
        <is>
          <t>CAST-264</t>
        </is>
      </c>
      <c r="B270" s="18" t="inlineStr">
        <is>
          <t>FILM-059</t>
        </is>
      </c>
      <c r="C270" s="5" t="inlineStr">
        <is>
          <t>Aap Beati</t>
        </is>
      </c>
      <c r="D270" s="17" t="n">
        <v>1976</v>
      </c>
      <c r="E270" s="5" t="inlineStr">
        <is>
          <t>Premnath</t>
        </is>
      </c>
      <c r="F270" s="5" t="inlineStr">
        <is>
          <t>Bajrang Bahadur</t>
        </is>
      </c>
      <c r="G270" s="5" t="inlineStr">
        <is>
          <t>Supporting</t>
        </is>
      </c>
      <c r="H270" s="5" t="inlineStr">
        <is>
          <t>Medium</t>
        </is>
      </c>
      <c r="I270" s="5" t="inlineStr">
        <is>
          <t>Credited high in the supporting cast; the article's synopsis does not place him against Ranjeet.</t>
        </is>
      </c>
      <c r="J270" s="5" t="inlineStr">
        <is>
          <t>Not documented.</t>
        </is>
      </c>
      <c r="K270" s="19" t="inlineStr">
        <is>
          <t>Credited as Bajrang Bahadur, fifth-billed. The article's summary follows the Kapoor family and does not describe the part.</t>
        </is>
      </c>
      <c r="L270" s="5" t="n"/>
      <c r="M270" s="5" t="inlineStr">
        <is>
          <t>SOURCE-051</t>
        </is>
      </c>
    </row>
    <row r="271" ht="79" customHeight="1">
      <c r="A271" s="15" t="inlineStr">
        <is>
          <t>CAST-265</t>
        </is>
      </c>
      <c r="B271" s="18" t="inlineStr">
        <is>
          <t>FILM-060</t>
        </is>
      </c>
      <c r="C271" s="5" t="inlineStr">
        <is>
          <t>Kabhi Kabhie</t>
        </is>
      </c>
      <c r="D271" s="17" t="n">
        <v>1976</v>
      </c>
      <c r="E271" s="5" t="inlineStr">
        <is>
          <t>Raakhee</t>
        </is>
      </c>
      <c r="F271" s="5" t="inlineStr">
        <is>
          <t>Pooja Khanna</t>
        </is>
      </c>
      <c r="G271" s="5" t="inlineStr">
        <is>
          <t>Co-lead</t>
        </is>
      </c>
      <c r="H271" s="5" t="inlineStr">
        <is>
          <t>Major</t>
        </is>
      </c>
      <c r="I271" s="5" t="inlineStr">
        <is>
          <t>His wife of twenty years, married to him against her wishes while in love with someone else, and the person whose old attachment he correctly guesses at.</t>
        </is>
      </c>
      <c r="J271" s="5" t="inlineStr">
        <is>
          <t>The pairing recorded in the Romances sheet as an established relationship: a settled marriage containing a romance that belongs to another man.</t>
        </is>
      </c>
      <c r="K271" s="19" t="inlineStr">
        <is>
          <t>A student in Kashmir in love with the poet Amit, married by her parents to the architect Vijay against her wishes, mother of Vicky, and twenty years later a television host who introduces her former lover to her audience as a famous poet.</t>
        </is>
      </c>
      <c r="L271" s="5" t="n"/>
      <c r="M271" s="5" t="inlineStr">
        <is>
          <t>SOURCE-045</t>
        </is>
      </c>
    </row>
    <row r="272" ht="79" customHeight="1">
      <c r="A272" s="15" t="inlineStr">
        <is>
          <t>CAST-266</t>
        </is>
      </c>
      <c r="B272" s="18" t="inlineStr">
        <is>
          <t>FILM-060</t>
        </is>
      </c>
      <c r="C272" s="5" t="inlineStr">
        <is>
          <t>Kabhi Kabhie</t>
        </is>
      </c>
      <c r="D272" s="17" t="n">
        <v>1976</v>
      </c>
      <c r="E272" s="5" t="inlineStr">
        <is>
          <t>Amitabh Bachchan</t>
        </is>
      </c>
      <c r="F272" s="5" t="inlineStr">
        <is>
          <t>Amit Malhotra</t>
        </is>
      </c>
      <c r="G272" s="5" t="inlineStr">
        <is>
          <t>Co-lead</t>
        </is>
      </c>
      <c r="H272" s="5" t="inlineStr">
        <is>
          <t>Major</t>
        </is>
      </c>
      <c r="I272" s="5" t="inlineStr">
        <is>
          <t>The poet whose book Kapoor's Vijay admired enough to give his bride on their wedding night, and whose heartbreak Vijay deduces aloud over a drink.</t>
        </is>
      </c>
      <c r="J272" s="5" t="inlineStr">
        <is>
          <t>The prior claim on Vijay's wife, and the film's other marriage: the two couples' histories are the same history.</t>
        </is>
      </c>
      <c r="K272" s="19" t="inlineStr">
        <is>
          <t>A college poet in Kashmir who loses Pooja to an arranged marriage, gives up poetry and takes over his father's quarry company, marries Anjali, returns to poetry and fame, and is confronted twenty years later by the husband of the woman he lost.</t>
        </is>
      </c>
      <c r="L272" s="5" t="n"/>
      <c r="M272" s="5" t="inlineStr">
        <is>
          <t>SOURCE-045</t>
        </is>
      </c>
    </row>
    <row r="273" ht="64" customHeight="1">
      <c r="A273" s="15" t="inlineStr">
        <is>
          <t>CAST-267</t>
        </is>
      </c>
      <c r="B273" s="18" t="inlineStr">
        <is>
          <t>FILM-060</t>
        </is>
      </c>
      <c r="C273" s="5" t="inlineStr">
        <is>
          <t>Kabhi Kabhie</t>
        </is>
      </c>
      <c r="D273" s="17" t="n">
        <v>1976</v>
      </c>
      <c r="E273" s="5" t="inlineStr">
        <is>
          <t>Rishi Kapoor</t>
        </is>
      </c>
      <c r="F273" s="5" t="inlineStr">
        <is>
          <t>Vikram Khanna</t>
        </is>
      </c>
      <c r="G273" s="5" t="inlineStr">
        <is>
          <t>Family</t>
        </is>
      </c>
      <c r="H273" s="5" t="inlineStr">
        <is>
          <t>Major</t>
        </is>
      </c>
      <c r="I273" s="5" t="inlineStr">
        <is>
          <t>His son, and the second generation whose romance runs against the parents' unfinished one; played by Kapoor's own nephew.</t>
        </is>
      </c>
      <c r="J273" s="5" t="inlineStr">
        <is>
          <t>Carries the younger romance the film sets against the older, with Pinky.</t>
        </is>
      </c>
      <c r="K273" s="19" t="inlineStr">
        <is>
          <t>Vijay and Pooja's grown son, in love with his college friend Pinky, whose engagement is upended when she learns of her adoption and goes looking for her biological mother.</t>
        </is>
      </c>
      <c r="L273" s="5" t="n"/>
      <c r="M273" s="5" t="inlineStr">
        <is>
          <t>SOURCE-045</t>
        </is>
      </c>
    </row>
    <row r="274" ht="64" customHeight="1">
      <c r="A274" s="15" t="inlineStr">
        <is>
          <t>CAST-268</t>
        </is>
      </c>
      <c r="B274" s="18" t="inlineStr">
        <is>
          <t>FILM-060</t>
        </is>
      </c>
      <c r="C274" s="5" t="inlineStr">
        <is>
          <t>Kabhi Kabhie</t>
        </is>
      </c>
      <c r="D274" s="17" t="n">
        <v>1976</v>
      </c>
      <c r="E274" s="5" t="inlineStr">
        <is>
          <t>Neetu Singh</t>
        </is>
      </c>
      <c r="F274" s="5" t="inlineStr">
        <is>
          <t>Pinky Kapoor</t>
        </is>
      </c>
      <c r="G274" s="5" t="inlineStr">
        <is>
          <t>Supporting</t>
        </is>
      </c>
      <c r="H274" s="5" t="inlineStr">
        <is>
          <t>Major</t>
        </is>
      </c>
      <c r="I274" s="5" t="inlineStr">
        <is>
          <t>His son's fiancee and his own doctor's adopted daughter, so the discovery of her parentage runs straight through Vijay's household.</t>
        </is>
      </c>
      <c r="J274" s="5" t="inlineStr">
        <is>
          <t>The younger romance, and the mechanism that brings Anjali's history into the open.</t>
        </is>
      </c>
      <c r="K274" s="19" t="inlineStr">
        <is>
          <t>Adopted daughter of Dr. Kapoor and his wife Shobha, in love with Vicky, who learns the truth of her illegitimate birth, severs ties with her adoptive parents, and traces her mother to Kashmir.</t>
        </is>
      </c>
      <c r="L274" s="5" t="n"/>
      <c r="M274" s="5" t="inlineStr">
        <is>
          <t>SOURCE-045</t>
        </is>
      </c>
    </row>
    <row r="275" ht="49" customHeight="1">
      <c r="A275" s="15" t="inlineStr">
        <is>
          <t>CAST-269</t>
        </is>
      </c>
      <c r="B275" s="18" t="inlineStr">
        <is>
          <t>FILM-060</t>
        </is>
      </c>
      <c r="C275" s="5" t="inlineStr">
        <is>
          <t>Kabhi Kabhie</t>
        </is>
      </c>
      <c r="D275" s="17" t="n">
        <v>1976</v>
      </c>
      <c r="E275" s="5" t="inlineStr">
        <is>
          <t>Waheeda Rehman</t>
        </is>
      </c>
      <c r="F275" s="5" t="inlineStr">
        <is>
          <t>Anjali Malhotra</t>
        </is>
      </c>
      <c r="G275" s="5" t="inlineStr">
        <is>
          <t>Supporting</t>
        </is>
      </c>
      <c r="H275" s="5" t="inlineStr">
        <is>
          <t>Major</t>
        </is>
      </c>
      <c r="I275" s="5" t="inlineStr">
        <is>
          <t>No direct dealings with Vijay; she is the wife on the other side of the film's paired marriages.</t>
        </is>
      </c>
      <c r="J275" s="5" t="inlineStr">
        <is>
          <t>Amit's marriage, and the secret that the younger romance exposes: she is Pinky's biological mother.</t>
        </is>
      </c>
      <c r="K275" s="19" t="inlineStr">
        <is>
          <t>Amit's wife, first-billed in the film, who had borne a daughter out of wedlock and given her up, and whom that daughter finally finds in Kashmir.</t>
        </is>
      </c>
      <c r="L275" s="5" t="n"/>
      <c r="M275" s="5" t="inlineStr">
        <is>
          <t>SOURCE-045</t>
        </is>
      </c>
    </row>
    <row r="276" ht="34" customHeight="1">
      <c r="A276" s="15" t="inlineStr">
        <is>
          <t>CAST-270</t>
        </is>
      </c>
      <c r="B276" s="18" t="inlineStr">
        <is>
          <t>FILM-060</t>
        </is>
      </c>
      <c r="C276" s="5" t="inlineStr">
        <is>
          <t>Kabhi Kabhie</t>
        </is>
      </c>
      <c r="D276" s="17" t="n">
        <v>1976</v>
      </c>
      <c r="E276" s="5" t="inlineStr">
        <is>
          <t>Simi Garewal</t>
        </is>
      </c>
      <c r="F276" s="5" t="inlineStr">
        <is>
          <t>Shobha Kapoor</t>
        </is>
      </c>
      <c r="G276" s="5" t="inlineStr">
        <is>
          <t>Family</t>
        </is>
      </c>
      <c r="H276" s="5" t="inlineStr">
        <is>
          <t>Medium</t>
        </is>
      </c>
      <c r="I276" s="5" t="inlineStr">
        <is>
          <t>Wife of Vijay's doctor, and adoptive mother of his son's fiancee.</t>
        </is>
      </c>
      <c r="J276" s="5" t="inlineStr">
        <is>
          <t>The adoptive claim that Pinky rejects on learning the truth.</t>
        </is>
      </c>
      <c r="K276" s="19" t="inlineStr">
        <is>
          <t>Dr. Kapoor's wife and Pinky's adoptive mother, cut off by the girl when she discovers the circumstances of her birth.</t>
        </is>
      </c>
      <c r="L276" s="5" t="n"/>
      <c r="M276" s="5" t="inlineStr">
        <is>
          <t>SOURCE-045</t>
        </is>
      </c>
    </row>
    <row r="277" ht="64" customHeight="1">
      <c r="A277" s="15" t="inlineStr">
        <is>
          <t>CAST-271</t>
        </is>
      </c>
      <c r="B277" s="18" t="inlineStr">
        <is>
          <t>FILM-060</t>
        </is>
      </c>
      <c r="C277" s="5" t="inlineStr">
        <is>
          <t>Kabhi Kabhie</t>
        </is>
      </c>
      <c r="D277" s="17" t="n">
        <v>1976</v>
      </c>
      <c r="E277" s="5" t="inlineStr">
        <is>
          <t>Parikshit Sahni</t>
        </is>
      </c>
      <c r="F277" s="5" t="inlineStr">
        <is>
          <t>Dr. R. P. Kapoor</t>
        </is>
      </c>
      <c r="G277" s="5" t="inlineStr">
        <is>
          <t>Family</t>
        </is>
      </c>
      <c r="H277" s="5" t="inlineStr">
        <is>
          <t>Medium</t>
        </is>
      </c>
      <c r="I277" s="5" t="inlineStr">
        <is>
          <t>Vijay's own doctor, and the adoptive father of the girl his son wants to marry; the two families are already joined before the romance.</t>
        </is>
      </c>
      <c r="J277" s="5" t="inlineStr">
        <is>
          <t>The adoptive father whose secret the younger couple's marriage forces open.</t>
        </is>
      </c>
      <c r="K277" s="19" t="inlineStr">
        <is>
          <t>Vijay's physician and Pinky's adoptive father, whose concealment of her parentage collapses when she learns of it.</t>
        </is>
      </c>
      <c r="L277" s="5" t="n"/>
      <c r="M277" s="5" t="inlineStr">
        <is>
          <t>SOURCE-045</t>
        </is>
      </c>
    </row>
    <row r="278" ht="79" customHeight="1">
      <c r="A278" s="15" t="inlineStr">
        <is>
          <t>CAST-277</t>
        </is>
      </c>
      <c r="B278" s="18" t="inlineStr">
        <is>
          <t>FILM-061</t>
        </is>
      </c>
      <c r="C278" s="5" t="inlineStr">
        <is>
          <t>Shankar Dada</t>
        </is>
      </c>
      <c r="D278" s="17" t="n">
        <v>1976</v>
      </c>
      <c r="E278" s="5" t="inlineStr">
        <is>
          <t>Neetu Singh</t>
        </is>
      </c>
      <c r="F278" s="5" t="inlineStr">
        <is>
          <t>Roopa Verma</t>
        </is>
      </c>
      <c r="G278" s="5" t="inlineStr">
        <is>
          <t>Co-lead</t>
        </is>
      </c>
      <c r="H278" s="5" t="inlineStr">
        <is>
          <t>Major</t>
        </is>
      </c>
      <c r="I278" s="5" t="inlineStr">
        <is>
          <t>The principal female part opposite Kapoor's double role. The article has no plot section, so which of his two identities she belongs to is not documented.</t>
        </is>
      </c>
      <c r="J278" s="5" t="inlineStr">
        <is>
          <t>Not documented, which is why romance presence is left blank for the film and no Romances row was created.</t>
        </is>
      </c>
      <c r="K278" s="19" t="inlineStr">
        <is>
          <t>Credited as Roopa Verma, third-billed. The article carries a cast list and no synopsis.</t>
        </is>
      </c>
      <c r="L278" s="5" t="n"/>
      <c r="M278" s="5" t="inlineStr">
        <is>
          <t>SOURCE-046</t>
        </is>
      </c>
    </row>
    <row r="279" ht="49" customHeight="1">
      <c r="A279" s="15" t="inlineStr">
        <is>
          <t>CAST-278</t>
        </is>
      </c>
      <c r="B279" s="18" t="inlineStr">
        <is>
          <t>FILM-061</t>
        </is>
      </c>
      <c r="C279" s="5" t="inlineStr">
        <is>
          <t>Shankar Dada</t>
        </is>
      </c>
      <c r="D279" s="17" t="n">
        <v>1976</v>
      </c>
      <c r="E279" s="5" t="inlineStr">
        <is>
          <t>Ashok Kumar</t>
        </is>
      </c>
      <c r="F279" s="5" t="inlineStr">
        <is>
          <t>Police Superintendent</t>
        </is>
      </c>
      <c r="G279" s="5" t="inlineStr">
        <is>
          <t>Authority figure</t>
        </is>
      </c>
      <c r="H279" s="5" t="inlineStr">
        <is>
          <t>Major</t>
        </is>
      </c>
      <c r="I279" s="5" t="inlineStr">
        <is>
          <t>First-billed, and by his credit the senior officer over Kapoor's Inspector Ram Singh.</t>
        </is>
      </c>
      <c r="J279" s="5" t="inlineStr">
        <is>
          <t>Not documented.</t>
        </is>
      </c>
      <c r="K279" s="19" t="inlineStr">
        <is>
          <t>Credited as the police superintendent, billed ahead of Kapoor in a film whose article gives no plot.</t>
        </is>
      </c>
      <c r="L279" s="5" t="n"/>
      <c r="M279" s="5" t="inlineStr">
        <is>
          <t>SOURCE-046</t>
        </is>
      </c>
    </row>
    <row r="280" ht="64" customHeight="1">
      <c r="A280" s="15" t="inlineStr">
        <is>
          <t>CAST-279</t>
        </is>
      </c>
      <c r="B280" s="18" t="inlineStr">
        <is>
          <t>FILM-061</t>
        </is>
      </c>
      <c r="C280" s="5" t="inlineStr">
        <is>
          <t>Shankar Dada</t>
        </is>
      </c>
      <c r="D280" s="17" t="n">
        <v>1976</v>
      </c>
      <c r="E280" s="5" t="inlineStr">
        <is>
          <t>Pran</t>
        </is>
      </c>
      <c r="F280" s="5" t="inlineStr">
        <is>
          <t>Inspector Amar Singh</t>
        </is>
      </c>
      <c r="G280" s="5" t="inlineStr">
        <is>
          <t>Supporting</t>
        </is>
      </c>
      <c r="H280" s="5" t="inlineStr">
        <is>
          <t>Major</t>
        </is>
      </c>
      <c r="I280" s="5" t="inlineStr">
        <is>
          <t>A second inspector alongside Kapoor's, and sharing the Singh surname that his criminal identity Shankar Singh also carries.</t>
        </is>
      </c>
      <c r="J280" s="5" t="inlineStr">
        <is>
          <t>Not documented.</t>
        </is>
      </c>
      <c r="K280" s="19" t="inlineStr">
        <is>
          <t>Credited as Inspector Amar Singh. With no synopsis in the article, whether the part is an ally or the film's turn cannot be determined.</t>
        </is>
      </c>
      <c r="L280" s="5" t="n"/>
      <c r="M280" s="5" t="inlineStr">
        <is>
          <t>SOURCE-046</t>
        </is>
      </c>
    </row>
    <row r="281" ht="49" customHeight="1">
      <c r="A281" s="15" t="inlineStr">
        <is>
          <t>CAST-280</t>
        </is>
      </c>
      <c r="B281" s="18" t="inlineStr">
        <is>
          <t>FILM-061</t>
        </is>
      </c>
      <c r="C281" s="5" t="inlineStr">
        <is>
          <t>Shankar Dada</t>
        </is>
      </c>
      <c r="D281" s="17" t="n">
        <v>1976</v>
      </c>
      <c r="E281" s="5" t="inlineStr">
        <is>
          <t>Anwar Hussain</t>
        </is>
      </c>
      <c r="F281" s="5" t="inlineStr">
        <is>
          <t>Babu Dada</t>
        </is>
      </c>
      <c r="G281" s="5" t="inlineStr">
        <is>
          <t>Antagonist</t>
        </is>
      </c>
      <c r="H281" s="5" t="inlineStr">
        <is>
          <t>Medium</t>
        </is>
      </c>
      <c r="I281" s="5" t="inlineStr">
        <is>
          <t>Not documented, though the credited name sets a second 'Dada' against Kapoor's Shankar Dada.</t>
        </is>
      </c>
      <c r="J281" s="5" t="inlineStr">
        <is>
          <t>Not documented.</t>
        </is>
      </c>
      <c r="K281" s="19" t="inlineStr">
        <is>
          <t>Credited as Babu Dada, alias Babubhai, in a film titled after Kapoor's own criminal alias.</t>
        </is>
      </c>
      <c r="L281" s="5" t="n"/>
      <c r="M281" s="5" t="inlineStr">
        <is>
          <t>SOURCE-046</t>
        </is>
      </c>
    </row>
    <row r="282" ht="34" customHeight="1">
      <c r="A282" s="15" t="inlineStr">
        <is>
          <t>CAST-281</t>
        </is>
      </c>
      <c r="B282" s="18" t="inlineStr">
        <is>
          <t>FILM-061</t>
        </is>
      </c>
      <c r="C282" s="5" t="inlineStr">
        <is>
          <t>Shankar Dada</t>
        </is>
      </c>
      <c r="D282" s="17" t="n">
        <v>1976</v>
      </c>
      <c r="E282" s="5" t="inlineStr">
        <is>
          <t>Bindu</t>
        </is>
      </c>
      <c r="F282" s="5" t="inlineStr">
        <is>
          <t>Bindiya</t>
        </is>
      </c>
      <c r="G282" s="5" t="inlineStr">
        <is>
          <t>Supporting</t>
        </is>
      </c>
      <c r="H282" s="5" t="inlineStr">
        <is>
          <t>Medium</t>
        </is>
      </c>
      <c r="I282" s="5" t="inlineStr">
        <is>
          <t>Not documented.</t>
        </is>
      </c>
      <c r="J282" s="5" t="inlineStr">
        <is>
          <t>Not documented.</t>
        </is>
      </c>
      <c r="K282" s="19" t="inlineStr">
        <is>
          <t>Credited as Bindiya, fourth-billed. The article has no plot section.</t>
        </is>
      </c>
      <c r="L282" s="5" t="n"/>
      <c r="M282" s="5" t="inlineStr">
        <is>
          <t>SOURCE-046</t>
        </is>
      </c>
    </row>
    <row r="283" ht="64" customHeight="1">
      <c r="A283" s="15" t="inlineStr">
        <is>
          <t>CAST-282</t>
        </is>
      </c>
      <c r="B283" s="18" t="inlineStr">
        <is>
          <t>FILM-061</t>
        </is>
      </c>
      <c r="C283" s="5" t="inlineStr">
        <is>
          <t>Shankar Dada</t>
        </is>
      </c>
      <c r="D283" s="17" t="n">
        <v>1976</v>
      </c>
      <c r="E283" s="5" t="inlineStr">
        <is>
          <t>Anjali Kadam</t>
        </is>
      </c>
      <c r="F283" s="5" t="inlineStr">
        <is>
          <t>Mrs. Shanta Singh</t>
        </is>
      </c>
      <c r="G283" s="5" t="inlineStr">
        <is>
          <t>Family</t>
        </is>
      </c>
      <c r="H283" s="5" t="inlineStr">
        <is>
          <t>Medium</t>
        </is>
      </c>
      <c r="I283" s="5" t="inlineStr">
        <is>
          <t>Shares the Singh surname of both of Kapoor's identities, which suggests a family relation the article does not confirm.</t>
        </is>
      </c>
      <c r="J283" s="5" t="inlineStr">
        <is>
          <t>Not documented.</t>
        </is>
      </c>
      <c r="K283" s="19" t="inlineStr">
        <is>
          <t>Credited as Mrs. Shanta Singh. With no plot section the relation to Ram Singh or Shankar Singh is left unstated rather than inferred.</t>
        </is>
      </c>
      <c r="L283" s="5" t="n"/>
      <c r="M283" s="5" t="inlineStr">
        <is>
          <t>SOURCE-046</t>
        </is>
      </c>
    </row>
    <row r="284" ht="64" customHeight="1">
      <c r="A284" s="15" t="inlineStr">
        <is>
          <t>CAST-283</t>
        </is>
      </c>
      <c r="B284" s="18" t="inlineStr">
        <is>
          <t>FILM-062</t>
        </is>
      </c>
      <c r="C284" s="5" t="inlineStr">
        <is>
          <t>Fakira</t>
        </is>
      </c>
      <c r="D284" s="17" t="n">
        <v>1976</v>
      </c>
      <c r="E284" s="5" t="inlineStr">
        <is>
          <t>Shabana Azmi</t>
        </is>
      </c>
      <c r="F284" s="5" t="inlineStr">
        <is>
          <t>Neeta / Geeta</t>
        </is>
      </c>
      <c r="G284" s="5" t="inlineStr">
        <is>
          <t>Co-lead</t>
        </is>
      </c>
      <c r="H284" s="5" t="inlineStr">
        <is>
          <t>Major</t>
        </is>
      </c>
      <c r="I284" s="5" t="inlineStr">
        <is>
          <t>The policewoman who infiltrates his gang under an assumed name and falls in love with him while deceiving him.</t>
        </is>
      </c>
      <c r="J284" s="5" t="inlineStr">
        <is>
          <t>The pairing recorded in the Romances sheet: the mistrust is structural, since the relationship begins as an undercover operation.</t>
        </is>
      </c>
      <c r="K284" s="19" t="inlineStr">
        <is>
          <t>A policewoman who goes undercover inside the criminal group of the man called Fakira, falls in love with him in the course of it, and is suspected by the woman in the gang who loves him herself.</t>
        </is>
      </c>
      <c r="L284" s="5" t="n"/>
      <c r="M284" s="5" t="inlineStr">
        <is>
          <t>SOURCE-047</t>
        </is>
      </c>
    </row>
    <row r="285" ht="49" customHeight="1">
      <c r="A285" s="15" t="inlineStr">
        <is>
          <t>CAST-284</t>
        </is>
      </c>
      <c r="B285" s="18" t="inlineStr">
        <is>
          <t>FILM-062</t>
        </is>
      </c>
      <c r="C285" s="5" t="inlineStr">
        <is>
          <t>Fakira</t>
        </is>
      </c>
      <c r="D285" s="17" t="n">
        <v>1976</v>
      </c>
      <c r="E285" s="5" t="inlineStr">
        <is>
          <t>Danny Denzongpa</t>
        </is>
      </c>
      <c r="F285" s="5" t="inlineStr">
        <is>
          <t>Ajay / Toofan</t>
        </is>
      </c>
      <c r="G285" s="5" t="inlineStr">
        <is>
          <t>Antagonist</t>
        </is>
      </c>
      <c r="H285" s="5" t="inlineStr">
        <is>
          <t>Major</t>
        </is>
      </c>
      <c r="I285" s="5" t="inlineStr">
        <is>
          <t>His brother, separated in childhood, and his enemy as an adult; neither knows the relation.</t>
        </is>
      </c>
      <c r="J285" s="5" t="inlineStr">
        <is>
          <t>No part in it. The film's engine is the unrecognised brotherhood rather than the romance.</t>
        </is>
      </c>
      <c r="K285" s="19" t="inlineStr">
        <is>
          <t>One of two small brothers orphaned by a fire and harassed apart, grown into a criminal under the name Toofan, at war with the brother he does not know he has.</t>
        </is>
      </c>
      <c r="L285" s="5" t="n"/>
      <c r="M285" s="5" t="inlineStr">
        <is>
          <t>SOURCE-047</t>
        </is>
      </c>
    </row>
    <row r="286" ht="64" customHeight="1">
      <c r="A286" s="15" t="inlineStr">
        <is>
          <t>CAST-285</t>
        </is>
      </c>
      <c r="B286" s="18" t="inlineStr">
        <is>
          <t>FILM-062</t>
        </is>
      </c>
      <c r="C286" s="5" t="inlineStr">
        <is>
          <t>Fakira</t>
        </is>
      </c>
      <c r="D286" s="17" t="n">
        <v>1976</v>
      </c>
      <c r="E286" s="5" t="inlineStr">
        <is>
          <t>Aruna Irani</t>
        </is>
      </c>
      <c r="F286" s="5" t="inlineStr">
        <is>
          <t>Neelam</t>
        </is>
      </c>
      <c r="G286" s="5" t="inlineStr">
        <is>
          <t>Romantic rival</t>
        </is>
      </c>
      <c r="H286" s="5" t="inlineStr">
        <is>
          <t>Major</t>
        </is>
      </c>
      <c r="I286" s="5" t="inlineStr">
        <is>
          <t>A member of his gang who loves him, and the one person who does not trust the new arrival.</t>
        </is>
      </c>
      <c r="J286" s="5" t="inlineStr">
        <is>
          <t>The competing claim, and the film's detection mechanism: her jealousy is what makes her suspicious of the undercover policewoman.</t>
        </is>
      </c>
      <c r="K286" s="19" t="inlineStr">
        <is>
          <t>A woman in Fakira's criminal group who is in love with him and distrusts the newcomer precisely because of it.</t>
        </is>
      </c>
      <c r="L286" s="5" t="n"/>
      <c r="M286" s="5" t="inlineStr">
        <is>
          <t>SOURCE-047</t>
        </is>
      </c>
    </row>
    <row r="287" ht="49" customHeight="1">
      <c r="A287" s="15" t="inlineStr">
        <is>
          <t>CAST-286</t>
        </is>
      </c>
      <c r="B287" s="18" t="inlineStr">
        <is>
          <t>FILM-062</t>
        </is>
      </c>
      <c r="C287" s="5" t="inlineStr">
        <is>
          <t>Fakira</t>
        </is>
      </c>
      <c r="D287" s="17" t="n">
        <v>1976</v>
      </c>
      <c r="E287" s="5" t="inlineStr">
        <is>
          <t>Madan Puri</t>
        </is>
      </c>
      <c r="F287" s="5" t="inlineStr">
        <is>
          <t>Chiman Lal</t>
        </is>
      </c>
      <c r="G287" s="5" t="inlineStr">
        <is>
          <t>Antagonist</t>
        </is>
      </c>
      <c r="H287" s="5" t="inlineStr">
        <is>
          <t>Major</t>
        </is>
      </c>
      <c r="I287" s="5" t="inlineStr">
        <is>
          <t>The film's villain, named as such by the article, and distinct from the brother who is merely his enemy.</t>
        </is>
      </c>
      <c r="J287" s="5" t="inlineStr">
        <is>
          <t>No direct part in it.</t>
        </is>
      </c>
      <c r="K287" s="19" t="inlineStr">
        <is>
          <t>The villain of the film, identified as such in the article's own summary of the story.</t>
        </is>
      </c>
      <c r="L287" s="5" t="n"/>
      <c r="M287" s="5" t="inlineStr">
        <is>
          <t>SOURCE-047</t>
        </is>
      </c>
    </row>
    <row r="288" ht="34" customHeight="1">
      <c r="A288" s="15" t="inlineStr">
        <is>
          <t>CAST-287</t>
        </is>
      </c>
      <c r="B288" s="18" t="inlineStr">
        <is>
          <t>FILM-062</t>
        </is>
      </c>
      <c r="C288" s="5" t="inlineStr">
        <is>
          <t>Fakira</t>
        </is>
      </c>
      <c r="D288" s="17" t="n">
        <v>1976</v>
      </c>
      <c r="E288" s="5" t="inlineStr">
        <is>
          <t>Asrani</t>
        </is>
      </c>
      <c r="F288" s="5" t="inlineStr">
        <is>
          <t>Popat</t>
        </is>
      </c>
      <c r="G288" s="5" t="inlineStr">
        <is>
          <t>Comic support</t>
        </is>
      </c>
      <c r="H288" s="5" t="inlineStr">
        <is>
          <t>Medium</t>
        </is>
      </c>
      <c r="I288" s="5" t="inlineStr">
        <is>
          <t>One of his gang, in the comic register.</t>
        </is>
      </c>
      <c r="J288" s="5" t="inlineStr">
        <is>
          <t>Part of the group the undercover officer has to pass among.</t>
        </is>
      </c>
      <c r="K288" s="19" t="inlineStr">
        <is>
          <t>A member of Fakira's criminal group, credited alongside Aruna Irani's Neelam.</t>
        </is>
      </c>
      <c r="L288" s="5" t="n"/>
      <c r="M288" s="5" t="inlineStr">
        <is>
          <t>SOURCE-047</t>
        </is>
      </c>
    </row>
    <row r="289" ht="64" customHeight="1">
      <c r="A289" s="15" t="inlineStr">
        <is>
          <t>CAST-288</t>
        </is>
      </c>
      <c r="B289" s="18" t="inlineStr">
        <is>
          <t>FILM-063</t>
        </is>
      </c>
      <c r="C289" s="5" t="inlineStr">
        <is>
          <t>Hira Aur Patthar</t>
        </is>
      </c>
      <c r="D289" s="17" t="n">
        <v>1977</v>
      </c>
      <c r="E289" s="5" t="inlineStr">
        <is>
          <t>Shabana Azmi</t>
        </is>
      </c>
      <c r="F289" s="5" t="inlineStr">
        <is>
          <t>Gauri</t>
        </is>
      </c>
      <c r="G289" s="5" t="inlineStr">
        <is>
          <t>Co-lead</t>
        </is>
      </c>
      <c r="H289" s="5" t="inlineStr">
        <is>
          <t>Major</t>
        </is>
      </c>
      <c r="I289" s="5" t="inlineStr">
        <is>
          <t>The principal female part opposite Kapoor's Shankar. The film article has no plot section, so the relation is not documented.</t>
        </is>
      </c>
      <c r="J289" s="5" t="inlineStr">
        <is>
          <t>Not documented, which is why romance presence is left blank for the film and no Romances row was created.</t>
        </is>
      </c>
      <c r="K289" s="19" t="inlineStr">
        <is>
          <t>Credited as Gauri, second-billed. The article gives a cast list and no synopsis.</t>
        </is>
      </c>
      <c r="L289" s="5" t="n"/>
      <c r="M289" s="5" t="inlineStr">
        <is>
          <t>SOURCE-053</t>
        </is>
      </c>
    </row>
    <row r="290" ht="34" customHeight="1">
      <c r="A290" s="15" t="inlineStr">
        <is>
          <t>CAST-289</t>
        </is>
      </c>
      <c r="B290" s="18" t="inlineStr">
        <is>
          <t>FILM-063</t>
        </is>
      </c>
      <c r="C290" s="5" t="inlineStr">
        <is>
          <t>Hira Aur Patthar</t>
        </is>
      </c>
      <c r="D290" s="17" t="n">
        <v>1977</v>
      </c>
      <c r="E290" s="5" t="inlineStr">
        <is>
          <t>Ashok Kumar</t>
        </is>
      </c>
      <c r="F290" s="5" t="inlineStr">
        <is>
          <t>Dr. Anand</t>
        </is>
      </c>
      <c r="G290" s="5" t="inlineStr">
        <is>
          <t>Supporting</t>
        </is>
      </c>
      <c r="H290" s="5" t="inlineStr">
        <is>
          <t>Major</t>
        </is>
      </c>
      <c r="I290" s="5" t="inlineStr">
        <is>
          <t>Not documented beyond the credit.</t>
        </is>
      </c>
      <c r="J290" s="5" t="inlineStr">
        <is>
          <t>Not documented.</t>
        </is>
      </c>
      <c r="K290" s="19" t="inlineStr">
        <is>
          <t>Credited as Dr. Anand. With no plot section the function of the part is unrecorded.</t>
        </is>
      </c>
      <c r="L290" s="5" t="n"/>
      <c r="M290" s="5" t="inlineStr">
        <is>
          <t>SOURCE-053</t>
        </is>
      </c>
    </row>
    <row r="291" ht="49" customHeight="1">
      <c r="A291" s="15" t="inlineStr">
        <is>
          <t>CAST-290</t>
        </is>
      </c>
      <c r="B291" s="18" t="inlineStr">
        <is>
          <t>FILM-063</t>
        </is>
      </c>
      <c r="C291" s="5" t="inlineStr">
        <is>
          <t>Hira Aur Patthar</t>
        </is>
      </c>
      <c r="D291" s="17" t="n">
        <v>1977</v>
      </c>
      <c r="E291" s="5" t="inlineStr">
        <is>
          <t>Bindu</t>
        </is>
      </c>
      <c r="F291" s="5" t="inlineStr">
        <is>
          <t>Roopa Bai</t>
        </is>
      </c>
      <c r="G291" s="5" t="inlineStr">
        <is>
          <t>Supporting</t>
        </is>
      </c>
      <c r="H291" s="5" t="inlineStr">
        <is>
          <t>Medium</t>
        </is>
      </c>
      <c r="I291" s="5" t="inlineStr">
        <is>
          <t>Not documented.</t>
        </is>
      </c>
      <c r="J291" s="5" t="inlineStr">
        <is>
          <t>Not documented.</t>
        </is>
      </c>
      <c r="K291" s="19" t="inlineStr">
        <is>
          <t>Credited as Roopa Bai, a name of the kind the period gives to courtesan parts, though the article gives no plot to confirm it.</t>
        </is>
      </c>
      <c r="L291" s="5" t="n"/>
      <c r="M291" s="5" t="inlineStr">
        <is>
          <t>SOURCE-053</t>
        </is>
      </c>
    </row>
    <row r="292" ht="49" customHeight="1">
      <c r="A292" s="15" t="inlineStr">
        <is>
          <t>CAST-291</t>
        </is>
      </c>
      <c r="B292" s="18" t="inlineStr">
        <is>
          <t>FILM-063</t>
        </is>
      </c>
      <c r="C292" s="5" t="inlineStr">
        <is>
          <t>Hira Aur Patthar</t>
        </is>
      </c>
      <c r="D292" s="17" t="n">
        <v>1977</v>
      </c>
      <c r="E292" s="5" t="inlineStr">
        <is>
          <t>Bharat Bhushan</t>
        </is>
      </c>
      <c r="F292" s="5" t="inlineStr">
        <is>
          <t>Tulsiram</t>
        </is>
      </c>
      <c r="G292" s="5" t="inlineStr">
        <is>
          <t>Supporting</t>
        </is>
      </c>
      <c r="H292" s="5" t="inlineStr">
        <is>
          <t>Medium</t>
        </is>
      </c>
      <c r="I292" s="5" t="inlineStr">
        <is>
          <t>Not documented.</t>
        </is>
      </c>
      <c r="J292" s="5" t="inlineStr">
        <is>
          <t>Not documented.</t>
        </is>
      </c>
      <c r="K292" s="19" t="inlineStr">
        <is>
          <t>Credited as Tulsiram, two decades after he and Kapoor appeared together in Daana Paani, where Kapoor was the child actor.</t>
        </is>
      </c>
      <c r="L292" s="5" t="n"/>
      <c r="M292" s="5" t="inlineStr">
        <is>
          <t>SOURCE-053</t>
        </is>
      </c>
    </row>
    <row r="293" ht="49" customHeight="1">
      <c r="A293" s="15" t="inlineStr">
        <is>
          <t>CAST-292</t>
        </is>
      </c>
      <c r="B293" s="18" t="inlineStr">
        <is>
          <t>FILM-063</t>
        </is>
      </c>
      <c r="C293" s="5" t="inlineStr">
        <is>
          <t>Hira Aur Patthar</t>
        </is>
      </c>
      <c r="D293" s="17" t="n">
        <v>1977</v>
      </c>
      <c r="E293" s="5" t="inlineStr">
        <is>
          <t>Asit Sen</t>
        </is>
      </c>
      <c r="F293" s="5" t="inlineStr">
        <is>
          <t>Chanda's father</t>
        </is>
      </c>
      <c r="G293" s="5" t="inlineStr">
        <is>
          <t>Family</t>
        </is>
      </c>
      <c r="H293" s="5" t="inlineStr">
        <is>
          <t>Medium</t>
        </is>
      </c>
      <c r="I293" s="5" t="inlineStr">
        <is>
          <t>Not documented. The credit implies a character named Chanda whom the cast list does not itself include.</t>
        </is>
      </c>
      <c r="J293" s="5" t="inlineStr">
        <is>
          <t>Not documented.</t>
        </is>
      </c>
      <c r="K293" s="19" t="inlineStr">
        <is>
          <t>Credited as Chanda's father, a relation to a character the cast list does not otherwise name, in a film whose article has no synopsis.</t>
        </is>
      </c>
      <c r="L293" s="5" t="n"/>
      <c r="M293" s="5" t="inlineStr">
        <is>
          <t>SOURCE-053</t>
        </is>
      </c>
    </row>
    <row r="294" ht="34" customHeight="1">
      <c r="A294" s="15" t="inlineStr">
        <is>
          <t>CAST-293</t>
        </is>
      </c>
      <c r="B294" s="18" t="inlineStr">
        <is>
          <t>FILM-063</t>
        </is>
      </c>
      <c r="C294" s="5" t="inlineStr">
        <is>
          <t>Hira Aur Patthar</t>
        </is>
      </c>
      <c r="D294" s="17" t="n">
        <v>1977</v>
      </c>
      <c r="E294" s="5" t="inlineStr">
        <is>
          <t>Asrani</t>
        </is>
      </c>
      <c r="F294" s="5" t="inlineStr">
        <is>
          <t>Tota</t>
        </is>
      </c>
      <c r="G294" s="5" t="inlineStr">
        <is>
          <t>Comic support</t>
        </is>
      </c>
      <c r="H294" s="5" t="inlineStr">
        <is>
          <t>Medium</t>
        </is>
      </c>
      <c r="I294" s="5" t="inlineStr">
        <is>
          <t>Not documented.</t>
        </is>
      </c>
      <c r="J294" s="5" t="inlineStr">
        <is>
          <t>Not documented.</t>
        </is>
      </c>
      <c r="K294" s="19" t="inlineStr">
        <is>
          <t>Credited as Tota, in the comic register Asrani occupied throughout the period.</t>
        </is>
      </c>
      <c r="L294" s="5" t="n"/>
      <c r="M294" s="5" t="inlineStr">
        <is>
          <t>SOURCE-053</t>
        </is>
      </c>
    </row>
    <row r="295" ht="64" customHeight="1">
      <c r="A295" s="15" t="inlineStr">
        <is>
          <t>CAST-294</t>
        </is>
      </c>
      <c r="B295" s="18" t="inlineStr">
        <is>
          <t>FILM-064</t>
        </is>
      </c>
      <c r="C295" s="5" t="inlineStr">
        <is>
          <t>Farishta Ya Qatil</t>
        </is>
      </c>
      <c r="D295" s="17" t="n">
        <v>1977</v>
      </c>
      <c r="E295" s="5" t="inlineStr">
        <is>
          <t>Rekha</t>
        </is>
      </c>
      <c r="F295" s="5" t="n"/>
      <c r="G295" s="5" t="inlineStr">
        <is>
          <t>Co-lead</t>
        </is>
      </c>
      <c r="H295" s="5" t="inlineStr">
        <is>
          <t>Major</t>
        </is>
      </c>
      <c r="I295" s="5" t="inlineStr">
        <is>
          <t>Billed second to Kapoor, so the principal female part, but the article gives neither character names nor a plot.</t>
        </is>
      </c>
      <c r="J295" s="5" t="inlineStr">
        <is>
          <t>Not documented. Romance presence is left blank for the film and no Romances row was created.</t>
        </is>
      </c>
      <c r="K295" s="19" t="inlineStr">
        <is>
          <t>Second-billed, without a character name. The article carries a cast list and no synopsis, so nothing of the part is recorded.</t>
        </is>
      </c>
      <c r="L295" s="5" t="n"/>
      <c r="M295" s="5" t="inlineStr">
        <is>
          <t>SOURCE-056</t>
        </is>
      </c>
    </row>
    <row r="296" ht="49" customHeight="1">
      <c r="A296" s="15" t="inlineStr">
        <is>
          <t>CAST-295</t>
        </is>
      </c>
      <c r="B296" s="18" t="inlineStr">
        <is>
          <t>FILM-064</t>
        </is>
      </c>
      <c r="C296" s="5" t="inlineStr">
        <is>
          <t>Farishta Ya Qatil</t>
        </is>
      </c>
      <c r="D296" s="17" t="n">
        <v>1977</v>
      </c>
      <c r="E296" s="5" t="inlineStr">
        <is>
          <t>Prem Nath</t>
        </is>
      </c>
      <c r="F296" s="5" t="n"/>
      <c r="G296" s="5" t="inlineStr">
        <is>
          <t>Supporting</t>
        </is>
      </c>
      <c r="H296" s="5" t="inlineStr">
        <is>
          <t>Medium</t>
        </is>
      </c>
      <c r="I296" s="5" t="inlineStr">
        <is>
          <t>Not documented; the article gives no character names.</t>
        </is>
      </c>
      <c r="J296" s="5" t="inlineStr">
        <is>
          <t>Not documented.</t>
        </is>
      </c>
      <c r="K296" s="19" t="inlineStr">
        <is>
          <t>Credited without a character name in a cast list the article supports with no plot section. The title translates as 'angel or murderer', which the article does not explain.</t>
        </is>
      </c>
      <c r="L296" s="5" t="n"/>
      <c r="M296" s="5" t="inlineStr">
        <is>
          <t>SOURCE-056</t>
        </is>
      </c>
    </row>
    <row r="297" ht="34" customHeight="1">
      <c r="A297" s="15" t="inlineStr">
        <is>
          <t>CAST-296</t>
        </is>
      </c>
      <c r="B297" s="18" t="inlineStr">
        <is>
          <t>FILM-064</t>
        </is>
      </c>
      <c r="C297" s="5" t="inlineStr">
        <is>
          <t>Farishta Ya Qatil</t>
        </is>
      </c>
      <c r="D297" s="17" t="n">
        <v>1977</v>
      </c>
      <c r="E297" s="5" t="inlineStr">
        <is>
          <t>Utpal Dutt</t>
        </is>
      </c>
      <c r="F297" s="5" t="n"/>
      <c r="G297" s="5" t="inlineStr">
        <is>
          <t>Supporting</t>
        </is>
      </c>
      <c r="H297" s="5" t="inlineStr">
        <is>
          <t>Medium</t>
        </is>
      </c>
      <c r="I297" s="5" t="inlineStr">
        <is>
          <t>Not documented.</t>
        </is>
      </c>
      <c r="J297" s="5" t="inlineStr">
        <is>
          <t>Not documented.</t>
        </is>
      </c>
      <c r="K297" s="19" t="inlineStr">
        <is>
          <t>Credited without a character name, alongside Om Shivpuri and Yunus Parvez, in a film the article does not summarise.</t>
        </is>
      </c>
      <c r="L297" s="5" t="n"/>
      <c r="M297" s="5" t="inlineStr">
        <is>
          <t>SOURCE-056</t>
        </is>
      </c>
    </row>
    <row r="298" ht="34" customHeight="1">
      <c r="A298" s="15" t="inlineStr">
        <is>
          <t>CAST-297</t>
        </is>
      </c>
      <c r="B298" s="18" t="inlineStr">
        <is>
          <t>FILM-064</t>
        </is>
      </c>
      <c r="C298" s="5" t="inlineStr">
        <is>
          <t>Farishta Ya Qatil</t>
        </is>
      </c>
      <c r="D298" s="17" t="n">
        <v>1977</v>
      </c>
      <c r="E298" s="5" t="inlineStr">
        <is>
          <t>Bindu</t>
        </is>
      </c>
      <c r="F298" s="5" t="n"/>
      <c r="G298" s="5" t="inlineStr">
        <is>
          <t>Supporting</t>
        </is>
      </c>
      <c r="H298" s="5" t="inlineStr">
        <is>
          <t>Medium</t>
        </is>
      </c>
      <c r="I298" s="5" t="inlineStr">
        <is>
          <t>Not documented.</t>
        </is>
      </c>
      <c r="J298" s="5" t="inlineStr">
        <is>
          <t>Not documented.</t>
        </is>
      </c>
      <c r="K298" s="19" t="inlineStr">
        <is>
          <t>Credited without a character name. The article has no plot section and no character mappings.</t>
        </is>
      </c>
      <c r="L298" s="5" t="n"/>
      <c r="M298" s="5" t="inlineStr">
        <is>
          <t>SOURCE-056</t>
        </is>
      </c>
    </row>
    <row r="299" ht="49" customHeight="1">
      <c r="A299" s="15" t="inlineStr">
        <is>
          <t>CAST-298</t>
        </is>
      </c>
      <c r="B299" s="18" t="inlineStr">
        <is>
          <t>FILM-064</t>
        </is>
      </c>
      <c r="C299" s="5" t="inlineStr">
        <is>
          <t>Farishta Ya Qatil</t>
        </is>
      </c>
      <c r="D299" s="17" t="n">
        <v>1977</v>
      </c>
      <c r="E299" s="5" t="inlineStr">
        <is>
          <t>Johnny Walker</t>
        </is>
      </c>
      <c r="F299" s="5" t="n"/>
      <c r="G299" s="5" t="inlineStr">
        <is>
          <t>Comic support</t>
        </is>
      </c>
      <c r="H299" s="5" t="inlineStr">
        <is>
          <t>Medium</t>
        </is>
      </c>
      <c r="I299" s="5" t="inlineStr">
        <is>
          <t>Not documented.</t>
        </is>
      </c>
      <c r="J299" s="5" t="inlineStr">
        <is>
          <t>Not documented.</t>
        </is>
      </c>
      <c r="K299" s="19" t="inlineStr">
        <is>
          <t>Credited without a character name, in the comic register he occupied throughout his career; the article confirms nothing further.</t>
        </is>
      </c>
      <c r="L299" s="5" t="n"/>
      <c r="M299" s="5" t="inlineStr">
        <is>
          <t>SOURCE-056</t>
        </is>
      </c>
    </row>
    <row r="300" ht="79" customHeight="1">
      <c r="A300" s="15" t="inlineStr">
        <is>
          <t>CAST-299</t>
        </is>
      </c>
      <c r="B300" s="18" t="inlineStr">
        <is>
          <t>FILM-065</t>
        </is>
      </c>
      <c r="C300" s="5" t="inlineStr">
        <is>
          <t>Chor Sipahee</t>
        </is>
      </c>
      <c r="D300" s="17" t="n">
        <v>1977</v>
      </c>
      <c r="E300" s="5" t="inlineStr">
        <is>
          <t>Vinod Khanna</t>
        </is>
      </c>
      <c r="F300" s="5" t="inlineStr">
        <is>
          <t>Raja Khanna / Raja Dada</t>
        </is>
      </c>
      <c r="G300" s="5" t="inlineStr">
        <is>
          <t>Co-lead</t>
        </is>
      </c>
      <c r="H300" s="5" t="inlineStr">
        <is>
          <t>Major</t>
        </is>
      </c>
      <c r="I300" s="5" t="inlineStr">
        <is>
          <t>The criminal Shankar tries to reform, fails to save, destroys evidence for, and then asks to be taken on as a partner; the film is the inversion of their positions.</t>
        </is>
      </c>
      <c r="J300" s="5" t="inlineStr">
        <is>
          <t>Outside the romance. The article's plot is entirely about the two men.</t>
        </is>
      </c>
      <c r="K300" s="19" t="inlineStr">
        <is>
          <t>A petty criminal whom a reformist inspector tries to turn straight, arrested for the murder of a police informer, and grown by the time Shankar leaves jail into a partner of international smuggling gangs with no particular use for him.</t>
        </is>
      </c>
      <c r="L300" s="5" t="n"/>
      <c r="M300" s="5" t="inlineStr">
        <is>
          <t>SOURCE-057</t>
        </is>
      </c>
    </row>
    <row r="301" ht="64" customHeight="1">
      <c r="A301" s="15" t="inlineStr">
        <is>
          <t>CAST-300</t>
        </is>
      </c>
      <c r="B301" s="18" t="inlineStr">
        <is>
          <t>FILM-065</t>
        </is>
      </c>
      <c r="C301" s="5" t="inlineStr">
        <is>
          <t>Chor Sipahee</t>
        </is>
      </c>
      <c r="D301" s="17" t="n">
        <v>1977</v>
      </c>
      <c r="E301" s="5" t="inlineStr">
        <is>
          <t>Parveen Babi</t>
        </is>
      </c>
      <c r="F301" s="5" t="inlineStr">
        <is>
          <t>Bharti Khanna</t>
        </is>
      </c>
      <c r="G301" s="5" t="inlineStr">
        <is>
          <t>Supporting</t>
        </is>
      </c>
      <c r="H301" s="5" t="inlineStr">
        <is>
          <t>Major</t>
        </is>
      </c>
      <c r="I301" s="5" t="inlineStr">
        <is>
          <t>Raja's unmarried sister, and part of the family whose condition persuades Shankar he must do more for the man than arrest him.</t>
        </is>
      </c>
      <c r="J301" s="5" t="inlineStr">
        <is>
          <t>Not documented. The article's plot describes the family as a reason for Shankar's intervention without giving him a romance.</t>
        </is>
      </c>
      <c r="K301" s="19" t="inlineStr">
        <is>
          <t>Raja's unmarried sister, who with their elderly and ailing mother makes up the household that moves the inspector to break the law on her brother's behalf.</t>
        </is>
      </c>
      <c r="L301" s="5" t="n"/>
      <c r="M301" s="5" t="inlineStr">
        <is>
          <t>SOURCE-057</t>
        </is>
      </c>
    </row>
    <row r="302" ht="64" customHeight="1">
      <c r="A302" s="15" t="inlineStr">
        <is>
          <t>CAST-301</t>
        </is>
      </c>
      <c r="B302" s="18" t="inlineStr">
        <is>
          <t>FILM-065</t>
        </is>
      </c>
      <c r="C302" s="5" t="inlineStr">
        <is>
          <t>Chor Sipahee</t>
        </is>
      </c>
      <c r="D302" s="17" t="n">
        <v>1977</v>
      </c>
      <c r="E302" s="5" t="inlineStr">
        <is>
          <t>Shabana Azmi</t>
        </is>
      </c>
      <c r="F302" s="5" t="inlineStr">
        <is>
          <t>Priya</t>
        </is>
      </c>
      <c r="G302" s="5" t="inlineStr">
        <is>
          <t>Supporting</t>
        </is>
      </c>
      <c r="H302" s="5" t="inlineStr">
        <is>
          <t>Major</t>
        </is>
      </c>
      <c r="I302" s="5" t="inlineStr">
        <is>
          <t>Fourth-billed, and credited with Krishan Dhawan as her father, but the article's plot summary does not place her against Shankar.</t>
        </is>
      </c>
      <c r="J302" s="5" t="inlineStr">
        <is>
          <t>Not documented, which is part of why romance presence is left blank for the film.</t>
        </is>
      </c>
      <c r="K302" s="19" t="inlineStr">
        <is>
          <t>Credited as Priya, with a father of her own in the cast list. The article's synopsis follows only the inspector and the criminal, so her part is undocumented.</t>
        </is>
      </c>
      <c r="L302" s="5" t="n"/>
      <c r="M302" s="5" t="inlineStr">
        <is>
          <t>SOURCE-057</t>
        </is>
      </c>
    </row>
    <row r="303" ht="64" customHeight="1">
      <c r="A303" s="15" t="inlineStr">
        <is>
          <t>CAST-302</t>
        </is>
      </c>
      <c r="B303" s="18" t="inlineStr">
        <is>
          <t>FILM-065</t>
        </is>
      </c>
      <c r="C303" s="5" t="inlineStr">
        <is>
          <t>Chor Sipahee</t>
        </is>
      </c>
      <c r="D303" s="17" t="n">
        <v>1977</v>
      </c>
      <c r="E303" s="5" t="inlineStr">
        <is>
          <t>Durga Khote</t>
        </is>
      </c>
      <c r="F303" s="5" t="inlineStr">
        <is>
          <t>Mrs. Khanna</t>
        </is>
      </c>
      <c r="G303" s="5" t="inlineStr">
        <is>
          <t>Family</t>
        </is>
      </c>
      <c r="H303" s="5" t="inlineStr">
        <is>
          <t>Major</t>
        </is>
      </c>
      <c r="I303" s="5" t="inlineStr">
        <is>
          <t>Raja's elderly and ailing mother, and the other half of the family that turns Shankar from policeman into accomplice.</t>
        </is>
      </c>
      <c r="J303" s="5" t="inlineStr">
        <is>
          <t>No part in it.</t>
        </is>
      </c>
      <c r="K303" s="19" t="inlineStr">
        <is>
          <t>Raja and Bharti's mother, elderly and ill, whose condition is what makes the inspector decide he must do something more than enforce the law.</t>
        </is>
      </c>
      <c r="L303" s="5" t="n"/>
      <c r="M303" s="5" t="inlineStr">
        <is>
          <t>SOURCE-057</t>
        </is>
      </c>
    </row>
    <row r="304" ht="49" customHeight="1">
      <c r="A304" s="15" t="inlineStr">
        <is>
          <t>CAST-303</t>
        </is>
      </c>
      <c r="B304" s="18" t="inlineStr">
        <is>
          <t>FILM-065</t>
        </is>
      </c>
      <c r="C304" s="5" t="inlineStr">
        <is>
          <t>Chor Sipahee</t>
        </is>
      </c>
      <c r="D304" s="17" t="n">
        <v>1977</v>
      </c>
      <c r="E304" s="5" t="inlineStr">
        <is>
          <t>Mac Mohan</t>
        </is>
      </c>
      <c r="F304" s="5" t="inlineStr">
        <is>
          <t>Bichoo</t>
        </is>
      </c>
      <c r="G304" s="5" t="inlineStr">
        <is>
          <t>Supporting</t>
        </is>
      </c>
      <c r="H304" s="5" t="inlineStr">
        <is>
          <t>Medium</t>
        </is>
      </c>
      <c r="I304" s="5" t="inlineStr">
        <is>
          <t>The police informer whose murder Shankar covers up, which costs him his job, his liberty and his standing.</t>
        </is>
      </c>
      <c r="J304" s="5" t="inlineStr">
        <is>
          <t>No part in it.</t>
        </is>
      </c>
      <c r="K304" s="19" t="inlineStr">
        <is>
          <t>A police informer murdered in the course of the film, the crime for which Raja is arrested and whose evidence Shankar destroys.</t>
        </is>
      </c>
      <c r="L304" s="5" t="n"/>
      <c r="M304" s="5" t="inlineStr">
        <is>
          <t>SOURCE-057</t>
        </is>
      </c>
    </row>
    <row r="305" ht="49" customHeight="1">
      <c r="A305" s="15" t="inlineStr">
        <is>
          <t>CAST-304</t>
        </is>
      </c>
      <c r="B305" s="18" t="inlineStr">
        <is>
          <t>FILM-065</t>
        </is>
      </c>
      <c r="C305" s="5" t="inlineStr">
        <is>
          <t>Chor Sipahee</t>
        </is>
      </c>
      <c r="D305" s="17" t="n">
        <v>1977</v>
      </c>
      <c r="E305" s="5" t="inlineStr">
        <is>
          <t>Om Shivpuri</t>
        </is>
      </c>
      <c r="F305" s="5" t="inlineStr">
        <is>
          <t>Police Commissioner</t>
        </is>
      </c>
      <c r="G305" s="5" t="inlineStr">
        <is>
          <t>Authority figure</t>
        </is>
      </c>
      <c r="H305" s="5" t="inlineStr">
        <is>
          <t>Medium</t>
        </is>
      </c>
      <c r="I305" s="5" t="inlineStr">
        <is>
          <t>The authority Shankar answers to, and under whom his reformist experiment is conducted and then ends.</t>
        </is>
      </c>
      <c r="J305" s="5" t="inlineStr">
        <is>
          <t>No part in it.</t>
        </is>
      </c>
      <c r="K305" s="19" t="inlineStr">
        <is>
          <t>The police commissioner over the inspector whose new approach to crime costs him his career.</t>
        </is>
      </c>
      <c r="L305" s="5" t="n"/>
      <c r="M305" s="5" t="inlineStr">
        <is>
          <t>SOURCE-057</t>
        </is>
      </c>
    </row>
    <row r="306" ht="49" customHeight="1">
      <c r="A306" s="15" t="inlineStr">
        <is>
          <t>CAST-305</t>
        </is>
      </c>
      <c r="B306" s="18" t="inlineStr">
        <is>
          <t>FILM-065</t>
        </is>
      </c>
      <c r="C306" s="5" t="inlineStr">
        <is>
          <t>Chor Sipahee</t>
        </is>
      </c>
      <c r="D306" s="17" t="n">
        <v>1977</v>
      </c>
      <c r="E306" s="5" t="inlineStr">
        <is>
          <t>Ranjeet</t>
        </is>
      </c>
      <c r="F306" s="5" t="inlineStr">
        <is>
          <t>Shaikh Jamal</t>
        </is>
      </c>
      <c r="G306" s="5" t="inlineStr">
        <is>
          <t>Antagonist</t>
        </is>
      </c>
      <c r="H306" s="5" t="inlineStr">
        <is>
          <t>Medium</t>
        </is>
      </c>
      <c r="I306" s="5" t="inlineStr">
        <is>
          <t>Belongs to the smuggling world Raja has joined by the time Shankar comes out of prison.</t>
        </is>
      </c>
      <c r="J306" s="5" t="inlineStr">
        <is>
          <t>No part in it.</t>
        </is>
      </c>
      <c r="K306" s="19" t="inlineStr">
        <is>
          <t>Credited as Shaikh Jamal, with Leena Das as his wife, among the international smuggling interests the film's second half moves into.</t>
        </is>
      </c>
      <c r="L306" s="5" t="n"/>
      <c r="M306" s="5" t="inlineStr">
        <is>
          <t>SOURCE-057</t>
        </is>
      </c>
    </row>
    <row r="307" ht="64" customHeight="1">
      <c r="A307" s="15" t="inlineStr">
        <is>
          <t>CAST-306</t>
        </is>
      </c>
      <c r="B307" s="18" t="inlineStr">
        <is>
          <t>FILM-066</t>
        </is>
      </c>
      <c r="C307" s="5" t="inlineStr">
        <is>
          <t>Chakkar Pe Chakkar</t>
        </is>
      </c>
      <c r="D307" s="17" t="n">
        <v>1977</v>
      </c>
      <c r="E307" s="5" t="inlineStr">
        <is>
          <t>Rekha</t>
        </is>
      </c>
      <c r="F307" s="5" t="inlineStr">
        <is>
          <t>Sheila Sahini</t>
        </is>
      </c>
      <c r="G307" s="5" t="inlineStr">
        <is>
          <t>Co-lead</t>
        </is>
      </c>
      <c r="H307" s="5" t="inlineStr">
        <is>
          <t>Major</t>
        </is>
      </c>
      <c r="I307" s="5" t="inlineStr">
        <is>
          <t>The principal female part opposite Kapoor's Ravi Kumar. The article has no plot section, so the courtship is undocumented.</t>
        </is>
      </c>
      <c r="J307" s="5" t="inlineStr">
        <is>
          <t>The pairing recorded in the Romances sheet, and subordinate to the film's other business, which the article does not describe.</t>
        </is>
      </c>
      <c r="K307" s="19" t="inlineStr">
        <is>
          <t>Credited as Sheila Sahini, second-billed. The article carries a long cast list and no synopsis.</t>
        </is>
      </c>
      <c r="L307" s="5" t="n"/>
      <c r="M307" s="5" t="inlineStr">
        <is>
          <t>SOURCE-058</t>
        </is>
      </c>
    </row>
    <row r="308" ht="34" customHeight="1">
      <c r="A308" s="15" t="inlineStr">
        <is>
          <t>CAST-307</t>
        </is>
      </c>
      <c r="B308" s="18" t="inlineStr">
        <is>
          <t>FILM-066</t>
        </is>
      </c>
      <c r="C308" s="5" t="inlineStr">
        <is>
          <t>Chakkar Pe Chakkar</t>
        </is>
      </c>
      <c r="D308" s="17" t="n">
        <v>1977</v>
      </c>
      <c r="E308" s="5" t="inlineStr">
        <is>
          <t>Pran</t>
        </is>
      </c>
      <c r="F308" s="5" t="inlineStr">
        <is>
          <t>Sher Singh</t>
        </is>
      </c>
      <c r="G308" s="5" t="inlineStr">
        <is>
          <t>Antagonist</t>
        </is>
      </c>
      <c r="H308" s="5" t="inlineStr">
        <is>
          <t>Major</t>
        </is>
      </c>
      <c r="I308" s="5" t="inlineStr">
        <is>
          <t>Not documented beyond the credit.</t>
        </is>
      </c>
      <c r="J308" s="5" t="inlineStr">
        <is>
          <t>Not documented.</t>
        </is>
      </c>
      <c r="K308" s="19" t="inlineStr">
        <is>
          <t>Credited as Sher Singh. With no plot section in the article the function of the part is unrecorded.</t>
        </is>
      </c>
      <c r="L308" s="5" t="n"/>
      <c r="M308" s="5" t="inlineStr">
        <is>
          <t>SOURCE-058</t>
        </is>
      </c>
    </row>
    <row r="309" ht="49" customHeight="1">
      <c r="A309" s="15" t="inlineStr">
        <is>
          <t>CAST-308</t>
        </is>
      </c>
      <c r="B309" s="18" t="inlineStr">
        <is>
          <t>FILM-066</t>
        </is>
      </c>
      <c r="C309" s="5" t="inlineStr">
        <is>
          <t>Chakkar Pe Chakkar</t>
        </is>
      </c>
      <c r="D309" s="17" t="n">
        <v>1977</v>
      </c>
      <c r="E309" s="5" t="inlineStr">
        <is>
          <t>Madan Puri</t>
        </is>
      </c>
      <c r="F309" s="5" t="inlineStr">
        <is>
          <t>Swami Hari Om</t>
        </is>
      </c>
      <c r="G309" s="5" t="inlineStr">
        <is>
          <t>Antagonist</t>
        </is>
      </c>
      <c r="H309" s="5" t="inlineStr">
        <is>
          <t>Major</t>
        </is>
      </c>
      <c r="I309" s="5" t="inlineStr">
        <is>
          <t>Not documented, though a godman credit of this kind in the period is almost always a fraud.</t>
        </is>
      </c>
      <c r="J309" s="5" t="inlineStr">
        <is>
          <t>Not documented.</t>
        </is>
      </c>
      <c r="K309" s="19" t="inlineStr">
        <is>
          <t>Credited as Swami Hari Om, a holy-man part in a film whose article gives no plot to establish whether the piety is genuine.</t>
        </is>
      </c>
      <c r="L309" s="5" t="n"/>
      <c r="M309" s="5" t="inlineStr">
        <is>
          <t>SOURCE-058</t>
        </is>
      </c>
    </row>
    <row r="310" ht="34" customHeight="1">
      <c r="A310" s="15" t="inlineStr">
        <is>
          <t>CAST-309</t>
        </is>
      </c>
      <c r="B310" s="18" t="inlineStr">
        <is>
          <t>FILM-066</t>
        </is>
      </c>
      <c r="C310" s="5" t="inlineStr">
        <is>
          <t>Chakkar Pe Chakkar</t>
        </is>
      </c>
      <c r="D310" s="17" t="n">
        <v>1977</v>
      </c>
      <c r="E310" s="5" t="inlineStr">
        <is>
          <t>Amjad Khan</t>
        </is>
      </c>
      <c r="F310" s="5" t="inlineStr">
        <is>
          <t>Avdhutt</t>
        </is>
      </c>
      <c r="G310" s="5" t="inlineStr">
        <is>
          <t>Antagonist</t>
        </is>
      </c>
      <c r="H310" s="5" t="inlineStr">
        <is>
          <t>Medium</t>
        </is>
      </c>
      <c r="I310" s="5" t="inlineStr">
        <is>
          <t>Not documented.</t>
        </is>
      </c>
      <c r="J310" s="5" t="inlineStr">
        <is>
          <t>Not documented.</t>
        </is>
      </c>
      <c r="K310" s="19" t="inlineStr">
        <is>
          <t>Credited as Avdhutt, in the year after Sholay made him a standing villain. The article has no synopsis.</t>
        </is>
      </c>
      <c r="L310" s="5" t="n"/>
      <c r="M310" s="5" t="inlineStr">
        <is>
          <t>SOURCE-058</t>
        </is>
      </c>
    </row>
    <row r="311" ht="64" customHeight="1">
      <c r="A311" s="15" t="inlineStr">
        <is>
          <t>CAST-310</t>
        </is>
      </c>
      <c r="B311" s="18" t="inlineStr">
        <is>
          <t>FILM-066</t>
        </is>
      </c>
      <c r="C311" s="5" t="inlineStr">
        <is>
          <t>Chakkar Pe Chakkar</t>
        </is>
      </c>
      <c r="D311" s="17" t="n">
        <v>1977</v>
      </c>
      <c r="E311" s="5" t="inlineStr">
        <is>
          <t>Lalita Pawar</t>
        </is>
      </c>
      <c r="F311" s="5" t="inlineStr">
        <is>
          <t>Mrs Kumar</t>
        </is>
      </c>
      <c r="G311" s="5" t="inlineStr">
        <is>
          <t>Family</t>
        </is>
      </c>
      <c r="H311" s="5" t="inlineStr">
        <is>
          <t>Medium</t>
        </is>
      </c>
      <c r="I311" s="5" t="inlineStr">
        <is>
          <t>Shares the surname of Kapoor's Ravi Kumar, which suggests his mother, though the article does not confirm it.</t>
        </is>
      </c>
      <c r="J311" s="5" t="inlineStr">
        <is>
          <t>Not documented.</t>
        </is>
      </c>
      <c r="K311" s="19" t="inlineStr">
        <is>
          <t>Credited as Mrs Kumar. The shared surname is the only evidence of the relation and the article carries no plot.</t>
        </is>
      </c>
      <c r="L311" s="5" t="n"/>
      <c r="M311" s="5" t="inlineStr">
        <is>
          <t>SOURCE-058</t>
        </is>
      </c>
    </row>
    <row r="312" ht="34" customHeight="1">
      <c r="A312" s="15" t="inlineStr">
        <is>
          <t>CAST-311</t>
        </is>
      </c>
      <c r="B312" s="18" t="inlineStr">
        <is>
          <t>FILM-066</t>
        </is>
      </c>
      <c r="C312" s="5" t="inlineStr">
        <is>
          <t>Chakkar Pe Chakkar</t>
        </is>
      </c>
      <c r="D312" s="17" t="n">
        <v>1977</v>
      </c>
      <c r="E312" s="5" t="inlineStr">
        <is>
          <t>Bindu</t>
        </is>
      </c>
      <c r="F312" s="5" t="inlineStr">
        <is>
          <t>Munnibai</t>
        </is>
      </c>
      <c r="G312" s="5" t="inlineStr">
        <is>
          <t>Supporting</t>
        </is>
      </c>
      <c r="H312" s="5" t="inlineStr">
        <is>
          <t>Medium</t>
        </is>
      </c>
      <c r="I312" s="5" t="inlineStr">
        <is>
          <t>Not documented.</t>
        </is>
      </c>
      <c r="J312" s="5" t="inlineStr">
        <is>
          <t>Not documented.</t>
        </is>
      </c>
      <c r="K312" s="19" t="inlineStr">
        <is>
          <t>Credited as Munnibai, alongside Kumari Naaz as Mrs Babu, in a cast list the article does not map to any story.</t>
        </is>
      </c>
      <c r="L312" s="5" t="n"/>
      <c r="M312" s="5" t="inlineStr">
        <is>
          <t>SOURCE-058</t>
        </is>
      </c>
    </row>
    <row r="313" ht="64" customHeight="1">
      <c r="A313" s="15" t="inlineStr">
        <is>
          <t>CAST-312</t>
        </is>
      </c>
      <c r="B313" s="18" t="inlineStr">
        <is>
          <t>FILM-067</t>
        </is>
      </c>
      <c r="C313" s="5" t="inlineStr">
        <is>
          <t>Immaan Dharam</t>
        </is>
      </c>
      <c r="D313" s="17" t="n">
        <v>1977</v>
      </c>
      <c r="E313" s="5" t="inlineStr">
        <is>
          <t>Amitabh Bachchan</t>
        </is>
      </c>
      <c r="F313" s="5" t="inlineStr">
        <is>
          <t>Ahmed Raza</t>
        </is>
      </c>
      <c r="G313" s="5" t="inlineStr">
        <is>
          <t>Co-lead</t>
        </is>
      </c>
      <c r="H313" s="5" t="inlineStr">
        <is>
          <t>Major</t>
        </is>
      </c>
      <c r="I313" s="5" t="inlineStr">
        <is>
          <t>His partner in the business of false testimony, and his companion through the reform and the trouble that follows it.</t>
        </is>
      </c>
      <c r="J313" s="5" t="inlineStr">
        <is>
          <t>Outside Kapoor's own attachments; the film pairs the two men rather than either with a woman.</t>
        </is>
      </c>
      <c r="K313" s="19" t="inlineStr">
        <is>
          <t>One of two professional mock witnesses who hang around the courts selling evidence, who goes straight under Kabir Das's influence, finds honest work impossible, and gets into worse trouble trying to clear the man who reformed him.</t>
        </is>
      </c>
      <c r="L313" s="5" t="n"/>
      <c r="M313" s="5" t="inlineStr">
        <is>
          <t>SOURCE-052</t>
        </is>
      </c>
    </row>
    <row r="314" ht="64" customHeight="1">
      <c r="A314" s="15" t="inlineStr">
        <is>
          <t>CAST-313</t>
        </is>
      </c>
      <c r="B314" s="18" t="inlineStr">
        <is>
          <t>FILM-067</t>
        </is>
      </c>
      <c r="C314" s="5" t="inlineStr">
        <is>
          <t>Immaan Dharam</t>
        </is>
      </c>
      <c r="D314" s="17" t="n">
        <v>1977</v>
      </c>
      <c r="E314" s="5" t="inlineStr">
        <is>
          <t>Sanjeev Kumar</t>
        </is>
      </c>
      <c r="F314" s="5" t="inlineStr">
        <is>
          <t>Kabir Das</t>
        </is>
      </c>
      <c r="G314" s="5" t="inlineStr">
        <is>
          <t>Mentor</t>
        </is>
      </c>
      <c r="H314" s="5" t="inlineStr">
        <is>
          <t>Major</t>
        </is>
      </c>
      <c r="I314" s="5" t="inlineStr">
        <is>
          <t>The man whose influence turns him honest, and whose murder charge the two then take on as their own business.</t>
        </is>
      </c>
      <c r="J314" s="5" t="inlineStr">
        <is>
          <t>No part in it.</t>
        </is>
      </c>
      <c r="K314" s="19" t="inlineStr">
        <is>
          <t>The figure whose example persuades two perjurers to go straight, and who is then arrested for a murder he says he did not commit, sending them after the real killer.</t>
        </is>
      </c>
      <c r="L314" s="5" t="n"/>
      <c r="M314" s="5" t="inlineStr">
        <is>
          <t>SOURCE-052</t>
        </is>
      </c>
    </row>
    <row r="315" ht="64" customHeight="1">
      <c r="A315" s="15" t="inlineStr">
        <is>
          <t>CAST-314</t>
        </is>
      </c>
      <c r="B315" s="18" t="inlineStr">
        <is>
          <t>FILM-067</t>
        </is>
      </c>
      <c r="C315" s="5" t="inlineStr">
        <is>
          <t>Immaan Dharam</t>
        </is>
      </c>
      <c r="D315" s="17" t="n">
        <v>1977</v>
      </c>
      <c r="E315" s="5" t="inlineStr">
        <is>
          <t>Rekha</t>
        </is>
      </c>
      <c r="F315" s="5" t="inlineStr">
        <is>
          <t>Durga</t>
        </is>
      </c>
      <c r="G315" s="5" t="inlineStr">
        <is>
          <t>Supporting</t>
        </is>
      </c>
      <c r="H315" s="5" t="inlineStr">
        <is>
          <t>Major</t>
        </is>
      </c>
      <c r="I315" s="5" t="inlineStr">
        <is>
          <t>Fourth-billed in a crowded ensemble; the article's short synopsis follows only the three men and does not place her.</t>
        </is>
      </c>
      <c r="J315" s="5" t="inlineStr">
        <is>
          <t>Not documented, which is part of why romance presence is left blank for the film.</t>
        </is>
      </c>
      <c r="K315" s="19" t="inlineStr">
        <is>
          <t>Credited as Durga. The article summarises the film in five sentences about the mock witnesses and Kabir Das, so her part is not described.</t>
        </is>
      </c>
      <c r="L315" s="5" t="n"/>
      <c r="M315" s="5" t="inlineStr">
        <is>
          <t>SOURCE-052</t>
        </is>
      </c>
    </row>
    <row r="316" ht="64" customHeight="1">
      <c r="A316" s="15" t="inlineStr">
        <is>
          <t>CAST-315</t>
        </is>
      </c>
      <c r="B316" s="18" t="inlineStr">
        <is>
          <t>FILM-067</t>
        </is>
      </c>
      <c r="C316" s="5" t="inlineStr">
        <is>
          <t>Immaan Dharam</t>
        </is>
      </c>
      <c r="D316" s="17" t="n">
        <v>1977</v>
      </c>
      <c r="E316" s="5" t="inlineStr">
        <is>
          <t>Aparna Sen</t>
        </is>
      </c>
      <c r="F316" s="5" t="inlineStr">
        <is>
          <t>Shyamlee</t>
        </is>
      </c>
      <c r="G316" s="5" t="inlineStr">
        <is>
          <t>Supporting</t>
        </is>
      </c>
      <c r="H316" s="5" t="inlineStr">
        <is>
          <t>Major</t>
        </is>
      </c>
      <c r="I316" s="5" t="inlineStr">
        <is>
          <t>Credited with A. K. Hangal as her father, but the article's synopsis does not set out her connection to Kapoor's Mohan.</t>
        </is>
      </c>
      <c r="J316" s="5" t="inlineStr">
        <is>
          <t>Not documented. No Romances row was created for the film on that account.</t>
        </is>
      </c>
      <c r="K316" s="19" t="inlineStr">
        <is>
          <t>Credited as Shyamlee, daughter of the Masterji played by A. K. Hangal, in an ensemble the article's brief plot does not account for.</t>
        </is>
      </c>
      <c r="L316" s="5" t="n"/>
      <c r="M316" s="5" t="inlineStr">
        <is>
          <t>SOURCE-052</t>
        </is>
      </c>
    </row>
    <row r="317" ht="64" customHeight="1">
      <c r="A317" s="15" t="inlineStr">
        <is>
          <t>CAST-316</t>
        </is>
      </c>
      <c r="B317" s="18" t="inlineStr">
        <is>
          <t>FILM-067</t>
        </is>
      </c>
      <c r="C317" s="5" t="inlineStr">
        <is>
          <t>Immaan Dharam</t>
        </is>
      </c>
      <c r="D317" s="17" t="n">
        <v>1977</v>
      </c>
      <c r="E317" s="5" t="inlineStr">
        <is>
          <t>Helen</t>
        </is>
      </c>
      <c r="F317" s="5" t="inlineStr">
        <is>
          <t>Jenny Francis</t>
        </is>
      </c>
      <c r="G317" s="5" t="inlineStr">
        <is>
          <t>Supporting</t>
        </is>
      </c>
      <c r="H317" s="5" t="inlineStr">
        <is>
          <t>Medium</t>
        </is>
      </c>
      <c r="I317" s="5" t="inlineStr">
        <is>
          <t>Not documented. Her case is one of those the cast list shows going to court, Sajjan being credited as the lawyer for it.</t>
        </is>
      </c>
      <c r="J317" s="5" t="inlineStr">
        <is>
          <t>Not documented.</t>
        </is>
      </c>
      <c r="K317" s="19" t="inlineStr">
        <is>
          <t>Credited as Jenny Francis, with Baby Rani as Pinky Francis and a lawyer assigned to her case in the cast list, in a film built around courtroom evidence.</t>
        </is>
      </c>
      <c r="L317" s="5" t="n"/>
      <c r="M317" s="5" t="inlineStr">
        <is>
          <t>SOURCE-052</t>
        </is>
      </c>
    </row>
    <row r="318" ht="49" customHeight="1">
      <c r="A318" s="15" t="inlineStr">
        <is>
          <t>CAST-317</t>
        </is>
      </c>
      <c r="B318" s="18" t="inlineStr">
        <is>
          <t>FILM-067</t>
        </is>
      </c>
      <c r="C318" s="5" t="inlineStr">
        <is>
          <t>Immaan Dharam</t>
        </is>
      </c>
      <c r="D318" s="17" t="n">
        <v>1977</v>
      </c>
      <c r="E318" s="5" t="inlineStr">
        <is>
          <t>Prem Chopra</t>
        </is>
      </c>
      <c r="F318" s="5" t="inlineStr">
        <is>
          <t>Ranjeet</t>
        </is>
      </c>
      <c r="G318" s="5" t="inlineStr">
        <is>
          <t>Antagonist</t>
        </is>
      </c>
      <c r="H318" s="5" t="inlineStr">
        <is>
          <t>Major</t>
        </is>
      </c>
      <c r="I318" s="5" t="inlineStr">
        <is>
          <t>Not documented by the article's summary, which names no antagonist.</t>
        </is>
      </c>
      <c r="J318" s="5" t="inlineStr">
        <is>
          <t>Not documented.</t>
        </is>
      </c>
      <c r="K318" s="19" t="inlineStr">
        <is>
          <t>Credited as Ranjeet, among the film's antagonists. The article's plot does not identify the real killer the two friends are looking for.</t>
        </is>
      </c>
      <c r="L318" s="5" t="n"/>
      <c r="M318" s="5" t="inlineStr">
        <is>
          <t>SOURCE-052</t>
        </is>
      </c>
    </row>
    <row r="319" ht="49" customHeight="1">
      <c r="A319" s="15" t="inlineStr">
        <is>
          <t>CAST-318</t>
        </is>
      </c>
      <c r="B319" s="18" t="inlineStr">
        <is>
          <t>FILM-067</t>
        </is>
      </c>
      <c r="C319" s="5" t="inlineStr">
        <is>
          <t>Immaan Dharam</t>
        </is>
      </c>
      <c r="D319" s="17" t="n">
        <v>1977</v>
      </c>
      <c r="E319" s="5" t="inlineStr">
        <is>
          <t>Amrish Puri</t>
        </is>
      </c>
      <c r="F319" s="5" t="inlineStr">
        <is>
          <t>Dharam Dayal</t>
        </is>
      </c>
      <c r="G319" s="5" t="inlineStr">
        <is>
          <t>Antagonist</t>
        </is>
      </c>
      <c r="H319" s="5" t="inlineStr">
        <is>
          <t>Medium</t>
        </is>
      </c>
      <c r="I319" s="5" t="inlineStr">
        <is>
          <t>Not documented.</t>
        </is>
      </c>
      <c r="J319" s="5" t="inlineStr">
        <is>
          <t>Not documented.</t>
        </is>
      </c>
      <c r="K319" s="19" t="inlineStr">
        <is>
          <t>Credited as Dharam Dayal, in a title whose two halves are Immaan and Dharam. The article's synopsis does not place the part.</t>
        </is>
      </c>
      <c r="L319" s="5" t="n"/>
      <c r="M319" s="5" t="inlineStr">
        <is>
          <t>SOURCE-052</t>
        </is>
      </c>
    </row>
    <row r="320" ht="79" customHeight="1">
      <c r="A320" s="15" t="inlineStr">
        <is>
          <t>CAST-319</t>
        </is>
      </c>
      <c r="B320" s="18" t="inlineStr">
        <is>
          <t>FILM-068</t>
        </is>
      </c>
      <c r="C320" s="5" t="inlineStr">
        <is>
          <t>Mukti</t>
        </is>
      </c>
      <c r="D320" s="17" t="n">
        <v>1977</v>
      </c>
      <c r="E320" s="5" t="inlineStr">
        <is>
          <t>Vidya Sinha</t>
        </is>
      </c>
      <c r="F320" s="5" t="inlineStr">
        <is>
          <t>Seema K. Sharma</t>
        </is>
      </c>
      <c r="G320" s="5" t="inlineStr">
        <is>
          <t>Co-lead</t>
        </is>
      </c>
      <c r="H320" s="5" t="inlineStr">
        <is>
          <t>Major</t>
        </is>
      </c>
      <c r="I320" s="5" t="inlineStr">
        <is>
          <t>His wife, told to take their daughter and start again elsewhere, who remarries believing him gone and whose secret visit to him sets off the film's catastrophe.</t>
        </is>
      </c>
      <c r="J320" s="5" t="inlineStr">
        <is>
          <t>The pairing recorded in the Romances sheet: a marriage that survives only as a secret, and destroys a second one by existing.</t>
        </is>
      </c>
      <c r="K320" s="19" t="inlineStr">
        <is>
          <t>The wife of a man sentenced to hang, who relocates to Bombay with their daughter on his instruction, supports them by sewing, marries the neighbour Ratan, and fourteen years later goes secretly to see the husband whose sentence was commuted.</t>
        </is>
      </c>
      <c r="L320" s="5" t="n"/>
      <c r="M320" s="5" t="inlineStr">
        <is>
          <t>SOURCE-054</t>
        </is>
      </c>
    </row>
    <row r="321" ht="49" customHeight="1">
      <c r="A321" s="15" t="inlineStr">
        <is>
          <t>CAST-320</t>
        </is>
      </c>
      <c r="B321" s="18" t="inlineStr">
        <is>
          <t>FILM-068</t>
        </is>
      </c>
      <c r="C321" s="5" t="inlineStr">
        <is>
          <t>Mukti</t>
        </is>
      </c>
      <c r="D321" s="17" t="n">
        <v>1977</v>
      </c>
      <c r="E321" s="5" t="inlineStr">
        <is>
          <t>Sanjeev Kumar</t>
        </is>
      </c>
      <c r="F321" s="5" t="inlineStr">
        <is>
          <t>Ratan</t>
        </is>
      </c>
      <c r="G321" s="5" t="inlineStr">
        <is>
          <t>Co-lead</t>
        </is>
      </c>
      <c r="H321" s="5" t="inlineStr">
        <is>
          <t>Major</t>
        </is>
      </c>
      <c r="I321" s="5" t="inlineStr">
        <is>
          <t>The man who married his wife in good faith, and whose household Kailash deliberately declines to disturb.</t>
        </is>
      </c>
      <c r="J321" s="5" t="inlineStr">
        <is>
          <t>The second marriage, and the thing the first one threatens simply by having survived.</t>
        </is>
      </c>
      <c r="K321" s="19" t="inlineStr">
        <is>
          <t>The Bombay neighbour who befriends and marries Seema, raises Pinky as his own for fourteen years, and holds a household that the return of the first husband puts at risk.</t>
        </is>
      </c>
      <c r="L321" s="5" t="n"/>
      <c r="M321" s="5" t="inlineStr">
        <is>
          <t>SOURCE-054</t>
        </is>
      </c>
    </row>
    <row r="322" ht="49" customHeight="1">
      <c r="A322" s="15" t="inlineStr">
        <is>
          <t>CAST-321</t>
        </is>
      </c>
      <c r="B322" s="18" t="inlineStr">
        <is>
          <t>FILM-068</t>
        </is>
      </c>
      <c r="C322" s="5" t="inlineStr">
        <is>
          <t>Mukti</t>
        </is>
      </c>
      <c r="D322" s="17" t="n">
        <v>1977</v>
      </c>
      <c r="E322" s="5" t="inlineStr">
        <is>
          <t>Bindiya Goswami</t>
        </is>
      </c>
      <c r="F322" s="5" t="inlineStr">
        <is>
          <t>Pinky K. Sharma</t>
        </is>
      </c>
      <c r="G322" s="5" t="inlineStr">
        <is>
          <t>Family</t>
        </is>
      </c>
      <c r="H322" s="5" t="inlineStr">
        <is>
          <t>Major</t>
        </is>
      </c>
      <c r="I322" s="5" t="inlineStr">
        <is>
          <t>His daughter, taken away as a small child and grown up not knowing him; she keeps his surname.</t>
        </is>
      </c>
      <c r="J322" s="5" t="inlineStr">
        <is>
          <t>The reason he stays away: her settled life and her own engagement are what he would be disturbing.</t>
        </is>
      </c>
      <c r="K322" s="19" t="inlineStr">
        <is>
          <t>Kailash and Seema's daughter, taken to Bombay as a child and grown into a young woman with a boyfriend she wants to marry, unaware that her father is alive and in the city.</t>
        </is>
      </c>
      <c r="L322" s="5" t="n"/>
      <c r="M322" s="5" t="inlineStr">
        <is>
          <t>SOURCE-054</t>
        </is>
      </c>
    </row>
    <row r="323" ht="49" customHeight="1">
      <c r="A323" s="15" t="inlineStr">
        <is>
          <t>CAST-322</t>
        </is>
      </c>
      <c r="B323" s="18" t="inlineStr">
        <is>
          <t>FILM-068</t>
        </is>
      </c>
      <c r="C323" s="5" t="inlineStr">
        <is>
          <t>Mukti</t>
        </is>
      </c>
      <c r="D323" s="17" t="n">
        <v>1977</v>
      </c>
      <c r="E323" s="5" t="inlineStr">
        <is>
          <t>Anju Mahendru</t>
        </is>
      </c>
      <c r="F323" s="5" t="inlineStr">
        <is>
          <t>Shanno</t>
        </is>
      </c>
      <c r="G323" s="5" t="inlineStr">
        <is>
          <t>Supporting</t>
        </is>
      </c>
      <c r="H323" s="5" t="inlineStr">
        <is>
          <t>Major</t>
        </is>
      </c>
      <c r="I323" s="5" t="inlineStr">
        <is>
          <t>The woman he was convicted of molesting, and so the origin of the sentence the whole film proceeds from.</t>
        </is>
      </c>
      <c r="J323" s="5" t="inlineStr">
        <is>
          <t>No part in the marriage, but the reason it had to be abandoned.</t>
        </is>
      </c>
      <c r="K323" s="19" t="inlineStr">
        <is>
          <t>The woman whose molestation Kailash Sharma was found guilty of by the Jammu and Kashmir Sessions Court, one of the two crimes for which he was sentenced to hang.</t>
        </is>
      </c>
      <c r="L323" s="5" t="n"/>
      <c r="M323" s="5" t="inlineStr">
        <is>
          <t>SOURCE-054</t>
        </is>
      </c>
    </row>
    <row r="324" ht="49" customHeight="1">
      <c r="A324" s="15" t="inlineStr">
        <is>
          <t>CAST-323</t>
        </is>
      </c>
      <c r="B324" s="18" t="inlineStr">
        <is>
          <t>FILM-068</t>
        </is>
      </c>
      <c r="C324" s="5" t="inlineStr">
        <is>
          <t>Mukti</t>
        </is>
      </c>
      <c r="D324" s="17" t="n">
        <v>1977</v>
      </c>
      <c r="E324" s="5" t="inlineStr">
        <is>
          <t>Roopesh Kumar</t>
        </is>
      </c>
      <c r="F324" s="5" t="inlineStr">
        <is>
          <t>Dheeraj Kumar Verma</t>
        </is>
      </c>
      <c r="G324" s="5" t="inlineStr">
        <is>
          <t>Supporting</t>
        </is>
      </c>
      <c r="H324" s="5" t="inlineStr">
        <is>
          <t>Medium</t>
        </is>
      </c>
      <c r="I324" s="5" t="inlineStr">
        <is>
          <t>The man he was convicted of killing, the other half of the conviction.</t>
        </is>
      </c>
      <c r="J324" s="5" t="inlineStr">
        <is>
          <t>No part in it.</t>
        </is>
      </c>
      <c r="K324" s="19" t="inlineStr">
        <is>
          <t>The man for whose killing Kailash Sharma was sentenced, alongside the molestation charge, before his appeals failed and the sentence was commuted to life.</t>
        </is>
      </c>
      <c r="L324" s="5" t="n"/>
      <c r="M324" s="5" t="inlineStr">
        <is>
          <t>SOURCE-054</t>
        </is>
      </c>
    </row>
    <row r="325" ht="49" customHeight="1">
      <c r="A325" s="15" t="inlineStr">
        <is>
          <t>CAST-324</t>
        </is>
      </c>
      <c r="B325" s="18" t="inlineStr">
        <is>
          <t>FILM-068</t>
        </is>
      </c>
      <c r="C325" s="5" t="inlineStr">
        <is>
          <t>Mukti</t>
        </is>
      </c>
      <c r="D325" s="17" t="n">
        <v>1977</v>
      </c>
      <c r="E325" s="5" t="inlineStr">
        <is>
          <t>Vikram</t>
        </is>
      </c>
      <c r="F325" s="5" t="inlineStr">
        <is>
          <t>Vikram</t>
        </is>
      </c>
      <c r="G325" s="5" t="inlineStr">
        <is>
          <t>Supporting</t>
        </is>
      </c>
      <c r="H325" s="5" t="inlineStr">
        <is>
          <t>Medium</t>
        </is>
      </c>
      <c r="I325" s="5" t="inlineStr">
        <is>
          <t>His daughter's suitor, whose marriage to her is the settled future Kailash decides not to disturb.</t>
        </is>
      </c>
      <c r="J325" s="5" t="inlineStr">
        <is>
          <t>The younger romance, which the return of the first husband endangers.</t>
        </is>
      </c>
      <c r="K325" s="19" t="inlineStr">
        <is>
          <t>Pinky's boyfriend, whom she wants to marry, credited with Pinchoo Kapoor as his father.</t>
        </is>
      </c>
      <c r="L325" s="5" t="n"/>
      <c r="M325" s="5" t="inlineStr">
        <is>
          <t>SOURCE-054</t>
        </is>
      </c>
    </row>
    <row r="326" ht="49" customHeight="1">
      <c r="A326" s="15" t="inlineStr">
        <is>
          <t>CAST-325</t>
        </is>
      </c>
      <c r="B326" s="18" t="inlineStr">
        <is>
          <t>FILM-068</t>
        </is>
      </c>
      <c r="C326" s="5" t="inlineStr">
        <is>
          <t>Mukti</t>
        </is>
      </c>
      <c r="D326" s="17" t="n">
        <v>1977</v>
      </c>
      <c r="E326" s="5" t="inlineStr">
        <is>
          <t>Mithun Chakraborty</t>
        </is>
      </c>
      <c r="F326" s="5" t="n"/>
      <c r="G326" s="5" t="inlineStr">
        <is>
          <t>Cameo</t>
        </is>
      </c>
      <c r="H326" s="5" t="inlineStr">
        <is>
          <t>Minor</t>
        </is>
      </c>
      <c r="I326" s="5" t="inlineStr">
        <is>
          <t>A cameo, credited as such, with no documented connection to Kapoor's character.</t>
        </is>
      </c>
      <c r="J326" s="5" t="inlineStr">
        <is>
          <t>No part in it.</t>
        </is>
      </c>
      <c r="K326" s="19" t="inlineStr">
        <is>
          <t>A cameo appearance in the year of Mrigayaa, for which Chakraborty won the National Film Award for Best Actor on his debut.</t>
        </is>
      </c>
      <c r="L326" s="5" t="n"/>
      <c r="M326" s="5" t="inlineStr">
        <is>
          <t>SOURCE-054</t>
        </is>
      </c>
    </row>
    <row r="327" ht="79" customHeight="1">
      <c r="A327" s="15" t="inlineStr">
        <is>
          <t>CAST-326</t>
        </is>
      </c>
      <c r="B327" s="18" t="inlineStr">
        <is>
          <t>FILM-069</t>
        </is>
      </c>
      <c r="C327" s="5" t="inlineStr">
        <is>
          <t>Doosra Aadmi</t>
        </is>
      </c>
      <c r="D327" s="17" t="n">
        <v>1977</v>
      </c>
      <c r="E327" s="5" t="inlineStr">
        <is>
          <t>Raakhee</t>
        </is>
      </c>
      <c r="F327" s="5" t="inlineStr">
        <is>
          <t>Nisha</t>
        </is>
      </c>
      <c r="G327" s="5" t="inlineStr">
        <is>
          <t>Co-lead</t>
        </is>
      </c>
      <c r="H327" s="5" t="inlineStr">
        <is>
          <t>Major</t>
        </is>
      </c>
      <c r="I327" s="5" t="inlineStr">
        <is>
          <t>The woman whose life Kapoor's character shapes entirely by being dead: he is the boyfriend whose loss made her a recluse.</t>
        </is>
      </c>
      <c r="J327" s="5" t="inlineStr">
        <is>
          <t>The pairing recorded in the Romances sheet as tragic lovers, and conducted almost wholly in retrospect, which is what makes Kapoor's part a cameo.</t>
        </is>
      </c>
      <c r="K327" s="19" t="inlineStr">
        <is>
          <t>An accomplished advertising professional who withdraws from the world after her boyfriend's death, takes a job years later with a younger man's agency, and finds that he reminds her of the man she lost.</t>
        </is>
      </c>
      <c r="L327" s="5" t="n"/>
      <c r="M327" s="5" t="inlineStr">
        <is>
          <t>SOURCE-055</t>
        </is>
      </c>
    </row>
    <row r="328" ht="64" customHeight="1">
      <c r="A328" s="15" t="inlineStr">
        <is>
          <t>CAST-327</t>
        </is>
      </c>
      <c r="B328" s="18" t="inlineStr">
        <is>
          <t>FILM-069</t>
        </is>
      </c>
      <c r="C328" s="5" t="inlineStr">
        <is>
          <t>Doosra Aadmi</t>
        </is>
      </c>
      <c r="D328" s="17" t="n">
        <v>1977</v>
      </c>
      <c r="E328" s="5" t="inlineStr">
        <is>
          <t>Rishi Kapoor</t>
        </is>
      </c>
      <c r="F328" s="5" t="inlineStr">
        <is>
          <t>Karan Saxena</t>
        </is>
      </c>
      <c r="G328" s="5" t="inlineStr">
        <is>
          <t>Co-lead</t>
        </is>
      </c>
      <c r="H328" s="5" t="inlineStr">
        <is>
          <t>Major</t>
        </is>
      </c>
      <c r="I328" s="5" t="inlineStr">
        <is>
          <t>The living man who resembles Kapoor's dead one; the whole film rests on the likeness, though the two never appear together.</t>
        </is>
      </c>
      <c r="J328" s="5" t="inlineStr">
        <is>
          <t>Displaces it and repeats it: Nisha's attachment to him is an attachment to the man Kapoor played.</t>
        </is>
      </c>
      <c r="K328" s="19" t="inlineStr">
        <is>
          <t>A recently married advertising man who employs the reclusive Nisha, and whom she finds reminiscent of her dead boyfriend.</t>
        </is>
      </c>
      <c r="L328" s="5" t="n"/>
      <c r="M328" s="5" t="inlineStr">
        <is>
          <t>SOURCE-055</t>
        </is>
      </c>
    </row>
    <row r="329" ht="49" customHeight="1">
      <c r="A329" s="15" t="inlineStr">
        <is>
          <t>CAST-328</t>
        </is>
      </c>
      <c r="B329" s="18" t="inlineStr">
        <is>
          <t>FILM-069</t>
        </is>
      </c>
      <c r="C329" s="5" t="inlineStr">
        <is>
          <t>Doosra Aadmi</t>
        </is>
      </c>
      <c r="D329" s="17" t="n">
        <v>1977</v>
      </c>
      <c r="E329" s="5" t="inlineStr">
        <is>
          <t>Neetu Singh</t>
        </is>
      </c>
      <c r="F329" s="5" t="inlineStr">
        <is>
          <t>Timsy Saxena</t>
        </is>
      </c>
      <c r="G329" s="5" t="inlineStr">
        <is>
          <t>Supporting</t>
        </is>
      </c>
      <c r="H329" s="5" t="inlineStr">
        <is>
          <t>Major</t>
        </is>
      </c>
      <c r="I329" s="5" t="inlineStr">
        <is>
          <t>No connection to Kapoor's character, who is dead before her marriage begins.</t>
        </is>
      </c>
      <c r="J329" s="5" t="inlineStr">
        <is>
          <t>The marriage that Nisha's attachment to the dead man's likeness threatens.</t>
        </is>
      </c>
      <c r="K329" s="19" t="inlineStr">
        <is>
          <t>Karan's new wife, whose marriage is unsettled by her husband's resemblance to the man his colleague once loved.</t>
        </is>
      </c>
      <c r="L329" s="5" t="n"/>
      <c r="M329" s="5" t="inlineStr">
        <is>
          <t>SOURCE-055</t>
        </is>
      </c>
    </row>
    <row r="330" ht="64" customHeight="1">
      <c r="A330" s="15" t="inlineStr">
        <is>
          <t>CAST-329</t>
        </is>
      </c>
      <c r="B330" s="18" t="inlineStr">
        <is>
          <t>FILM-070</t>
        </is>
      </c>
      <c r="C330" s="5" t="inlineStr">
        <is>
          <t>Rahu Ketu</t>
        </is>
      </c>
      <c r="D330" s="17" t="n">
        <v>1978</v>
      </c>
      <c r="E330" s="5" t="inlineStr">
        <is>
          <t>Premnath</t>
        </is>
      </c>
      <c r="F330" s="5" t="inlineStr">
        <is>
          <t>Collector Nath / Rahu</t>
        </is>
      </c>
      <c r="G330" s="5" t="inlineStr">
        <is>
          <t>Co-lead</t>
        </is>
      </c>
      <c r="H330" s="5" t="inlineStr">
        <is>
          <t>Major</t>
        </is>
      </c>
      <c r="I330" s="5" t="inlineStr">
        <is>
          <t>One of the two title characters, opposite whom Kapoor plays a CBI officer. The article has no plot section, so the relation is undocumented.</t>
        </is>
      </c>
      <c r="J330" s="5" t="inlineStr">
        <is>
          <t>Not documented. Romance presence is left blank for the film.</t>
        </is>
      </c>
      <c r="K330" s="19" t="inlineStr">
        <is>
          <t>A double credit as Collector Nath and Rahu, one half of the pair the title names. The article gives a cast list and no synopsis.</t>
        </is>
      </c>
      <c r="L330" s="5" t="n"/>
      <c r="M330" s="5" t="inlineStr">
        <is>
          <t>SOURCE-059</t>
        </is>
      </c>
    </row>
    <row r="331" ht="49" customHeight="1">
      <c r="A331" s="15" t="inlineStr">
        <is>
          <t>CAST-330</t>
        </is>
      </c>
      <c r="B331" s="18" t="inlineStr">
        <is>
          <t>FILM-070</t>
        </is>
      </c>
      <c r="C331" s="5" t="inlineStr">
        <is>
          <t>Rahu Ketu</t>
        </is>
      </c>
      <c r="D331" s="17" t="n">
        <v>1978</v>
      </c>
      <c r="E331" s="5" t="inlineStr">
        <is>
          <t>Pran</t>
        </is>
      </c>
      <c r="F331" s="5" t="inlineStr">
        <is>
          <t>Karim / Ketu</t>
        </is>
      </c>
      <c r="G331" s="5" t="inlineStr">
        <is>
          <t>Co-lead</t>
        </is>
      </c>
      <c r="H331" s="5" t="inlineStr">
        <is>
          <t>Major</t>
        </is>
      </c>
      <c r="I331" s="5" t="inlineStr">
        <is>
          <t>The other title character, also on a double credit.</t>
        </is>
      </c>
      <c r="J331" s="5" t="inlineStr">
        <is>
          <t>Not documented.</t>
        </is>
      </c>
      <c r="K331" s="19" t="inlineStr">
        <is>
          <t>A double credit as Karim and Ketu, the second half of the title pair. With no plot in the article the scheme of the doubling is unrecorded.</t>
        </is>
      </c>
      <c r="L331" s="5" t="n"/>
      <c r="M331" s="5" t="inlineStr">
        <is>
          <t>SOURCE-059</t>
        </is>
      </c>
    </row>
    <row r="332" ht="49" customHeight="1">
      <c r="A332" s="15" t="inlineStr">
        <is>
          <t>CAST-331</t>
        </is>
      </c>
      <c r="B332" s="18" t="inlineStr">
        <is>
          <t>FILM-070</t>
        </is>
      </c>
      <c r="C332" s="5" t="inlineStr">
        <is>
          <t>Rahu Ketu</t>
        </is>
      </c>
      <c r="D332" s="17" t="n">
        <v>1978</v>
      </c>
      <c r="E332" s="5" t="inlineStr">
        <is>
          <t>Rekha</t>
        </is>
      </c>
      <c r="F332" s="5" t="inlineStr">
        <is>
          <t>Tulsi</t>
        </is>
      </c>
      <c r="G332" s="5" t="inlineStr">
        <is>
          <t>Co-lead</t>
        </is>
      </c>
      <c r="H332" s="5" t="inlineStr">
        <is>
          <t>Major</t>
        </is>
      </c>
      <c r="I332" s="5" t="inlineStr">
        <is>
          <t>The principal female part in a film where Kapoor is a CBI officer; the article does not place her.</t>
        </is>
      </c>
      <c r="J332" s="5" t="inlineStr">
        <is>
          <t>Not documented, which is why no Romances row was created.</t>
        </is>
      </c>
      <c r="K332" s="19" t="inlineStr">
        <is>
          <t>Credited as Tulsi, third-billed. The article carries a long cast list and no plot section.</t>
        </is>
      </c>
      <c r="L332" s="5" t="n"/>
      <c r="M332" s="5" t="inlineStr">
        <is>
          <t>SOURCE-059</t>
        </is>
      </c>
    </row>
    <row r="333" ht="19" customHeight="1">
      <c r="A333" s="15" t="inlineStr">
        <is>
          <t>CAST-332</t>
        </is>
      </c>
      <c r="B333" s="18" t="inlineStr">
        <is>
          <t>FILM-070</t>
        </is>
      </c>
      <c r="C333" s="5" t="inlineStr">
        <is>
          <t>Rahu Ketu</t>
        </is>
      </c>
      <c r="D333" s="17" t="n">
        <v>1978</v>
      </c>
      <c r="E333" s="5" t="inlineStr">
        <is>
          <t>Bindu</t>
        </is>
      </c>
      <c r="F333" s="5" t="inlineStr">
        <is>
          <t>Sheela</t>
        </is>
      </c>
      <c r="G333" s="5" t="inlineStr">
        <is>
          <t>Supporting</t>
        </is>
      </c>
      <c r="H333" s="5" t="inlineStr">
        <is>
          <t>Medium</t>
        </is>
      </c>
      <c r="I333" s="5" t="inlineStr">
        <is>
          <t>Not documented.</t>
        </is>
      </c>
      <c r="J333" s="5" t="inlineStr">
        <is>
          <t>Not documented.</t>
        </is>
      </c>
      <c r="K333" s="19" t="inlineStr">
        <is>
          <t>Credited as Sheela. The article has no synopsis.</t>
        </is>
      </c>
      <c r="L333" s="5" t="n"/>
      <c r="M333" s="5" t="inlineStr">
        <is>
          <t>SOURCE-059</t>
        </is>
      </c>
    </row>
    <row r="334" ht="34" customHeight="1">
      <c r="A334" s="15" t="inlineStr">
        <is>
          <t>CAST-333</t>
        </is>
      </c>
      <c r="B334" s="18" t="inlineStr">
        <is>
          <t>FILM-070</t>
        </is>
      </c>
      <c r="C334" s="5" t="inlineStr">
        <is>
          <t>Rahu Ketu</t>
        </is>
      </c>
      <c r="D334" s="17" t="n">
        <v>1978</v>
      </c>
      <c r="E334" s="5" t="inlineStr">
        <is>
          <t>Aruna Irani</t>
        </is>
      </c>
      <c r="F334" s="5" t="inlineStr">
        <is>
          <t>Rani</t>
        </is>
      </c>
      <c r="G334" s="5" t="inlineStr">
        <is>
          <t>Supporting</t>
        </is>
      </c>
      <c r="H334" s="5" t="inlineStr">
        <is>
          <t>Medium</t>
        </is>
      </c>
      <c r="I334" s="5" t="inlineStr">
        <is>
          <t>Not documented.</t>
        </is>
      </c>
      <c r="J334" s="5" t="inlineStr">
        <is>
          <t>Not documented.</t>
        </is>
      </c>
      <c r="K334" s="19" t="inlineStr">
        <is>
          <t>Credited as Rani, in a cast list that also carries two credited dancer-singers and no plot to place any of them.</t>
        </is>
      </c>
      <c r="L334" s="5" t="n"/>
      <c r="M334" s="5" t="inlineStr">
        <is>
          <t>SOURCE-059</t>
        </is>
      </c>
    </row>
    <row r="335" ht="64" customHeight="1">
      <c r="A335" s="15" t="inlineStr">
        <is>
          <t>CAST-334</t>
        </is>
      </c>
      <c r="B335" s="18" t="inlineStr">
        <is>
          <t>FILM-070</t>
        </is>
      </c>
      <c r="C335" s="5" t="inlineStr">
        <is>
          <t>Rahu Ketu</t>
        </is>
      </c>
      <c r="D335" s="17" t="n">
        <v>1978</v>
      </c>
      <c r="E335" s="5" t="inlineStr">
        <is>
          <t>Kamini Kaushal</t>
        </is>
      </c>
      <c r="F335" s="5" t="inlineStr">
        <is>
          <t>Chandramukhi</t>
        </is>
      </c>
      <c r="G335" s="5" t="inlineStr">
        <is>
          <t>Family</t>
        </is>
      </c>
      <c r="H335" s="5" t="inlineStr">
        <is>
          <t>Medium</t>
        </is>
      </c>
      <c r="I335" s="5" t="inlineStr">
        <is>
          <t>Not documented; by this stage of her career Kamini Kaushal's parts are maternal, but the article confirms nothing.</t>
        </is>
      </c>
      <c r="J335" s="5" t="inlineStr">
        <is>
          <t>Not documented.</t>
        </is>
      </c>
      <c r="K335" s="19" t="inlineStr">
        <is>
          <t>Credited as Chandramukhi. With no plot section the relation to the CBI officer or to the title pair is left unstated.</t>
        </is>
      </c>
      <c r="L335" s="5" t="n"/>
      <c r="M335" s="5" t="inlineStr">
        <is>
          <t>SOURCE-059</t>
        </is>
      </c>
    </row>
    <row r="336" ht="64" customHeight="1">
      <c r="A336" s="15" t="inlineStr">
        <is>
          <t>CAST-335</t>
        </is>
      </c>
      <c r="B336" s="18" t="inlineStr">
        <is>
          <t>FILM-071</t>
        </is>
      </c>
      <c r="C336" s="5" t="inlineStr">
        <is>
          <t>Do Musafir</t>
        </is>
      </c>
      <c r="D336" s="17" t="n">
        <v>1978</v>
      </c>
      <c r="E336" s="5" t="inlineStr">
        <is>
          <t>Ashok Kumar</t>
        </is>
      </c>
      <c r="F336" s="5" t="inlineStr">
        <is>
          <t>Kailashnath</t>
        </is>
      </c>
      <c r="G336" s="5" t="inlineStr">
        <is>
          <t>Co-lead</t>
        </is>
      </c>
      <c r="H336" s="5" t="inlineStr">
        <is>
          <t>Major</t>
        </is>
      </c>
      <c r="I336" s="5" t="inlineStr">
        <is>
          <t>First-billed, ahead of Kapoor's double role. The article has no plot section, so the relation is undocumented.</t>
        </is>
      </c>
      <c r="J336" s="5" t="inlineStr">
        <is>
          <t>Not documented. Romance presence is left blank for the film.</t>
        </is>
      </c>
      <c r="K336" s="19" t="inlineStr">
        <is>
          <t>Credited as Kailashnath and billed first. The article gives a cast list and no synopsis.</t>
        </is>
      </c>
      <c r="L336" s="5" t="n"/>
      <c r="M336" s="5" t="inlineStr">
        <is>
          <t>SOURCE-063</t>
        </is>
      </c>
    </row>
    <row r="337" ht="64" customHeight="1">
      <c r="A337" s="15" t="inlineStr">
        <is>
          <t>CAST-336</t>
        </is>
      </c>
      <c r="B337" s="18" t="inlineStr">
        <is>
          <t>FILM-071</t>
        </is>
      </c>
      <c r="C337" s="5" t="inlineStr">
        <is>
          <t>Do Musafir</t>
        </is>
      </c>
      <c r="D337" s="17" t="n">
        <v>1978</v>
      </c>
      <c r="E337" s="5" t="inlineStr">
        <is>
          <t>Rekha</t>
        </is>
      </c>
      <c r="F337" s="5" t="inlineStr">
        <is>
          <t>Bijli</t>
        </is>
      </c>
      <c r="G337" s="5" t="inlineStr">
        <is>
          <t>Co-lead</t>
        </is>
      </c>
      <c r="H337" s="5" t="inlineStr">
        <is>
          <t>Major</t>
        </is>
      </c>
      <c r="I337" s="5" t="inlineStr">
        <is>
          <t>The principal female part opposite Kapoor's Raju and Vicky; the article does not say which identity she belongs to.</t>
        </is>
      </c>
      <c r="J337" s="5" t="inlineStr">
        <is>
          <t>Not documented, which is why no Romances row was created.</t>
        </is>
      </c>
      <c r="K337" s="19" t="inlineStr">
        <is>
          <t>Credited as Bijli, third-billed. The film article carries no plot section.</t>
        </is>
      </c>
      <c r="L337" s="5" t="n"/>
      <c r="M337" s="5" t="inlineStr">
        <is>
          <t>SOURCE-063</t>
        </is>
      </c>
    </row>
    <row r="338" ht="34" customHeight="1">
      <c r="A338" s="15" t="inlineStr">
        <is>
          <t>CAST-337</t>
        </is>
      </c>
      <c r="B338" s="18" t="inlineStr">
        <is>
          <t>FILM-071</t>
        </is>
      </c>
      <c r="C338" s="5" t="inlineStr">
        <is>
          <t>Do Musafir</t>
        </is>
      </c>
      <c r="D338" s="17" t="n">
        <v>1978</v>
      </c>
      <c r="E338" s="5" t="inlineStr">
        <is>
          <t>Pran</t>
        </is>
      </c>
      <c r="F338" s="5" t="inlineStr">
        <is>
          <t>Shambhu Chaudhary</t>
        </is>
      </c>
      <c r="G338" s="5" t="inlineStr">
        <is>
          <t>Supporting</t>
        </is>
      </c>
      <c r="H338" s="5" t="inlineStr">
        <is>
          <t>Major</t>
        </is>
      </c>
      <c r="I338" s="5" t="inlineStr">
        <is>
          <t>Not documented beyond the credit.</t>
        </is>
      </c>
      <c r="J338" s="5" t="inlineStr">
        <is>
          <t>Not documented.</t>
        </is>
      </c>
      <c r="K338" s="19" t="inlineStr">
        <is>
          <t>Credited as Shambhu Chaudhary. The article has no synopsis to establish the part.</t>
        </is>
      </c>
      <c r="L338" s="5" t="n"/>
      <c r="M338" s="5" t="inlineStr">
        <is>
          <t>SOURCE-063</t>
        </is>
      </c>
    </row>
    <row r="339" ht="49" customHeight="1">
      <c r="A339" s="15" t="inlineStr">
        <is>
          <t>CAST-338</t>
        </is>
      </c>
      <c r="B339" s="18" t="inlineStr">
        <is>
          <t>FILM-071</t>
        </is>
      </c>
      <c r="C339" s="5" t="inlineStr">
        <is>
          <t>Do Musafir</t>
        </is>
      </c>
      <c r="D339" s="17" t="n">
        <v>1978</v>
      </c>
      <c r="E339" s="5" t="inlineStr">
        <is>
          <t>Prem Chopra</t>
        </is>
      </c>
      <c r="F339" s="5" t="inlineStr">
        <is>
          <t>Avinash Kumar</t>
        </is>
      </c>
      <c r="G339" s="5" t="inlineStr">
        <is>
          <t>Antagonist</t>
        </is>
      </c>
      <c r="H339" s="5" t="inlineStr">
        <is>
          <t>Major</t>
        </is>
      </c>
      <c r="I339" s="5" t="inlineStr">
        <is>
          <t>Not documented, though Prem Chopra's function in this period is consistently the antagonist.</t>
        </is>
      </c>
      <c r="J339" s="5" t="inlineStr">
        <is>
          <t>Not documented.</t>
        </is>
      </c>
      <c r="K339" s="19" t="inlineStr">
        <is>
          <t>Credited as Avinash Kumar. With no plot section in the article, the function is recorded from casting pattern rather than evidence.</t>
        </is>
      </c>
      <c r="L339" s="5" t="n"/>
      <c r="M339" s="5" t="inlineStr">
        <is>
          <t>SOURCE-063</t>
        </is>
      </c>
    </row>
    <row r="340" ht="34" customHeight="1">
      <c r="A340" s="15" t="inlineStr">
        <is>
          <t>CAST-339</t>
        </is>
      </c>
      <c r="B340" s="18" t="inlineStr">
        <is>
          <t>FILM-071</t>
        </is>
      </c>
      <c r="C340" s="5" t="inlineStr">
        <is>
          <t>Do Musafir</t>
        </is>
      </c>
      <c r="D340" s="17" t="n">
        <v>1978</v>
      </c>
      <c r="E340" s="5" t="inlineStr">
        <is>
          <t>Jagdeep</t>
        </is>
      </c>
      <c r="F340" s="5" t="inlineStr">
        <is>
          <t>Murli</t>
        </is>
      </c>
      <c r="G340" s="5" t="inlineStr">
        <is>
          <t>Comic support</t>
        </is>
      </c>
      <c r="H340" s="5" t="inlineStr">
        <is>
          <t>Medium</t>
        </is>
      </c>
      <c r="I340" s="5" t="inlineStr">
        <is>
          <t>Not documented.</t>
        </is>
      </c>
      <c r="J340" s="5" t="inlineStr">
        <is>
          <t>Not documented.</t>
        </is>
      </c>
      <c r="K340" s="19" t="inlineStr">
        <is>
          <t>Credited as Murli, in the comic register. The article gives no plot.</t>
        </is>
      </c>
      <c r="L340" s="5" t="n"/>
      <c r="M340" s="5" t="inlineStr">
        <is>
          <t>SOURCE-063</t>
        </is>
      </c>
    </row>
    <row r="341" ht="34" customHeight="1">
      <c r="A341" s="15" t="inlineStr">
        <is>
          <t>CAST-340</t>
        </is>
      </c>
      <c r="B341" s="18" t="inlineStr">
        <is>
          <t>FILM-071</t>
        </is>
      </c>
      <c r="C341" s="5" t="inlineStr">
        <is>
          <t>Do Musafir</t>
        </is>
      </c>
      <c r="D341" s="17" t="n">
        <v>1978</v>
      </c>
      <c r="E341" s="5" t="inlineStr">
        <is>
          <t>Meena T.</t>
        </is>
      </c>
      <c r="F341" s="5" t="inlineStr">
        <is>
          <t>Bela</t>
        </is>
      </c>
      <c r="G341" s="5" t="inlineStr">
        <is>
          <t>Supporting</t>
        </is>
      </c>
      <c r="H341" s="5" t="inlineStr">
        <is>
          <t>Medium</t>
        </is>
      </c>
      <c r="I341" s="5" t="inlineStr">
        <is>
          <t>Not documented.</t>
        </is>
      </c>
      <c r="J341" s="5" t="inlineStr">
        <is>
          <t>Not documented.</t>
        </is>
      </c>
      <c r="K341" s="19" t="inlineStr">
        <is>
          <t>Credited as Bela, with Manorama as her aunt Maya, a family unit the article does not place in any story.</t>
        </is>
      </c>
      <c r="L341" s="5" t="n"/>
      <c r="M341" s="5" t="inlineStr">
        <is>
          <t>SOURCE-063</t>
        </is>
      </c>
    </row>
    <row r="342" ht="79" customHeight="1">
      <c r="A342" s="15" t="inlineStr">
        <is>
          <t>CAST-341</t>
        </is>
      </c>
      <c r="B342" s="18" t="inlineStr">
        <is>
          <t>FILM-072</t>
        </is>
      </c>
      <c r="C342" s="5" t="inlineStr">
        <is>
          <t>Trishna</t>
        </is>
      </c>
      <c r="D342" s="17" t="n">
        <v>1978</v>
      </c>
      <c r="E342" s="5" t="inlineStr">
        <is>
          <t>Raakhee</t>
        </is>
      </c>
      <c r="F342" s="5" t="inlineStr">
        <is>
          <t>Aarti Gupta</t>
        </is>
      </c>
      <c r="G342" s="5" t="inlineStr">
        <is>
          <t>Co-lead</t>
        </is>
      </c>
      <c r="H342" s="5" t="inlineStr">
        <is>
          <t>Major</t>
        </is>
      </c>
      <c r="I342" s="5" t="inlineStr">
        <is>
          <t>The married woman he pursues and who kills him in the struggle; then the woman who must stop her own husband from curing his amnesia.</t>
        </is>
      </c>
      <c r="J342" s="5" t="inlineStr">
        <is>
          <t>The pairing recorded in the Romances sheet as obsessive pursuit, and one of the few in the filmography where Kapoor plays the aggressor rather than the suitor.</t>
        </is>
      </c>
      <c r="K342" s="19" t="inlineStr">
        <is>
          <t>A childless wife who goes alone to her husband's Khandala bungalow, is pursued by the decorator she knew slightly at college, kills him accidentally in the struggle, disposes of the body with her sister's help, and finds him brought back into the house as an amnesiac patient.</t>
        </is>
      </c>
      <c r="L342" s="5" t="n"/>
      <c r="M342" s="5" t="inlineStr">
        <is>
          <t>SOURCE-064</t>
        </is>
      </c>
    </row>
    <row r="343" ht="79" customHeight="1">
      <c r="A343" s="15" t="inlineStr">
        <is>
          <t>CAST-342</t>
        </is>
      </c>
      <c r="B343" s="18" t="inlineStr">
        <is>
          <t>FILM-072</t>
        </is>
      </c>
      <c r="C343" s="5" t="inlineStr">
        <is>
          <t>Trishna</t>
        </is>
      </c>
      <c r="D343" s="17" t="n">
        <v>1978</v>
      </c>
      <c r="E343" s="5" t="inlineStr">
        <is>
          <t>Sanjeev Kumar</t>
        </is>
      </c>
      <c r="F343" s="5" t="inlineStr">
        <is>
          <t>Dr. Sunil Gupta</t>
        </is>
      </c>
      <c r="G343" s="5" t="inlineStr">
        <is>
          <t>Co-lead</t>
        </is>
      </c>
      <c r="H343" s="5" t="inlineStr">
        <is>
          <t>Major</t>
        </is>
      </c>
      <c r="I343" s="5" t="inlineStr">
        <is>
          <t>The husband of the woman he pursued, and the doctor whose professional competence is the threat: his treatment will restore the memory that condemns his own wife.</t>
        </is>
      </c>
      <c r="J343" s="5" t="inlineStr">
        <is>
          <t>The marriage the pursuit violates, and the instrument of the film's suspense.</t>
        </is>
      </c>
      <c r="K343" s="19" t="inlineStr">
        <is>
          <t>A wealthy doctor childless after years of marriage, who brings home a man claiming to have lost his memory, diagnoses a gradual recovery, and works towards the restoration that would expose his wife.</t>
        </is>
      </c>
      <c r="L343" s="5" t="n"/>
      <c r="M343" s="5" t="inlineStr">
        <is>
          <t>SOURCE-064</t>
        </is>
      </c>
    </row>
    <row r="344" ht="49" customHeight="1">
      <c r="A344" s="15" t="inlineStr">
        <is>
          <t>CAST-343</t>
        </is>
      </c>
      <c r="B344" s="18" t="inlineStr">
        <is>
          <t>FILM-072</t>
        </is>
      </c>
      <c r="C344" s="5" t="inlineStr">
        <is>
          <t>Trishna</t>
        </is>
      </c>
      <c r="D344" s="17" t="n">
        <v>1978</v>
      </c>
      <c r="E344" s="5" t="inlineStr">
        <is>
          <t>Bindu</t>
        </is>
      </c>
      <c r="F344" s="5" t="inlineStr">
        <is>
          <t>Vidya</t>
        </is>
      </c>
      <c r="G344" s="5" t="inlineStr">
        <is>
          <t>Supporting</t>
        </is>
      </c>
      <c r="H344" s="5" t="inlineStr">
        <is>
          <t>Major</t>
        </is>
      </c>
      <c r="I344" s="5" t="inlineStr">
        <is>
          <t>The sister-in-law who hired him to decorate the bungalow, and who then helps dispose of his body.</t>
        </is>
      </c>
      <c r="J344" s="5" t="inlineStr">
        <is>
          <t>Sets the pursuit in motion by the hiring, and covers up its consequence.</t>
        </is>
      </c>
      <c r="K344" s="19" t="inlineStr">
        <is>
          <t>Aarti's sister, living near the Khandala bungalow, who engages Vinod to decorate it as a fellow she remembers from college, and afterwards helps her sister hide what she has done.</t>
        </is>
      </c>
      <c r="L344" s="5" t="n"/>
      <c r="M344" s="5" t="inlineStr">
        <is>
          <t>SOURCE-064</t>
        </is>
      </c>
    </row>
    <row r="345" ht="49" customHeight="1">
      <c r="A345" s="15" t="inlineStr">
        <is>
          <t>CAST-344</t>
        </is>
      </c>
      <c r="B345" s="18" t="inlineStr">
        <is>
          <t>FILM-072</t>
        </is>
      </c>
      <c r="C345" s="5" t="inlineStr">
        <is>
          <t>Trishna</t>
        </is>
      </c>
      <c r="D345" s="17" t="n">
        <v>1978</v>
      </c>
      <c r="E345" s="5" t="inlineStr">
        <is>
          <t>Sujit Kumar</t>
        </is>
      </c>
      <c r="F345" s="5" t="inlineStr">
        <is>
          <t>Retired Army Major</t>
        </is>
      </c>
      <c r="G345" s="5" t="inlineStr">
        <is>
          <t>Family</t>
        </is>
      </c>
      <c r="H345" s="5" t="inlineStr">
        <is>
          <t>Medium</t>
        </is>
      </c>
      <c r="I345" s="5" t="inlineStr">
        <is>
          <t>Vidya's husband, in the household next to the bungalow where the killing happens.</t>
        </is>
      </c>
      <c r="J345" s="5" t="inlineStr">
        <is>
          <t>No part in it.</t>
        </is>
      </c>
      <c r="K345" s="19" t="inlineStr">
        <is>
          <t>A retired army major, Vidya's husband, with whom she lives near the Khandala bungalow along with their son Raju.</t>
        </is>
      </c>
      <c r="L345" s="5" t="n"/>
      <c r="M345" s="5" t="inlineStr">
        <is>
          <t>SOURCE-064</t>
        </is>
      </c>
    </row>
    <row r="346" ht="34" customHeight="1">
      <c r="A346" s="15" t="inlineStr">
        <is>
          <t>CAST-345</t>
        </is>
      </c>
      <c r="B346" s="18" t="inlineStr">
        <is>
          <t>FILM-072</t>
        </is>
      </c>
      <c r="C346" s="5" t="inlineStr">
        <is>
          <t>Trishna</t>
        </is>
      </c>
      <c r="D346" s="17" t="n">
        <v>1978</v>
      </c>
      <c r="E346" s="5" t="inlineStr">
        <is>
          <t>Dinesh Hingoo</t>
        </is>
      </c>
      <c r="F346" s="5" t="inlineStr">
        <is>
          <t>Bahadur</t>
        </is>
      </c>
      <c r="G346" s="5" t="inlineStr">
        <is>
          <t>Comic support</t>
        </is>
      </c>
      <c r="H346" s="5" t="inlineStr">
        <is>
          <t>Minor</t>
        </is>
      </c>
      <c r="I346" s="5" t="inlineStr">
        <is>
          <t>A household presence around the bungalow.</t>
        </is>
      </c>
      <c r="J346" s="5" t="inlineStr">
        <is>
          <t>No part in it.</t>
        </is>
      </c>
      <c r="K346" s="19" t="inlineStr">
        <is>
          <t>Credited as Bahadur, with Preeti Ganguli as Rosie, the film's comic relief against a concealed killing.</t>
        </is>
      </c>
      <c r="L346" s="5" t="n"/>
      <c r="M346" s="5" t="inlineStr">
        <is>
          <t>SOURCE-064</t>
        </is>
      </c>
    </row>
    <row r="347" ht="79" customHeight="1">
      <c r="A347" s="15" t="inlineStr">
        <is>
          <t>CAST-346</t>
        </is>
      </c>
      <c r="B347" s="18" t="inlineStr">
        <is>
          <t>FILM-074</t>
        </is>
      </c>
      <c r="C347" s="5" t="inlineStr">
        <is>
          <t>Amar Shakti</t>
        </is>
      </c>
      <c r="D347" s="17" t="n">
        <v>1978</v>
      </c>
      <c r="E347" s="5" t="inlineStr">
        <is>
          <t>Shatrughan Sinha</t>
        </is>
      </c>
      <c r="F347" s="5" t="inlineStr">
        <is>
          <t>Bada Kumar / Shakti Singh</t>
        </is>
      </c>
      <c r="G347" s="5" t="inlineStr">
        <is>
          <t>Co-lead</t>
        </is>
      </c>
      <c r="H347" s="5" t="inlineStr">
        <is>
          <t>Major</t>
        </is>
      </c>
      <c r="I347" s="5" t="inlineStr">
        <is>
          <t>The other half of the pairing the title names, on a double credit matching Kapoor's own. The article has no plot section, so the relation is undocumented.</t>
        </is>
      </c>
      <c r="J347" s="5" t="inlineStr">
        <is>
          <t>Not documented. Romance presence is left blank for the film.</t>
        </is>
      </c>
      <c r="K347" s="19" t="inlineStr">
        <is>
          <t>A double credit as Bada Kumar and Shakti Singh, opposite Kapoor's Chhota Kumar and Amar Singh; the title Amar Shakti pairs the two second names. The article gives no synopsis.</t>
        </is>
      </c>
      <c r="L347" s="5" t="n"/>
      <c r="M347" s="5" t="inlineStr">
        <is>
          <t>SOURCE-068</t>
        </is>
      </c>
    </row>
    <row r="348" ht="49" customHeight="1">
      <c r="A348" s="15" t="inlineStr">
        <is>
          <t>CAST-347</t>
        </is>
      </c>
      <c r="B348" s="18" t="inlineStr">
        <is>
          <t>FILM-074</t>
        </is>
      </c>
      <c r="C348" s="5" t="inlineStr">
        <is>
          <t>Amar Shakti</t>
        </is>
      </c>
      <c r="D348" s="17" t="n">
        <v>1978</v>
      </c>
      <c r="E348" s="5" t="inlineStr">
        <is>
          <t>Sulakshana Pandit</t>
        </is>
      </c>
      <c r="F348" s="5" t="inlineStr">
        <is>
          <t>Rajkumari Sunita Singh</t>
        </is>
      </c>
      <c r="G348" s="5" t="inlineStr">
        <is>
          <t>Co-lead</t>
        </is>
      </c>
      <c r="H348" s="5" t="inlineStr">
        <is>
          <t>Major</t>
        </is>
      </c>
      <c r="I348" s="5" t="inlineStr">
        <is>
          <t>The princess of the film's court, opposite Kapoor; the article does not place her against either brother.</t>
        </is>
      </c>
      <c r="J348" s="5" t="inlineStr">
        <is>
          <t>Not documented, which is why no Romances row was created.</t>
        </is>
      </c>
      <c r="K348" s="19" t="inlineStr">
        <is>
          <t>Credited as Rajkumari Sunita Singh, third-billed. The article carries a long cast list of princely titles and no plot.</t>
        </is>
      </c>
      <c r="L348" s="5" t="n"/>
      <c r="M348" s="5" t="inlineStr">
        <is>
          <t>SOURCE-068</t>
        </is>
      </c>
    </row>
    <row r="349" ht="79" customHeight="1">
      <c r="A349" s="15" t="inlineStr">
        <is>
          <t>CAST-348</t>
        </is>
      </c>
      <c r="B349" s="18" t="inlineStr">
        <is>
          <t>FILM-074</t>
        </is>
      </c>
      <c r="C349" s="5" t="inlineStr">
        <is>
          <t>Amar Shakti</t>
        </is>
      </c>
      <c r="D349" s="17" t="n">
        <v>1978</v>
      </c>
      <c r="E349" s="5" t="inlineStr">
        <is>
          <t>Pradeep Kumar</t>
        </is>
      </c>
      <c r="F349" s="5" t="inlineStr">
        <is>
          <t>Maharaj Shamsher Singh</t>
        </is>
      </c>
      <c r="G349" s="5" t="inlineStr">
        <is>
          <t>Family</t>
        </is>
      </c>
      <c r="H349" s="5" t="inlineStr">
        <is>
          <t>Major</t>
        </is>
      </c>
      <c r="I349" s="5" t="inlineStr">
        <is>
          <t>The maharaja of a court in which Kapoor's character carries the name Amar Singh, which suggests the father, though the article does not confirm it.</t>
        </is>
      </c>
      <c r="J349" s="5" t="inlineStr">
        <is>
          <t>Not documented.</t>
        </is>
      </c>
      <c r="K349" s="19" t="inlineStr">
        <is>
          <t>Credited as Maharaj Shamsher Singh. With no plot section the article leaves the succession the film turns on unexplained.</t>
        </is>
      </c>
      <c r="L349" s="5" t="n"/>
      <c r="M349" s="5" t="inlineStr">
        <is>
          <t>SOURCE-068</t>
        </is>
      </c>
    </row>
    <row r="350" ht="49" customHeight="1">
      <c r="A350" s="15" t="inlineStr">
        <is>
          <t>CAST-349</t>
        </is>
      </c>
      <c r="B350" s="18" t="inlineStr">
        <is>
          <t>FILM-074</t>
        </is>
      </c>
      <c r="C350" s="5" t="inlineStr">
        <is>
          <t>Amar Shakti</t>
        </is>
      </c>
      <c r="D350" s="17" t="n">
        <v>1978</v>
      </c>
      <c r="E350" s="5" t="inlineStr">
        <is>
          <t>Jeevan</t>
        </is>
      </c>
      <c r="F350" s="5" t="inlineStr">
        <is>
          <t>Diwan Nahar Singh</t>
        </is>
      </c>
      <c r="G350" s="5" t="inlineStr">
        <is>
          <t>Antagonist</t>
        </is>
      </c>
      <c r="H350" s="5" t="inlineStr">
        <is>
          <t>Major</t>
        </is>
      </c>
      <c r="I350" s="5" t="inlineStr">
        <is>
          <t>Not documented, though a scheming diwan is the standing antagonist of this kind of costume film.</t>
        </is>
      </c>
      <c r="J350" s="5" t="inlineStr">
        <is>
          <t>Not documented.</t>
        </is>
      </c>
      <c r="K350" s="19" t="inlineStr">
        <is>
          <t>Credited as Diwan Nahar Singh, the court minister of a princely drama whose plot the article does not record.</t>
        </is>
      </c>
      <c r="L350" s="5" t="n"/>
      <c r="M350" s="5" t="inlineStr">
        <is>
          <t>SOURCE-068</t>
        </is>
      </c>
    </row>
    <row r="351" ht="64" customHeight="1">
      <c r="A351" s="15" t="inlineStr">
        <is>
          <t>CAST-350</t>
        </is>
      </c>
      <c r="B351" s="18" t="inlineStr">
        <is>
          <t>FILM-074</t>
        </is>
      </c>
      <c r="C351" s="5" t="inlineStr">
        <is>
          <t>Amar Shakti</t>
        </is>
      </c>
      <c r="D351" s="17" t="n">
        <v>1978</v>
      </c>
      <c r="E351" s="5" t="inlineStr">
        <is>
          <t>Ranjan</t>
        </is>
      </c>
      <c r="F351" s="5" t="inlineStr">
        <is>
          <t>Amar's fencing guru</t>
        </is>
      </c>
      <c r="G351" s="5" t="inlineStr">
        <is>
          <t>Mentor</t>
        </is>
      </c>
      <c r="H351" s="5" t="inlineStr">
        <is>
          <t>Medium</t>
        </is>
      </c>
      <c r="I351" s="5" t="inlineStr">
        <is>
          <t>Teacher to the Amar Singh identity Kapoor plays, which is the one relation the cast list states for his character.</t>
        </is>
      </c>
      <c r="J351" s="5" t="inlineStr">
        <is>
          <t>No part in it.</t>
        </is>
      </c>
      <c r="K351" s="19" t="inlineStr">
        <is>
          <t>Credited as the fencing guru of Kapoor's Amar, a part played by the swashbuckling star of an earlier generation.</t>
        </is>
      </c>
      <c r="L351" s="5" t="n"/>
      <c r="M351" s="5" t="inlineStr">
        <is>
          <t>SOURCE-068</t>
        </is>
      </c>
    </row>
    <row r="352" ht="49" customHeight="1">
      <c r="A352" s="15" t="inlineStr">
        <is>
          <t>CAST-351</t>
        </is>
      </c>
      <c r="B352" s="18" t="inlineStr">
        <is>
          <t>FILM-074</t>
        </is>
      </c>
      <c r="C352" s="5" t="inlineStr">
        <is>
          <t>Amar Shakti</t>
        </is>
      </c>
      <c r="D352" s="17" t="n">
        <v>1978</v>
      </c>
      <c r="E352" s="5" t="inlineStr">
        <is>
          <t>Ranjeet</t>
        </is>
      </c>
      <c r="F352" s="5" t="inlineStr">
        <is>
          <t>Hameera</t>
        </is>
      </c>
      <c r="G352" s="5" t="inlineStr">
        <is>
          <t>Antagonist</t>
        </is>
      </c>
      <c r="H352" s="5" t="inlineStr">
        <is>
          <t>Medium</t>
        </is>
      </c>
      <c r="I352" s="5" t="inlineStr">
        <is>
          <t>Not documented; the credit names him a sardar's son, with Om Shivpuri as Sardar Ajit Singh.</t>
        </is>
      </c>
      <c r="J352" s="5" t="inlineStr">
        <is>
          <t>Not documented.</t>
        </is>
      </c>
      <c r="K352" s="19" t="inlineStr">
        <is>
          <t>Credited as Hameera, son of Om Shivpuri's Sardar Ajit Singh, in a court drama the article does not summarise.</t>
        </is>
      </c>
      <c r="L352" s="5" t="n"/>
      <c r="M352" s="5" t="inlineStr">
        <is>
          <t>SOURCE-068</t>
        </is>
      </c>
    </row>
    <row r="353" ht="34" customHeight="1">
      <c r="A353" s="15" t="inlineStr">
        <is>
          <t>CAST-352</t>
        </is>
      </c>
      <c r="B353" s="18" t="inlineStr">
        <is>
          <t>FILM-074</t>
        </is>
      </c>
      <c r="C353" s="5" t="inlineStr">
        <is>
          <t>Amar Shakti</t>
        </is>
      </c>
      <c r="D353" s="17" t="n">
        <v>1978</v>
      </c>
      <c r="E353" s="5" t="inlineStr">
        <is>
          <t>Manjula Vijayakumar</t>
        </is>
      </c>
      <c r="F353" s="5" t="inlineStr">
        <is>
          <t>Chamki</t>
        </is>
      </c>
      <c r="G353" s="5" t="inlineStr">
        <is>
          <t>Supporting</t>
        </is>
      </c>
      <c r="H353" s="5" t="inlineStr">
        <is>
          <t>Medium</t>
        </is>
      </c>
      <c r="I353" s="5" t="inlineStr">
        <is>
          <t>Not documented.</t>
        </is>
      </c>
      <c r="J353" s="5" t="inlineStr">
        <is>
          <t>Not documented.</t>
        </is>
      </c>
      <c r="K353" s="19" t="inlineStr">
        <is>
          <t>Credited as Chamki, fourth-billed, the second female part in a film whose article has no plot section.</t>
        </is>
      </c>
      <c r="L353" s="5" t="n"/>
      <c r="M353" s="5" t="inlineStr">
        <is>
          <t>SOURCE-068</t>
        </is>
      </c>
    </row>
    <row r="354" ht="64" customHeight="1">
      <c r="A354" s="15" t="inlineStr">
        <is>
          <t>CAST-610</t>
        </is>
      </c>
      <c r="B354" s="18" t="inlineStr">
        <is>
          <t>FILM-075</t>
        </is>
      </c>
      <c r="C354" s="5" t="inlineStr">
        <is>
          <t>Phaansi</t>
        </is>
      </c>
      <c r="D354" s="17" t="n">
        <v>1978</v>
      </c>
      <c r="E354" s="5" t="inlineStr">
        <is>
          <t>Sulakshana Pandit</t>
        </is>
      </c>
      <c r="F354" s="5" t="n"/>
      <c r="G354" s="5" t="inlineStr">
        <is>
          <t>Co-lead</t>
        </is>
      </c>
      <c r="H354" s="5" t="inlineStr">
        <is>
          <t>Major</t>
        </is>
      </c>
      <c r="I354" s="5" t="inlineStr">
        <is>
          <t>Billed second to Kapoor, so the principal female part. The film article has no cast section and no plot, so the relation is undocumented.</t>
        </is>
      </c>
      <c r="J354" s="5" t="inlineStr">
        <is>
          <t>Not documented. Romance presence is left blank for the film and no Romances row was created.</t>
        </is>
      </c>
      <c r="K354" s="19" t="inlineStr">
        <is>
          <t>Billed second in the infobox, which is the article's only cast information: it carries neither a cast section nor a synopsis. Her third film opposite Kapoor after Salaakhen and Amar Shakti.</t>
        </is>
      </c>
      <c r="L354" s="5" t="n"/>
      <c r="M354" s="5" t="inlineStr">
        <is>
          <t>SOURCE-060</t>
        </is>
      </c>
    </row>
    <row r="355" ht="49" customHeight="1">
      <c r="A355" s="15" t="inlineStr">
        <is>
          <t>CAST-611</t>
        </is>
      </c>
      <c r="B355" s="18" t="inlineStr">
        <is>
          <t>FILM-075</t>
        </is>
      </c>
      <c r="C355" s="5" t="inlineStr">
        <is>
          <t>Phaansi</t>
        </is>
      </c>
      <c r="D355" s="17" t="n">
        <v>1978</v>
      </c>
      <c r="E355" s="5" t="inlineStr">
        <is>
          <t>Pran</t>
        </is>
      </c>
      <c r="F355" s="5" t="n"/>
      <c r="G355" s="5" t="inlineStr">
        <is>
          <t>Supporting</t>
        </is>
      </c>
      <c r="H355" s="5" t="inlineStr">
        <is>
          <t>Major</t>
        </is>
      </c>
      <c r="I355" s="5" t="inlineStr">
        <is>
          <t>Not documented; the name comes from the infobox's starring field, the article having no cast section.</t>
        </is>
      </c>
      <c r="J355" s="5" t="inlineStr">
        <is>
          <t>Not documented.</t>
        </is>
      </c>
      <c r="K355" s="19" t="inlineStr">
        <is>
          <t>Third-billed in the infobox. The article gives no character names and no plot, so nothing of the part is recorded.</t>
        </is>
      </c>
      <c r="L355" s="5" t="n"/>
      <c r="M355" s="5" t="inlineStr">
        <is>
          <t>SOURCE-060</t>
        </is>
      </c>
    </row>
    <row r="356" ht="64" customHeight="1">
      <c r="A356" s="15" t="inlineStr">
        <is>
          <t>CAST-612</t>
        </is>
      </c>
      <c r="B356" s="18" t="inlineStr">
        <is>
          <t>FILM-075</t>
        </is>
      </c>
      <c r="C356" s="5" t="inlineStr">
        <is>
          <t>Phaansi</t>
        </is>
      </c>
      <c r="D356" s="17" t="n">
        <v>1978</v>
      </c>
      <c r="E356" s="5" t="inlineStr">
        <is>
          <t>Ranjeet</t>
        </is>
      </c>
      <c r="F356" s="5" t="n"/>
      <c r="G356" s="5" t="inlineStr">
        <is>
          <t>Antagonist</t>
        </is>
      </c>
      <c r="H356" s="5" t="inlineStr">
        <is>
          <t>Major</t>
        </is>
      </c>
      <c r="I356" s="5" t="inlineStr">
        <is>
          <t>Not documented.</t>
        </is>
      </c>
      <c r="J356" s="5" t="inlineStr">
        <is>
          <t>Not documented.</t>
        </is>
      </c>
      <c r="K356" s="19" t="inlineStr">
        <is>
          <t>Fourth-billed in the infobox of a film titled 'the hanging'. The article has no cast section and no synopsis, so the function is taken from the actor's standing casting rather than from evidence.</t>
        </is>
      </c>
      <c r="L356" s="5" t="n"/>
      <c r="M356" s="5" t="inlineStr">
        <is>
          <t>SOURCE-060</t>
        </is>
      </c>
    </row>
    <row r="357" ht="34" customHeight="1">
      <c r="A357" s="15" t="inlineStr">
        <is>
          <t>CAST-613</t>
        </is>
      </c>
      <c r="B357" s="18" t="inlineStr">
        <is>
          <t>FILM-075</t>
        </is>
      </c>
      <c r="C357" s="5" t="inlineStr">
        <is>
          <t>Phaansi</t>
        </is>
      </c>
      <c r="D357" s="17" t="n">
        <v>1978</v>
      </c>
      <c r="E357" s="5" t="inlineStr">
        <is>
          <t>Jeevan</t>
        </is>
      </c>
      <c r="F357" s="5" t="n"/>
      <c r="G357" s="5" t="inlineStr">
        <is>
          <t>Antagonist</t>
        </is>
      </c>
      <c r="H357" s="5" t="inlineStr">
        <is>
          <t>Medium</t>
        </is>
      </c>
      <c r="I357" s="5" t="inlineStr">
        <is>
          <t>Not documented.</t>
        </is>
      </c>
      <c r="J357" s="5" t="inlineStr">
        <is>
          <t>Not documented.</t>
        </is>
      </c>
      <c r="K357" s="19" t="inlineStr">
        <is>
          <t>Fifth-billed in the infobox, the last of the five names the article supplies for the film.</t>
        </is>
      </c>
      <c r="L357" s="5" t="n"/>
      <c r="M357" s="5" t="inlineStr">
        <is>
          <t>SOURCE-060</t>
        </is>
      </c>
    </row>
    <row r="358" ht="79" customHeight="1">
      <c r="A358" s="15" t="inlineStr">
        <is>
          <t>CAST-353</t>
        </is>
      </c>
      <c r="B358" s="18" t="inlineStr">
        <is>
          <t>FILM-076</t>
        </is>
      </c>
      <c r="C358" s="5" t="inlineStr">
        <is>
          <t>Satyam Shivam Sundaram</t>
        </is>
      </c>
      <c r="D358" s="17" t="n">
        <v>1978</v>
      </c>
      <c r="E358" s="5" t="inlineStr">
        <is>
          <t>Zeenat Aman</t>
        </is>
      </c>
      <c r="F358" s="5" t="inlineStr">
        <is>
          <t>Roopa</t>
        </is>
      </c>
      <c r="G358" s="5" t="inlineStr">
        <is>
          <t>Co-lead</t>
        </is>
      </c>
      <c r="H358" s="5" t="inlineStr">
        <is>
          <t>Major</t>
        </is>
      </c>
      <c r="I358" s="5" t="inlineStr">
        <is>
          <t>The wife he rejects on the wedding night and the mistress he courts by night, both the same woman; the film is his refusal to identify them.</t>
        </is>
      </c>
      <c r="J358" s="5" t="inlineStr">
        <is>
          <t>The pairing recorded in the Romances sheet: a marriage under strain in which the strain is entirely the husband's idea of beauty.</t>
        </is>
      </c>
      <c r="K358" s="19" t="inlineStr">
        <is>
          <t>A village priest's daughter whose face was scarred by boiling oil as a child, who sings at the temple behind her veil, is loved for her voice, tries to have the match refused, marries and is disowned on the wedding night, and is then courted veiled by the same husband until she is pregnant.</t>
        </is>
      </c>
      <c r="L358" s="5" t="n"/>
      <c r="M358" s="5" t="inlineStr">
        <is>
          <t>SOURCE-061</t>
        </is>
      </c>
    </row>
    <row r="359" ht="49" customHeight="1">
      <c r="A359" s="15" t="inlineStr">
        <is>
          <t>CAST-354</t>
        </is>
      </c>
      <c r="B359" s="18" t="inlineStr">
        <is>
          <t>FILM-076</t>
        </is>
      </c>
      <c r="C359" s="5" t="inlineStr">
        <is>
          <t>Satyam Shivam Sundaram</t>
        </is>
      </c>
      <c r="D359" s="17" t="n">
        <v>1978</v>
      </c>
      <c r="E359" s="5" t="inlineStr">
        <is>
          <t>Padmini Kolhapure</t>
        </is>
      </c>
      <c r="F359" s="5" t="inlineStr">
        <is>
          <t>Young Roopa</t>
        </is>
      </c>
      <c r="G359" s="5" t="inlineStr">
        <is>
          <t>Supporting</t>
        </is>
      </c>
      <c r="H359" s="5" t="inlineStr">
        <is>
          <t>Medium</t>
        </is>
      </c>
      <c r="I359" s="5" t="inlineStr">
        <is>
          <t>No scenes with Kapoor's engineer; she plays the childhood accident that sets the whole story.</t>
        </is>
      </c>
      <c r="J359" s="5" t="inlineStr">
        <is>
          <t>Establishes the disfigurement the romance is built on refusing to see.</t>
        </is>
      </c>
      <c r="K359" s="19" t="inlineStr">
        <is>
          <t>Roopa as a child, whose right cheek and neck are burned by a pot of boiling oil, the injury she thereafter keeps under her sari.</t>
        </is>
      </c>
      <c r="L359" s="5" t="n"/>
      <c r="M359" s="5" t="inlineStr">
        <is>
          <t>SOURCE-061</t>
        </is>
      </c>
    </row>
    <row r="360" ht="79" customHeight="1">
      <c r="A360" s="15" t="inlineStr">
        <is>
          <t>CAST-355</t>
        </is>
      </c>
      <c r="B360" s="18" t="inlineStr">
        <is>
          <t>FILM-076</t>
        </is>
      </c>
      <c r="C360" s="5" t="inlineStr">
        <is>
          <t>Satyam Shivam Sundaram</t>
        </is>
      </c>
      <c r="D360" s="17" t="n">
        <v>1978</v>
      </c>
      <c r="E360" s="5" t="inlineStr">
        <is>
          <t>Kanhaiyalal</t>
        </is>
      </c>
      <c r="F360" s="5" t="inlineStr">
        <is>
          <t>Pandit Shyam Sunder</t>
        </is>
      </c>
      <c r="G360" s="5" t="inlineStr">
        <is>
          <t>Family</t>
        </is>
      </c>
      <c r="H360" s="5" t="inlineStr">
        <is>
          <t>Major</t>
        </is>
      </c>
      <c r="I360" s="5" t="inlineStr">
        <is>
          <t>Roopa's father, the village priest, from whom Rajeev asks her hand, and who is pressed by the village into consenting to a marriage he knows is founded on a misunderstanding.</t>
        </is>
      </c>
      <c r="J360" s="5" t="inlineStr">
        <is>
          <t>Permits the deception the film turns on, and is asked by his own daughter to refuse the proposal first.</t>
        </is>
      </c>
      <c r="K360" s="19" t="inlineStr">
        <is>
          <t>The village priest, Roopa's father, approached for his daughter's hand by an engineer who has not seen her scarred side, asked by Roopa herself to reject the proposal, and talked round by the village.</t>
        </is>
      </c>
      <c r="L360" s="5" t="n"/>
      <c r="M360" s="5" t="inlineStr">
        <is>
          <t>SOURCE-061</t>
        </is>
      </c>
    </row>
    <row r="361" ht="34" customHeight="1">
      <c r="A361" s="15" t="inlineStr">
        <is>
          <t>CAST-356</t>
        </is>
      </c>
      <c r="B361" s="18" t="inlineStr">
        <is>
          <t>FILM-076</t>
        </is>
      </c>
      <c r="C361" s="5" t="inlineStr">
        <is>
          <t>Satyam Shivam Sundaram</t>
        </is>
      </c>
      <c r="D361" s="17" t="n">
        <v>1978</v>
      </c>
      <c r="E361" s="5" t="inlineStr">
        <is>
          <t>A. K. Hangal</t>
        </is>
      </c>
      <c r="F361" s="5" t="inlineStr">
        <is>
          <t>Bansi</t>
        </is>
      </c>
      <c r="G361" s="5" t="inlineStr">
        <is>
          <t>Family</t>
        </is>
      </c>
      <c r="H361" s="5" t="inlineStr">
        <is>
          <t>Medium</t>
        </is>
      </c>
      <c r="I361" s="5" t="inlineStr">
        <is>
          <t>Roopa's uncle, part of the village household the engineer marries into.</t>
        </is>
      </c>
      <c r="J361" s="5" t="inlineStr">
        <is>
          <t>Among those who press the marriage forward.</t>
        </is>
      </c>
      <c r="K361" s="19" t="inlineStr">
        <is>
          <t>Credited as Bansi, Roopa's uncle, in the village family whose interest in the match overrides her own misgivings.</t>
        </is>
      </c>
      <c r="L361" s="5" t="n"/>
      <c r="M361" s="5" t="inlineStr">
        <is>
          <t>SOURCE-061</t>
        </is>
      </c>
    </row>
    <row r="362" ht="34" customHeight="1">
      <c r="A362" s="15" t="inlineStr">
        <is>
          <t>CAST-357</t>
        </is>
      </c>
      <c r="B362" s="18" t="inlineStr">
        <is>
          <t>FILM-076</t>
        </is>
      </c>
      <c r="C362" s="5" t="inlineStr">
        <is>
          <t>Satyam Shivam Sundaram</t>
        </is>
      </c>
      <c r="D362" s="17" t="n">
        <v>1978</v>
      </c>
      <c r="E362" s="5" t="inlineStr">
        <is>
          <t>David Abraham Cheulkar</t>
        </is>
      </c>
      <c r="F362" s="5" t="inlineStr">
        <is>
          <t>Bade Babu</t>
        </is>
      </c>
      <c r="G362" s="5" t="inlineStr">
        <is>
          <t>Supporting</t>
        </is>
      </c>
      <c r="H362" s="5" t="inlineStr">
        <is>
          <t>Medium</t>
        </is>
      </c>
      <c r="I362" s="5" t="inlineStr">
        <is>
          <t>Belongs to the dam works Rajeev has come to oversee.</t>
        </is>
      </c>
      <c r="J362" s="5" t="inlineStr">
        <is>
          <t>Peripheral to the marriage plot.</t>
        </is>
      </c>
      <c r="K362" s="19" t="inlineStr">
        <is>
          <t>Credited as Bade Babu, with Leela Chitnis as his wife, among the engineering establishment around the dam.</t>
        </is>
      </c>
      <c r="L362" s="5" t="n"/>
      <c r="M362" s="5" t="inlineStr">
        <is>
          <t>SOURCE-061</t>
        </is>
      </c>
    </row>
    <row r="363" ht="34" customHeight="1">
      <c r="A363" s="15" t="inlineStr">
        <is>
          <t>CAST-358</t>
        </is>
      </c>
      <c r="B363" s="18" t="inlineStr">
        <is>
          <t>FILM-076</t>
        </is>
      </c>
      <c r="C363" s="5" t="inlineStr">
        <is>
          <t>Satyam Shivam Sundaram</t>
        </is>
      </c>
      <c r="D363" s="17" t="n">
        <v>1978</v>
      </c>
      <c r="E363" s="5" t="inlineStr">
        <is>
          <t>Hari Shivdasani</t>
        </is>
      </c>
      <c r="F363" s="5" t="inlineStr">
        <is>
          <t>Chief Engineer</t>
        </is>
      </c>
      <c r="G363" s="5" t="inlineStr">
        <is>
          <t>Authority figure</t>
        </is>
      </c>
      <c r="H363" s="5" t="inlineStr">
        <is>
          <t>Minor</t>
        </is>
      </c>
      <c r="I363" s="5" t="inlineStr">
        <is>
          <t>Rajeev's superior on the dam project that brought him to the village.</t>
        </is>
      </c>
      <c r="J363" s="5" t="inlineStr">
        <is>
          <t>No part in it.</t>
        </is>
      </c>
      <c r="K363" s="19" t="inlineStr">
        <is>
          <t>The chief engineer over the major dam Rajeev arrives in the village to oversee.</t>
        </is>
      </c>
      <c r="L363" s="5" t="n"/>
      <c r="M363" s="5" t="inlineStr">
        <is>
          <t>SOURCE-061</t>
        </is>
      </c>
    </row>
    <row r="364" ht="49" customHeight="1">
      <c r="A364" s="15" t="inlineStr">
        <is>
          <t>CAST-359</t>
        </is>
      </c>
      <c r="B364" s="18" t="inlineStr">
        <is>
          <t>FILM-077</t>
        </is>
      </c>
      <c r="C364" s="5" t="inlineStr">
        <is>
          <t>Aahuti</t>
        </is>
      </c>
      <c r="D364" s="17" t="n">
        <v>1978</v>
      </c>
      <c r="E364" s="5" t="inlineStr">
        <is>
          <t>Rajendra Kumar</t>
        </is>
      </c>
      <c r="F364" s="5" t="inlineStr">
        <is>
          <t>Ram Prasad / Rocky</t>
        </is>
      </c>
      <c r="G364" s="5" t="inlineStr">
        <is>
          <t>Co-lead</t>
        </is>
      </c>
      <c r="H364" s="5" t="inlineStr">
        <is>
          <t>Major</t>
        </is>
      </c>
      <c r="I364" s="5" t="inlineStr">
        <is>
          <t>His elder brother, presumed dead with him in the sabotaged bus, grown up separately into a CID inspector.</t>
        </is>
      </c>
      <c r="J364" s="5" t="inlineStr">
        <is>
          <t>Outside Laxman's romance.</t>
        </is>
      </c>
      <c r="K364" s="19" t="inlineStr">
        <is>
          <t>The eldest of Harnam Prasad's three sons, thrown off a cliff in the sabotaged picnic bus and assumed dead, who grows up to be a CID inspector working under the alias Rocky.</t>
        </is>
      </c>
      <c r="L364" s="5" t="n"/>
      <c r="M364" s="5" t="inlineStr">
        <is>
          <t>SOURCE-069</t>
        </is>
      </c>
    </row>
    <row r="365" ht="64" customHeight="1">
      <c r="A365" s="15" t="inlineStr">
        <is>
          <t>CAST-360</t>
        </is>
      </c>
      <c r="B365" s="18" t="inlineStr">
        <is>
          <t>FILM-077</t>
        </is>
      </c>
      <c r="C365" s="5" t="inlineStr">
        <is>
          <t>Aahuti</t>
        </is>
      </c>
      <c r="D365" s="17" t="n">
        <v>1978</v>
      </c>
      <c r="E365" s="5" t="inlineStr">
        <is>
          <t>Rakesh Roshan</t>
        </is>
      </c>
      <c r="F365" s="5" t="inlineStr">
        <is>
          <t>Bharat Prasad / Badshah</t>
        </is>
      </c>
      <c r="G365" s="5" t="inlineStr">
        <is>
          <t>Co-lead</t>
        </is>
      </c>
      <c r="H365" s="5" t="inlineStr">
        <is>
          <t>Major</t>
        </is>
      </c>
      <c r="I365" s="5" t="inlineStr">
        <is>
          <t>The youngest brother, taken the other way: a criminal fisherman working for the man who destroyed their family.</t>
        </is>
      </c>
      <c r="J365" s="5" t="inlineStr">
        <is>
          <t>Holds his own attachment to Poonam, whose mother Heeralal murdered.</t>
        </is>
      </c>
      <c r="K365" s="19" t="inlineStr">
        <is>
          <t>The third son, lost at sea with his father and waylaid into crime, now a criminal fisherman in Heeralal's service with Poonam as his accomplice, unaware whom he is working for.</t>
        </is>
      </c>
      <c r="L365" s="5" t="n"/>
      <c r="M365" s="5" t="inlineStr">
        <is>
          <t>SOURCE-069</t>
        </is>
      </c>
    </row>
    <row r="366" ht="49" customHeight="1">
      <c r="A366" s="15" t="inlineStr">
        <is>
          <t>CAST-361</t>
        </is>
      </c>
      <c r="B366" s="18" t="inlineStr">
        <is>
          <t>FILM-077</t>
        </is>
      </c>
      <c r="C366" s="5" t="inlineStr">
        <is>
          <t>Aahuti</t>
        </is>
      </c>
      <c r="D366" s="17" t="n">
        <v>1978</v>
      </c>
      <c r="E366" s="5" t="inlineStr">
        <is>
          <t>Parveen Babi</t>
        </is>
      </c>
      <c r="F366" s="5" t="inlineStr">
        <is>
          <t>Rekha</t>
        </is>
      </c>
      <c r="G366" s="5" t="inlineStr">
        <is>
          <t>Co-lead</t>
        </is>
      </c>
      <c r="H366" s="5" t="inlineStr">
        <is>
          <t>Major</t>
        </is>
      </c>
      <c r="I366" s="5" t="inlineStr">
        <is>
          <t>Kapoor's romantic partner, in a film whose business is the scattering and reassembly of a family.</t>
        </is>
      </c>
      <c r="J366" s="5" t="inlineStr">
        <is>
          <t>The pairing recorded in the Romances sheet, and subordinate to the revenge plot.</t>
        </is>
      </c>
      <c r="K366" s="19" t="inlineStr">
        <is>
          <t>Credited as Rekha, paired with Kapoor's Laxman Prasad, the factory worker among the three brothers.</t>
        </is>
      </c>
      <c r="L366" s="5" t="n"/>
      <c r="M366" s="5" t="inlineStr">
        <is>
          <t>SOURCE-069</t>
        </is>
      </c>
    </row>
    <row r="367" ht="64" customHeight="1">
      <c r="A367" s="15" t="inlineStr">
        <is>
          <t>CAST-362</t>
        </is>
      </c>
      <c r="B367" s="18" t="inlineStr">
        <is>
          <t>FILM-077</t>
        </is>
      </c>
      <c r="C367" s="5" t="inlineStr">
        <is>
          <t>Aahuti</t>
        </is>
      </c>
      <c r="D367" s="17" t="n">
        <v>1978</v>
      </c>
      <c r="E367" s="5" t="inlineStr">
        <is>
          <t>Ajit</t>
        </is>
      </c>
      <c r="F367" s="5" t="inlineStr">
        <is>
          <t>Harnam Prasad</t>
        </is>
      </c>
      <c r="G367" s="5" t="inlineStr">
        <is>
          <t>Family</t>
        </is>
      </c>
      <c r="H367" s="5" t="inlineStr">
        <is>
          <t>Major</t>
        </is>
      </c>
      <c r="I367" s="5" t="inlineStr">
        <is>
          <t>His father, and the cause of everything: it is his testimony as eyewitness that brings the gang's revenge down on his own family.</t>
        </is>
      </c>
      <c r="J367" s="5" t="inlineStr">
        <is>
          <t>No part in it.</t>
        </is>
      </c>
      <c r="K367" s="19" t="inlineStr">
        <is>
          <t>A devout customs officer who witnesses Heeralal's smuggling and his murder of a fisherwoman, testifies to both, and sees his wife crippled, his house burned and his three sons scattered in reprisal.</t>
        </is>
      </c>
      <c r="L367" s="5" t="n"/>
      <c r="M367" s="5" t="inlineStr">
        <is>
          <t>SOURCE-069</t>
        </is>
      </c>
    </row>
    <row r="368" ht="49" customHeight="1">
      <c r="A368" s="15" t="inlineStr">
        <is>
          <t>CAST-363</t>
        </is>
      </c>
      <c r="B368" s="18" t="inlineStr">
        <is>
          <t>FILM-077</t>
        </is>
      </c>
      <c r="C368" s="5" t="inlineStr">
        <is>
          <t>Aahuti</t>
        </is>
      </c>
      <c r="D368" s="17" t="n">
        <v>1978</v>
      </c>
      <c r="E368" s="5" t="inlineStr">
        <is>
          <t>Kamini Kaushal</t>
        </is>
      </c>
      <c r="F368" s="5" t="inlineStr">
        <is>
          <t>Kaushalya Prasad</t>
        </is>
      </c>
      <c r="G368" s="5" t="inlineStr">
        <is>
          <t>Family</t>
        </is>
      </c>
      <c r="H368" s="5" t="inlineStr">
        <is>
          <t>Major</t>
        </is>
      </c>
      <c r="I368" s="5" t="inlineStr">
        <is>
          <t>His mother, who loses her legs in the fire set by the gang and believes all three sons dead.</t>
        </is>
      </c>
      <c r="J368" s="5" t="inlineStr">
        <is>
          <t>No part in it.</t>
        </is>
      </c>
      <c r="K368" s="19" t="inlineStr">
        <is>
          <t>Harnam's wife, attacked with kerosene fire that burns down the house and costs her both legs, saved from suicide by a woman who takes her into her own home.</t>
        </is>
      </c>
      <c r="L368" s="5" t="n"/>
      <c r="M368" s="5" t="inlineStr">
        <is>
          <t>SOURCE-069</t>
        </is>
      </c>
    </row>
    <row r="369" ht="64" customHeight="1">
      <c r="A369" s="15" t="inlineStr">
        <is>
          <t>CAST-364</t>
        </is>
      </c>
      <c r="B369" s="18" t="inlineStr">
        <is>
          <t>FILM-077</t>
        </is>
      </c>
      <c r="C369" s="5" t="inlineStr">
        <is>
          <t>Aahuti</t>
        </is>
      </c>
      <c r="D369" s="17" t="n">
        <v>1978</v>
      </c>
      <c r="E369" s="5" t="inlineStr">
        <is>
          <t>Madan Puri</t>
        </is>
      </c>
      <c r="F369" s="5" t="inlineStr">
        <is>
          <t>Heeralal</t>
        </is>
      </c>
      <c r="G369" s="5" t="inlineStr">
        <is>
          <t>Antagonist</t>
        </is>
      </c>
      <c r="H369" s="5" t="inlineStr">
        <is>
          <t>Major</t>
        </is>
      </c>
      <c r="I369" s="5" t="inlineStr">
        <is>
          <t>The smuggler whose revenge destroyed his family and who, released from jail, now employs his youngest brother.</t>
        </is>
      </c>
      <c r="J369" s="5" t="inlineStr">
        <is>
          <t>No part in it.</t>
        </is>
      </c>
      <c r="K369" s="19" t="inlineStr">
        <is>
          <t>A smuggler who kills a fisherwoman to stop her testimony, is jailed on Harnam's evidence, and on release runs gold and uranium with the dead woman's daughter and the youngest Prasad son in his employ.</t>
        </is>
      </c>
      <c r="L369" s="5" t="n"/>
      <c r="M369" s="5" t="inlineStr">
        <is>
          <t>SOURCE-069</t>
        </is>
      </c>
    </row>
    <row r="370" ht="49" customHeight="1">
      <c r="A370" s="15" t="inlineStr">
        <is>
          <t>CAST-365</t>
        </is>
      </c>
      <c r="B370" s="18" t="inlineStr">
        <is>
          <t>FILM-077</t>
        </is>
      </c>
      <c r="C370" s="5" t="inlineStr">
        <is>
          <t>Aahuti</t>
        </is>
      </c>
      <c r="D370" s="17" t="n">
        <v>1978</v>
      </c>
      <c r="E370" s="5" t="inlineStr">
        <is>
          <t>Asha Sachdev</t>
        </is>
      </c>
      <c r="F370" s="5" t="inlineStr">
        <is>
          <t>Poonam</t>
        </is>
      </c>
      <c r="G370" s="5" t="inlineStr">
        <is>
          <t>Supporting</t>
        </is>
      </c>
      <c r="H370" s="5" t="inlineStr">
        <is>
          <t>Medium</t>
        </is>
      </c>
      <c r="I370" s="5" t="inlineStr">
        <is>
          <t>No documented dealings with Laxman; she is attached to the youngest brother's criminal strand.</t>
        </is>
      </c>
      <c r="J370" s="5" t="inlineStr">
        <is>
          <t>Holds the film's second attachment, with Bharat.</t>
        </is>
      </c>
      <c r="K370" s="19" t="inlineStr">
        <is>
          <t>Bharat's accomplice in Heeralal's service, and the daughter of the fisherwoman Heeralal murdered to silence her testimony.</t>
        </is>
      </c>
      <c r="L370" s="5" t="n"/>
      <c r="M370" s="5" t="inlineStr">
        <is>
          <t>SOURCE-069</t>
        </is>
      </c>
    </row>
    <row r="371" ht="79" customHeight="1">
      <c r="A371" s="15" t="inlineStr">
        <is>
          <t>CAST-366</t>
        </is>
      </c>
      <c r="B371" s="18" t="inlineStr">
        <is>
          <t>FILM-078</t>
        </is>
      </c>
      <c r="C371" s="5" t="inlineStr">
        <is>
          <t>Trishul</t>
        </is>
      </c>
      <c r="D371" s="17" t="n">
        <v>1978</v>
      </c>
      <c r="E371" s="5" t="inlineStr">
        <is>
          <t>Amitabh Bachchan</t>
        </is>
      </c>
      <c r="F371" s="5" t="inlineStr">
        <is>
          <t>Vijay Kumar Gupta</t>
        </is>
      </c>
      <c r="G371" s="5" t="inlineStr">
        <is>
          <t>Co-lead</t>
        </is>
      </c>
      <c r="H371" s="5" t="inlineStr">
        <is>
          <t>Major</t>
        </is>
      </c>
      <c r="I371" s="5" t="inlineStr">
        <is>
          <t>His half-brother, unacknowledged, who has come to Delhi specifically to ruin the business and family Shekhar has come home to join.</t>
        </is>
      </c>
      <c r="J371" s="5" t="inlineStr">
        <is>
          <t>Outside Shekhar's engagement, though he twice intervenes in the family's affairs in ways that touch it.</t>
        </is>
      </c>
      <c r="K371" s="19" t="inlineStr">
        <is>
          <t>The son Raj Kumar Gupta abandoned before birth, raised by a single mother whose death releases him, who arrives in Delhi to destroy his father's business, builds Shanti Constructions against it, and protects his half-siblings while wrecking their father.</t>
        </is>
      </c>
      <c r="L371" s="5" t="n"/>
      <c r="M371" s="5" t="inlineStr">
        <is>
          <t>SOURCE-062</t>
        </is>
      </c>
    </row>
    <row r="372" ht="64" customHeight="1">
      <c r="A372" s="15" t="inlineStr">
        <is>
          <t>CAST-367</t>
        </is>
      </c>
      <c r="B372" s="18" t="inlineStr">
        <is>
          <t>FILM-078</t>
        </is>
      </c>
      <c r="C372" s="5" t="inlineStr">
        <is>
          <t>Trishul</t>
        </is>
      </c>
      <c r="D372" s="17" t="n">
        <v>1978</v>
      </c>
      <c r="E372" s="5" t="inlineStr">
        <is>
          <t>Sanjeev Kumar</t>
        </is>
      </c>
      <c r="F372" s="5" t="inlineStr">
        <is>
          <t>Raj Kumar Gupta</t>
        </is>
      </c>
      <c r="G372" s="5" t="inlineStr">
        <is>
          <t>Family</t>
        </is>
      </c>
      <c r="H372" s="5" t="inlineStr">
        <is>
          <t>Major</t>
        </is>
      </c>
      <c r="I372" s="5" t="inlineStr">
        <is>
          <t>His father, and the man whose abandonment of another woman in 1953 is the cause of everything that happens to Shekhar.</t>
        </is>
      </c>
      <c r="J372" s="5" t="inlineStr">
        <is>
          <t>Governs the family Shekhar's marriage would join, and his ruin is what unsettles it.</t>
        </is>
      </c>
      <c r="K372" s="19" t="inlineStr">
        <is>
          <t>A man who abandoned his pregnant girlfriend in 1953 to marry a wealthy heiress and take a partnership in her father's firm, and who twenty-five years later is systematically destroyed in business by the son he never acknowledged.</t>
        </is>
      </c>
      <c r="L372" s="5" t="n"/>
      <c r="M372" s="5" t="inlineStr">
        <is>
          <t>SOURCE-062</t>
        </is>
      </c>
    </row>
    <row r="373" ht="49" customHeight="1">
      <c r="A373" s="15" t="inlineStr">
        <is>
          <t>CAST-368</t>
        </is>
      </c>
      <c r="B373" s="18" t="inlineStr">
        <is>
          <t>FILM-078</t>
        </is>
      </c>
      <c r="C373" s="5" t="inlineStr">
        <is>
          <t>Trishul</t>
        </is>
      </c>
      <c r="D373" s="17" t="n">
        <v>1978</v>
      </c>
      <c r="E373" s="5" t="inlineStr">
        <is>
          <t>Hema Malini</t>
        </is>
      </c>
      <c r="F373" s="5" t="inlineStr">
        <is>
          <t>Sheetal Verma</t>
        </is>
      </c>
      <c r="G373" s="5" t="inlineStr">
        <is>
          <t>Co-lead</t>
        </is>
      </c>
      <c r="H373" s="5" t="inlineStr">
        <is>
          <t>Major</t>
        </is>
      </c>
      <c r="I373" s="5" t="inlineStr">
        <is>
          <t>Kapoor's romantic partner, and the daughter of P. L. Verma, so the match is also a business alliance.</t>
        </is>
      </c>
      <c r="J373" s="5" t="inlineStr">
        <is>
          <t>The pairing recorded in the Romances sheet, and subordinate to the film's revenge plot.</t>
        </is>
      </c>
      <c r="K373" s="19" t="inlineStr">
        <is>
          <t>P. L. Verma's daughter, attached to the returning Shekhar Gupta, in a courtship conducted across the collapse of his father's firm.</t>
        </is>
      </c>
      <c r="L373" s="5" t="n"/>
      <c r="M373" s="5" t="inlineStr">
        <is>
          <t>SOURCE-062</t>
        </is>
      </c>
    </row>
    <row r="374" ht="49" customHeight="1">
      <c r="A374" s="15" t="inlineStr">
        <is>
          <t>CAST-369</t>
        </is>
      </c>
      <c r="B374" s="18" t="inlineStr">
        <is>
          <t>FILM-078</t>
        </is>
      </c>
      <c r="C374" s="5" t="inlineStr">
        <is>
          <t>Trishul</t>
        </is>
      </c>
      <c r="D374" s="17" t="n">
        <v>1978</v>
      </c>
      <c r="E374" s="5" t="inlineStr">
        <is>
          <t>Raakhee</t>
        </is>
      </c>
      <c r="F374" s="5" t="inlineStr">
        <is>
          <t>Geeta</t>
        </is>
      </c>
      <c r="G374" s="5" t="inlineStr">
        <is>
          <t>Supporting</t>
        </is>
      </c>
      <c r="H374" s="5" t="inlineStr">
        <is>
          <t>Major</t>
        </is>
      </c>
      <c r="I374" s="5" t="inlineStr">
        <is>
          <t>His father's devoted secretary, fired on a false suspicion that Shekhar witnesses being corrected.</t>
        </is>
      </c>
      <c r="J374" s="5" t="inlineStr">
        <is>
          <t>Holds the other romance, with Vijay, and is the point at which the two brothers' worlds first touch.</t>
        </is>
      </c>
      <c r="K374" s="19" t="inlineStr">
        <is>
          <t>Gupta's loyal secretary, who refuses Vijay's bribe, is dismissed when her employer assumes she sold him out, is publicly cleared by Vijay and then hired by him.</t>
        </is>
      </c>
      <c r="L374" s="5" t="n"/>
      <c r="M374" s="5" t="inlineStr">
        <is>
          <t>SOURCE-062</t>
        </is>
      </c>
    </row>
    <row r="375" ht="49" customHeight="1">
      <c r="A375" s="15" t="inlineStr">
        <is>
          <t>CAST-370</t>
        </is>
      </c>
      <c r="B375" s="18" t="inlineStr">
        <is>
          <t>FILM-078</t>
        </is>
      </c>
      <c r="C375" s="5" t="inlineStr">
        <is>
          <t>Trishul</t>
        </is>
      </c>
      <c r="D375" s="17" t="n">
        <v>1978</v>
      </c>
      <c r="E375" s="5" t="inlineStr">
        <is>
          <t>Poonam Dhillon</t>
        </is>
      </c>
      <c r="F375" s="5" t="inlineStr">
        <is>
          <t>Kusum Gupta</t>
        </is>
      </c>
      <c r="G375" s="5" t="inlineStr">
        <is>
          <t>Family</t>
        </is>
      </c>
      <c r="H375" s="5" t="inlineStr">
        <is>
          <t>Major</t>
        </is>
      </c>
      <c r="I375" s="5" t="inlineStr">
        <is>
          <t>His younger sister, caught with him in the crossfire of a half-brother's revenge.</t>
        </is>
      </c>
      <c r="J375" s="5" t="inlineStr">
        <is>
          <t>Carries the film's third romance, with Ravi.</t>
        </is>
      </c>
      <c r="K375" s="19" t="inlineStr">
        <is>
          <t>Shekhar's younger sister, called Babli, one of the two legitimate children whom Vijay's campaign against their father puts in the line of fire.</t>
        </is>
      </c>
      <c r="L375" s="5" t="n"/>
      <c r="M375" s="5" t="inlineStr">
        <is>
          <t>SOURCE-062</t>
        </is>
      </c>
    </row>
    <row r="376" ht="64" customHeight="1">
      <c r="A376" s="15" t="inlineStr">
        <is>
          <t>CAST-371</t>
        </is>
      </c>
      <c r="B376" s="18" t="inlineStr">
        <is>
          <t>FILM-078</t>
        </is>
      </c>
      <c r="C376" s="5" t="inlineStr">
        <is>
          <t>Trishul</t>
        </is>
      </c>
      <c r="D376" s="17" t="n">
        <v>1978</v>
      </c>
      <c r="E376" s="5" t="inlineStr">
        <is>
          <t>Waheeda Rehman</t>
        </is>
      </c>
      <c r="F376" s="5" t="inlineStr">
        <is>
          <t>Shanti</t>
        </is>
      </c>
      <c r="G376" s="5" t="inlineStr">
        <is>
          <t>Supporting</t>
        </is>
      </c>
      <c r="H376" s="5" t="inlineStr">
        <is>
          <t>Major</t>
        </is>
      </c>
      <c r="I376" s="5" t="inlineStr">
        <is>
          <t>No scenes with Shekhar; she is dead before he returns from abroad, and is the reason he has a half-brother at all.</t>
        </is>
      </c>
      <c r="J376" s="5" t="inlineStr">
        <is>
          <t>The abandoned romance of the previous generation, against which all three of the film's courtships are set. Billed as a special appearance.</t>
        </is>
      </c>
      <c r="K376" s="19" t="inlineStr">
        <is>
          <t>The woman Raj Kumar Gupta abandoned in 1953, who refused his guilty offer of help, bore and raised Vijay alone, and whose death in 1978 sets her son on Delhi; the company he builds carries her name.</t>
        </is>
      </c>
      <c r="L376" s="5" t="n"/>
      <c r="M376" s="5" t="inlineStr">
        <is>
          <t>SOURCE-062</t>
        </is>
      </c>
    </row>
    <row r="377" ht="49" customHeight="1">
      <c r="A377" s="15" t="inlineStr">
        <is>
          <t>CAST-372</t>
        </is>
      </c>
      <c r="B377" s="18" t="inlineStr">
        <is>
          <t>FILM-078</t>
        </is>
      </c>
      <c r="C377" s="5" t="inlineStr">
        <is>
          <t>Trishul</t>
        </is>
      </c>
      <c r="D377" s="17" t="n">
        <v>1978</v>
      </c>
      <c r="E377" s="5" t="inlineStr">
        <is>
          <t>Prem Chopra</t>
        </is>
      </c>
      <c r="F377" s="5" t="inlineStr">
        <is>
          <t>Balwant Rai</t>
        </is>
      </c>
      <c r="G377" s="5" t="inlineStr">
        <is>
          <t>Antagonist</t>
        </is>
      </c>
      <c r="H377" s="5" t="inlineStr">
        <is>
          <t>Major</t>
        </is>
      </c>
      <c r="I377" s="5" t="inlineStr">
        <is>
          <t>The film's criminal antagonist, outside the family quarrel that Shekhar is caught in.</t>
        </is>
      </c>
      <c r="J377" s="5" t="inlineStr">
        <is>
          <t>No direct part in it.</t>
        </is>
      </c>
      <c r="K377" s="19" t="inlineStr">
        <is>
          <t>Credited as Balwant Rai, the antagonist against whom the brothers' interests eventually align in a film otherwise about a family destroying itself.</t>
        </is>
      </c>
      <c r="L377" s="5" t="n"/>
      <c r="M377" s="5" t="inlineStr">
        <is>
          <t>SOURCE-062</t>
        </is>
      </c>
    </row>
    <row r="378" ht="64" customHeight="1">
      <c r="A378" s="15" t="inlineStr">
        <is>
          <t>CAST-373</t>
        </is>
      </c>
      <c r="B378" s="18" t="inlineStr">
        <is>
          <t>FILM-078</t>
        </is>
      </c>
      <c r="C378" s="5" t="inlineStr">
        <is>
          <t>Trishul</t>
        </is>
      </c>
      <c r="D378" s="17" t="n">
        <v>1978</v>
      </c>
      <c r="E378" s="5" t="inlineStr">
        <is>
          <t>Iftekhar</t>
        </is>
      </c>
      <c r="F378" s="5" t="inlineStr">
        <is>
          <t>P. L. Verma</t>
        </is>
      </c>
      <c r="G378" s="5" t="inlineStr">
        <is>
          <t>Authority figure</t>
        </is>
      </c>
      <c r="H378" s="5" t="inlineStr">
        <is>
          <t>Medium</t>
        </is>
      </c>
      <c r="I378" s="5" t="inlineStr">
        <is>
          <t>Sheetal's father, and so his prospective father-in-law, as well as a figure in the contracting world the two firms are fighting over.</t>
        </is>
      </c>
      <c r="J378" s="5" t="inlineStr">
        <is>
          <t>Governs the match from the woman's side.</t>
        </is>
      </c>
      <c r="K378" s="19" t="inlineStr">
        <is>
          <t>Sheetal's father, credited among the business interests around the tender bids that Vijay's firm wins from Shekhar's father's.</t>
        </is>
      </c>
      <c r="L378" s="5" t="n"/>
      <c r="M378" s="5" t="inlineStr">
        <is>
          <t>SOURCE-062</t>
        </is>
      </c>
    </row>
    <row r="379" ht="49" customHeight="1">
      <c r="A379" s="15" t="inlineStr">
        <is>
          <t>CAST-374</t>
        </is>
      </c>
      <c r="B379" s="18" t="inlineStr">
        <is>
          <t>FILM-078</t>
        </is>
      </c>
      <c r="C379" s="5" t="inlineStr">
        <is>
          <t>Trishul</t>
        </is>
      </c>
      <c r="D379" s="17" t="n">
        <v>1978</v>
      </c>
      <c r="E379" s="5" t="inlineStr">
        <is>
          <t>Gita Siddharth</t>
        </is>
      </c>
      <c r="F379" s="5" t="inlineStr">
        <is>
          <t>Kamini Gupta</t>
        </is>
      </c>
      <c r="G379" s="5" t="inlineStr">
        <is>
          <t>Family</t>
        </is>
      </c>
      <c r="H379" s="5" t="inlineStr">
        <is>
          <t>Medium</t>
        </is>
      </c>
      <c r="I379" s="5" t="inlineStr">
        <is>
          <t>His mother, the heiress whose money bought the marriage that displaced Shanti.</t>
        </is>
      </c>
      <c r="J379" s="5" t="inlineStr">
        <is>
          <t>No direct part, though her marriage is the transaction the whole film proceeds from.</t>
        </is>
      </c>
      <c r="K379" s="19" t="inlineStr">
        <is>
          <t>The wealthy heiress Raj Kumar Gupta married in 1953, daughter of Seth Dindayal, who made his son-in-law an equal partner in the business.</t>
        </is>
      </c>
      <c r="L379" s="5" t="n"/>
      <c r="M379" s="5" t="inlineStr">
        <is>
          <t>SOURCE-062</t>
        </is>
      </c>
    </row>
    <row r="380" ht="64" customHeight="1">
      <c r="A380" s="15" t="inlineStr">
        <is>
          <t>CAST-375</t>
        </is>
      </c>
      <c r="B380" s="18" t="inlineStr">
        <is>
          <t>FILM-079</t>
        </is>
      </c>
      <c r="C380" s="5" t="inlineStr">
        <is>
          <t>Atithee</t>
        </is>
      </c>
      <c r="D380" s="17" t="n">
        <v>1978</v>
      </c>
      <c r="E380" s="5" t="inlineStr">
        <is>
          <t>Shabana Azmi</t>
        </is>
      </c>
      <c r="F380" s="5" t="inlineStr">
        <is>
          <t>Leela / Julie</t>
        </is>
      </c>
      <c r="G380" s="5" t="inlineStr">
        <is>
          <t>Co-lead</t>
        </is>
      </c>
      <c r="H380" s="5" t="inlineStr">
        <is>
          <t>Major</t>
        </is>
      </c>
      <c r="I380" s="5" t="inlineStr">
        <is>
          <t>The principal female part opposite Kapoor's Anand, on a double credit. The article has no plot section, so the relation is undocumented.</t>
        </is>
      </c>
      <c r="J380" s="5" t="inlineStr">
        <is>
          <t>Not documented. Romance presence is left blank for the film and no Romances row was created.</t>
        </is>
      </c>
      <c r="K380" s="19" t="inlineStr">
        <is>
          <t>A double credit as Leela and Julie, matched by Vidya Sinha's Meena and Martha, suggesting a scheme of paired identities the article does not explain.</t>
        </is>
      </c>
      <c r="L380" s="5" t="n"/>
      <c r="M380" s="5" t="inlineStr">
        <is>
          <t>SOURCE-067</t>
        </is>
      </c>
    </row>
    <row r="381" ht="49" customHeight="1">
      <c r="A381" s="15" t="inlineStr">
        <is>
          <t>CAST-376</t>
        </is>
      </c>
      <c r="B381" s="18" t="inlineStr">
        <is>
          <t>FILM-079</t>
        </is>
      </c>
      <c r="C381" s="5" t="inlineStr">
        <is>
          <t>Atithee</t>
        </is>
      </c>
      <c r="D381" s="17" t="n">
        <v>1978</v>
      </c>
      <c r="E381" s="5" t="inlineStr">
        <is>
          <t>Shatrughan Sinha</t>
        </is>
      </c>
      <c r="F381" s="5" t="inlineStr">
        <is>
          <t>Navendu Kumar</t>
        </is>
      </c>
      <c r="G381" s="5" t="inlineStr">
        <is>
          <t>Co-lead</t>
        </is>
      </c>
      <c r="H381" s="5" t="inlineStr">
        <is>
          <t>Major</t>
        </is>
      </c>
      <c r="I381" s="5" t="inlineStr">
        <is>
          <t>Second-billed opposite Kapoor, in the third of their several pairings of this period.</t>
        </is>
      </c>
      <c r="J381" s="5" t="inlineStr">
        <is>
          <t>Not documented.</t>
        </is>
      </c>
      <c r="K381" s="19" t="inlineStr">
        <is>
          <t>Credited as Navendu Kumar. The article carries a cast list and no synopsis.</t>
        </is>
      </c>
      <c r="L381" s="5" t="n"/>
      <c r="M381" s="5" t="inlineStr">
        <is>
          <t>SOURCE-067</t>
        </is>
      </c>
    </row>
    <row r="382" ht="34" customHeight="1">
      <c r="A382" s="15" t="inlineStr">
        <is>
          <t>CAST-377</t>
        </is>
      </c>
      <c r="B382" s="18" t="inlineStr">
        <is>
          <t>FILM-079</t>
        </is>
      </c>
      <c r="C382" s="5" t="inlineStr">
        <is>
          <t>Atithee</t>
        </is>
      </c>
      <c r="D382" s="17" t="n">
        <v>1978</v>
      </c>
      <c r="E382" s="5" t="inlineStr">
        <is>
          <t>Vidya Sinha</t>
        </is>
      </c>
      <c r="F382" s="5" t="inlineStr">
        <is>
          <t>Meena / Martha</t>
        </is>
      </c>
      <c r="G382" s="5" t="inlineStr">
        <is>
          <t>Supporting</t>
        </is>
      </c>
      <c r="H382" s="5" t="inlineStr">
        <is>
          <t>Major</t>
        </is>
      </c>
      <c r="I382" s="5" t="inlineStr">
        <is>
          <t>Not documented; her double credit mirrors Shabana Azmi's.</t>
        </is>
      </c>
      <c r="J382" s="5" t="inlineStr">
        <is>
          <t>Not documented.</t>
        </is>
      </c>
      <c r="K382" s="19" t="inlineStr">
        <is>
          <t>A double credit as Meena and Martha. With no plot section the article leaves both pairs of names unexplained.</t>
        </is>
      </c>
      <c r="L382" s="5" t="n"/>
      <c r="M382" s="5" t="inlineStr">
        <is>
          <t>SOURCE-067</t>
        </is>
      </c>
    </row>
    <row r="383" ht="19" customHeight="1">
      <c r="A383" s="15" t="inlineStr">
        <is>
          <t>CAST-378</t>
        </is>
      </c>
      <c r="B383" s="18" t="inlineStr">
        <is>
          <t>FILM-079</t>
        </is>
      </c>
      <c r="C383" s="5" t="inlineStr">
        <is>
          <t>Atithee</t>
        </is>
      </c>
      <c r="D383" s="17" t="n">
        <v>1978</v>
      </c>
      <c r="E383" s="5" t="inlineStr">
        <is>
          <t>Utpal Dutt</t>
        </is>
      </c>
      <c r="F383" s="5" t="inlineStr">
        <is>
          <t>Avinash Gupta</t>
        </is>
      </c>
      <c r="G383" s="5" t="inlineStr">
        <is>
          <t>Supporting</t>
        </is>
      </c>
      <c r="H383" s="5" t="inlineStr">
        <is>
          <t>Medium</t>
        </is>
      </c>
      <c r="I383" s="5" t="inlineStr">
        <is>
          <t>Not documented.</t>
        </is>
      </c>
      <c r="J383" s="5" t="inlineStr">
        <is>
          <t>Not documented.</t>
        </is>
      </c>
      <c r="K383" s="19" t="inlineStr">
        <is>
          <t>Credited as Avinash Gupta. The article gives no plot.</t>
        </is>
      </c>
      <c r="L383" s="5" t="n"/>
      <c r="M383" s="5" t="inlineStr">
        <is>
          <t>SOURCE-067</t>
        </is>
      </c>
    </row>
    <row r="384" ht="64" customHeight="1">
      <c r="A384" s="15" t="inlineStr">
        <is>
          <t>CAST-379</t>
        </is>
      </c>
      <c r="B384" s="18" t="inlineStr">
        <is>
          <t>FILM-079</t>
        </is>
      </c>
      <c r="C384" s="5" t="inlineStr">
        <is>
          <t>Atithee</t>
        </is>
      </c>
      <c r="D384" s="17" t="n">
        <v>1978</v>
      </c>
      <c r="E384" s="5" t="inlineStr">
        <is>
          <t>Bharat Bhushan</t>
        </is>
      </c>
      <c r="F384" s="5" t="inlineStr">
        <is>
          <t>Mohan Kumar</t>
        </is>
      </c>
      <c r="G384" s="5" t="inlineStr">
        <is>
          <t>Family</t>
        </is>
      </c>
      <c r="H384" s="5" t="inlineStr">
        <is>
          <t>Medium</t>
        </is>
      </c>
      <c r="I384" s="5" t="inlineStr">
        <is>
          <t>Not documented; he and Urmila Bhatt are credited as a married pair, and Mehmood Jr. as a Kundan Kumar shares the surname.</t>
        </is>
      </c>
      <c r="J384" s="5" t="inlineStr">
        <is>
          <t>Not documented.</t>
        </is>
      </c>
      <c r="K384" s="19" t="inlineStr">
        <is>
          <t>Credited as Mohan Kumar, with Urmila Bhatt as Mrs. Mohan Kumar, a family the article's cast list sets out and its missing plot does not place.</t>
        </is>
      </c>
      <c r="L384" s="5" t="n"/>
      <c r="M384" s="5" t="inlineStr">
        <is>
          <t>SOURCE-067</t>
        </is>
      </c>
    </row>
    <row r="385" ht="49" customHeight="1">
      <c r="A385" s="15" t="inlineStr">
        <is>
          <t>CAST-380</t>
        </is>
      </c>
      <c r="B385" s="18" t="inlineStr">
        <is>
          <t>FILM-079</t>
        </is>
      </c>
      <c r="C385" s="5" t="inlineStr">
        <is>
          <t>Atithee</t>
        </is>
      </c>
      <c r="D385" s="17" t="n">
        <v>1978</v>
      </c>
      <c r="E385" s="5" t="inlineStr">
        <is>
          <t>Deven Verma</t>
        </is>
      </c>
      <c r="F385" s="5" t="inlineStr">
        <is>
          <t>Station Master</t>
        </is>
      </c>
      <c r="G385" s="5" t="inlineStr">
        <is>
          <t>Comic support</t>
        </is>
      </c>
      <c r="H385" s="5" t="inlineStr">
        <is>
          <t>Medium</t>
        </is>
      </c>
      <c r="I385" s="5" t="inlineStr">
        <is>
          <t>Not documented, though a station master and a credited train passenger suggest a railway setting.</t>
        </is>
      </c>
      <c r="J385" s="5" t="inlineStr">
        <is>
          <t>Not documented.</t>
        </is>
      </c>
      <c r="K385" s="19" t="inlineStr">
        <is>
          <t>Credited as the station master, with Viju Khote as a train passenger, in a film titled 'the guest' whose plot the article does not record.</t>
        </is>
      </c>
      <c r="L385" s="5" t="n"/>
      <c r="M385" s="5" t="inlineStr">
        <is>
          <t>SOURCE-067</t>
        </is>
      </c>
    </row>
    <row r="386" ht="64" customHeight="1">
      <c r="A386" s="15" t="inlineStr">
        <is>
          <t>CAST-381</t>
        </is>
      </c>
      <c r="B386" s="18" t="inlineStr">
        <is>
          <t>FILM-080</t>
        </is>
      </c>
      <c r="C386" s="5" t="inlineStr">
        <is>
          <t>Apna Khoon</t>
        </is>
      </c>
      <c r="D386" s="17" t="n">
        <v>1978</v>
      </c>
      <c r="E386" s="5" t="inlineStr">
        <is>
          <t>Hema Malini</t>
        </is>
      </c>
      <c r="F386" s="5" t="inlineStr">
        <is>
          <t>Geeta</t>
        </is>
      </c>
      <c r="G386" s="5" t="inlineStr">
        <is>
          <t>Co-lead</t>
        </is>
      </c>
      <c r="H386" s="5" t="inlineStr">
        <is>
          <t>Major</t>
        </is>
      </c>
      <c r="I386" s="5" t="inlineStr">
        <is>
          <t>The principal female part opposite Kapoor's double credit. The article has no plot section, so the relation is undocumented.</t>
        </is>
      </c>
      <c r="J386" s="5" t="inlineStr">
        <is>
          <t>Not documented. Romance presence is left blank for the film and no Romances row was created.</t>
        </is>
      </c>
      <c r="K386" s="19" t="inlineStr">
        <is>
          <t>Credited as Geeta, third-billed, with Ashok Kumar credited as her father. The article gives a cast list and no synopsis.</t>
        </is>
      </c>
      <c r="L386" s="5" t="n"/>
      <c r="M386" s="5" t="inlineStr">
        <is>
          <t>SOURCE-065</t>
        </is>
      </c>
    </row>
    <row r="387" ht="49" customHeight="1">
      <c r="A387" s="15" t="inlineStr">
        <is>
          <t>CAST-382</t>
        </is>
      </c>
      <c r="B387" s="18" t="inlineStr">
        <is>
          <t>FILM-080</t>
        </is>
      </c>
      <c r="C387" s="5" t="inlineStr">
        <is>
          <t>Apna Khoon</t>
        </is>
      </c>
      <c r="D387" s="17" t="n">
        <v>1978</v>
      </c>
      <c r="E387" s="5" t="inlineStr">
        <is>
          <t>Ashok Kumar</t>
        </is>
      </c>
      <c r="F387" s="5" t="inlineStr">
        <is>
          <t>Geeta's father</t>
        </is>
      </c>
      <c r="G387" s="5" t="inlineStr">
        <is>
          <t>Family</t>
        </is>
      </c>
      <c r="H387" s="5" t="inlineStr">
        <is>
          <t>Major</t>
        </is>
      </c>
      <c r="I387" s="5" t="inlineStr">
        <is>
          <t>First-billed, and by his credit the father of the woman opposite Kapoor.</t>
        </is>
      </c>
      <c r="J387" s="5" t="inlineStr">
        <is>
          <t>Structurally the family authority over the match, though the article does not narrate it.</t>
        </is>
      </c>
      <c r="K387" s="19" t="inlineStr">
        <is>
          <t>Credited as Geeta's father and billed first. With no plot section the part's function is unrecorded.</t>
        </is>
      </c>
      <c r="L387" s="5" t="n"/>
      <c r="M387" s="5" t="inlineStr">
        <is>
          <t>SOURCE-065</t>
        </is>
      </c>
    </row>
    <row r="388" ht="79" customHeight="1">
      <c r="A388" s="15" t="inlineStr">
        <is>
          <t>CAST-383</t>
        </is>
      </c>
      <c r="B388" s="18" t="inlineStr">
        <is>
          <t>FILM-080</t>
        </is>
      </c>
      <c r="C388" s="5" t="inlineStr">
        <is>
          <t>Apna Khoon</t>
        </is>
      </c>
      <c r="D388" s="17" t="n">
        <v>1978</v>
      </c>
      <c r="E388" s="5" t="inlineStr">
        <is>
          <t>Pran</t>
        </is>
      </c>
      <c r="F388" s="5" t="inlineStr">
        <is>
          <t>Inspector Verma</t>
        </is>
      </c>
      <c r="G388" s="5" t="inlineStr">
        <is>
          <t>Family</t>
        </is>
      </c>
      <c r="H388" s="5" t="inlineStr">
        <is>
          <t>Major</t>
        </is>
      </c>
      <c r="I388" s="5" t="inlineStr">
        <is>
          <t>Shares the surname of Kapoor's Ram Verma, and Chand Usmani is credited as a Shanta Verma, so the cast list implies a Verma household the article never describes.</t>
        </is>
      </c>
      <c r="J388" s="5" t="inlineStr">
        <is>
          <t>Not documented.</t>
        </is>
      </c>
      <c r="K388" s="19" t="inlineStr">
        <is>
          <t>Credited as Inspector Verma, one of three credited Vermas in a film titled 'my own blood' whose article carries no plot.</t>
        </is>
      </c>
      <c r="L388" s="5" t="n"/>
      <c r="M388" s="5" t="inlineStr">
        <is>
          <t>SOURCE-065</t>
        </is>
      </c>
    </row>
    <row r="389" ht="64" customHeight="1">
      <c r="A389" s="15" t="inlineStr">
        <is>
          <t>CAST-384</t>
        </is>
      </c>
      <c r="B389" s="18" t="inlineStr">
        <is>
          <t>FILM-080</t>
        </is>
      </c>
      <c r="C389" s="5" t="inlineStr">
        <is>
          <t>Apna Khoon</t>
        </is>
      </c>
      <c r="D389" s="17" t="n">
        <v>1978</v>
      </c>
      <c r="E389" s="5" t="inlineStr">
        <is>
          <t>Chand Usmani</t>
        </is>
      </c>
      <c r="F389" s="5" t="inlineStr">
        <is>
          <t>Shanta Verma</t>
        </is>
      </c>
      <c r="G389" s="5" t="inlineStr">
        <is>
          <t>Family</t>
        </is>
      </c>
      <c r="H389" s="5" t="inlineStr">
        <is>
          <t>Medium</t>
        </is>
      </c>
      <c r="I389" s="5" t="inlineStr">
        <is>
          <t>The third Verma in the cast list, and so presumably of Kapoor's family, though the article does not confirm it.</t>
        </is>
      </c>
      <c r="J389" s="5" t="inlineStr">
        <is>
          <t>Not documented.</t>
        </is>
      </c>
      <c r="K389" s="19" t="inlineStr">
        <is>
          <t>Credited as Shanta Verma. The shared surname with Ram Verma and Inspector Verma is the only evidence of the relation.</t>
        </is>
      </c>
      <c r="L389" s="5" t="n"/>
      <c r="M389" s="5" t="inlineStr">
        <is>
          <t>SOURCE-065</t>
        </is>
      </c>
    </row>
    <row r="390" ht="49" customHeight="1">
      <c r="A390" s="15" t="inlineStr">
        <is>
          <t>CAST-385</t>
        </is>
      </c>
      <c r="B390" s="18" t="inlineStr">
        <is>
          <t>FILM-080</t>
        </is>
      </c>
      <c r="C390" s="5" t="inlineStr">
        <is>
          <t>Apna Khoon</t>
        </is>
      </c>
      <c r="D390" s="17" t="n">
        <v>1978</v>
      </c>
      <c r="E390" s="5" t="inlineStr">
        <is>
          <t>Amjad Khan</t>
        </is>
      </c>
      <c r="F390" s="5" t="inlineStr">
        <is>
          <t>Khan</t>
        </is>
      </c>
      <c r="G390" s="5" t="inlineStr">
        <is>
          <t>Antagonist</t>
        </is>
      </c>
      <c r="H390" s="5" t="inlineStr">
        <is>
          <t>Major</t>
        </is>
      </c>
      <c r="I390" s="5" t="inlineStr">
        <is>
          <t>Not documented.</t>
        </is>
      </c>
      <c r="J390" s="5" t="inlineStr">
        <is>
          <t>Not documented.</t>
        </is>
      </c>
      <c r="K390" s="19" t="inlineStr">
        <is>
          <t>Credited as Khan. The article has no plot section, so the function is taken from the actor's standing casting rather than from evidence.</t>
        </is>
      </c>
      <c r="L390" s="5" t="n"/>
      <c r="M390" s="5" t="inlineStr">
        <is>
          <t>SOURCE-065</t>
        </is>
      </c>
    </row>
    <row r="391" ht="79" customHeight="1">
      <c r="A391" s="15" t="inlineStr">
        <is>
          <t>CAST-386</t>
        </is>
      </c>
      <c r="B391" s="18" t="inlineStr">
        <is>
          <t>FILM-081</t>
        </is>
      </c>
      <c r="C391" s="5" t="inlineStr">
        <is>
          <t>Heeralaal Pannalaal</t>
        </is>
      </c>
      <c r="D391" s="17" t="n">
        <v>1978</v>
      </c>
      <c r="E391" s="5" t="inlineStr">
        <is>
          <t>Randhir Kapoor</t>
        </is>
      </c>
      <c r="F391" s="5" t="inlineStr">
        <is>
          <t>Pannalal</t>
        </is>
      </c>
      <c r="G391" s="5" t="inlineStr">
        <is>
          <t>Co-lead</t>
        </is>
      </c>
      <c r="H391" s="5" t="inlineStr">
        <is>
          <t>Major</t>
        </is>
      </c>
      <c r="I391" s="5" t="inlineStr">
        <is>
          <t>The other half of the title pair, and the man whose father turns out to be the killer of Heeralal's parents; played by Kapoor's nephew, Raj Kapoor's eldest son.</t>
        </is>
      </c>
      <c r="J391" s="5" t="inlineStr">
        <is>
          <t>Holds the film's second romance, with Neelam, in parallel with Heeralal's.</t>
        </is>
      </c>
      <c r="K391" s="19" t="inlineStr">
        <is>
          <t>One of two kind-hearted men known to the police for helping capture criminals, searching for the father he has never found, in love with Ruby's friend Neelam, and confronted with the discovery that the killer Kalicharan is his own father.</t>
        </is>
      </c>
      <c r="L391" s="5" t="n"/>
      <c r="M391" s="5" t="inlineStr">
        <is>
          <t>SOURCE-066</t>
        </is>
      </c>
    </row>
    <row r="392" ht="49" customHeight="1">
      <c r="A392" s="15" t="inlineStr">
        <is>
          <t>CAST-387</t>
        </is>
      </c>
      <c r="B392" s="18" t="inlineStr">
        <is>
          <t>FILM-081</t>
        </is>
      </c>
      <c r="C392" s="5" t="inlineStr">
        <is>
          <t>Heeralaal Pannalaal</t>
        </is>
      </c>
      <c r="D392" s="17" t="n">
        <v>1978</v>
      </c>
      <c r="E392" s="5" t="inlineStr">
        <is>
          <t>Zeenat Aman</t>
        </is>
      </c>
      <c r="F392" s="5" t="inlineStr">
        <is>
          <t>Ruby</t>
        </is>
      </c>
      <c r="G392" s="5" t="inlineStr">
        <is>
          <t>Co-lead</t>
        </is>
      </c>
      <c r="H392" s="5" t="inlineStr">
        <is>
          <t>Major</t>
        </is>
      </c>
      <c r="I392" s="5" t="inlineStr">
        <is>
          <t>The woman Heeralal meets and loves, and who is united with him at the end.</t>
        </is>
      </c>
      <c r="J392" s="5" t="inlineStr">
        <is>
          <t>The pairing recorded in the Romances sheet, and subordinate to the film's crime plot.</t>
        </is>
      </c>
      <c r="K392" s="19" t="inlineStr">
        <is>
          <t>The woman Heeralal falls in love with, whose friend Neelam takes up with Pannalal, giving the film its two symmetrical couples.</t>
        </is>
      </c>
      <c r="L392" s="5" t="n"/>
      <c r="M392" s="5" t="inlineStr">
        <is>
          <t>SOURCE-066</t>
        </is>
      </c>
    </row>
    <row r="393" ht="49" customHeight="1">
      <c r="A393" s="15" t="inlineStr">
        <is>
          <t>CAST-388</t>
        </is>
      </c>
      <c r="B393" s="18" t="inlineStr">
        <is>
          <t>FILM-081</t>
        </is>
      </c>
      <c r="C393" s="5" t="inlineStr">
        <is>
          <t>Heeralaal Pannalaal</t>
        </is>
      </c>
      <c r="D393" s="17" t="n">
        <v>1978</v>
      </c>
      <c r="E393" s="5" t="inlineStr">
        <is>
          <t>Neetu Singh</t>
        </is>
      </c>
      <c r="F393" s="5" t="inlineStr">
        <is>
          <t>Neelam</t>
        </is>
      </c>
      <c r="G393" s="5" t="inlineStr">
        <is>
          <t>Supporting</t>
        </is>
      </c>
      <c r="H393" s="5" t="inlineStr">
        <is>
          <t>Major</t>
        </is>
      </c>
      <c r="I393" s="5" t="inlineStr">
        <is>
          <t>No romantic connection to Heeralal; she is Ruby's friend and Pannalal's match.</t>
        </is>
      </c>
      <c r="J393" s="5" t="inlineStr">
        <is>
          <t>The parallel romance, resolved with the other at the close.</t>
        </is>
      </c>
      <c r="K393" s="19" t="inlineStr">
        <is>
          <t>Ruby's friend, who falls in love with Pannalal and is united with him in the ending that pairs off both couples.</t>
        </is>
      </c>
      <c r="L393" s="5" t="n"/>
      <c r="M393" s="5" t="inlineStr">
        <is>
          <t>SOURCE-066</t>
        </is>
      </c>
    </row>
    <row r="394" ht="64" customHeight="1">
      <c r="A394" s="15" t="inlineStr">
        <is>
          <t>CAST-389</t>
        </is>
      </c>
      <c r="B394" s="18" t="inlineStr">
        <is>
          <t>FILM-081</t>
        </is>
      </c>
      <c r="C394" s="5" t="inlineStr">
        <is>
          <t>Heeralaal Pannalaal</t>
        </is>
      </c>
      <c r="D394" s="17" t="n">
        <v>1978</v>
      </c>
      <c r="E394" s="5" t="inlineStr">
        <is>
          <t>Ajit</t>
        </is>
      </c>
      <c r="F394" s="5" t="inlineStr">
        <is>
          <t>Kalicharan</t>
        </is>
      </c>
      <c r="G394" s="5" t="inlineStr">
        <is>
          <t>Antagonist</t>
        </is>
      </c>
      <c r="H394" s="5" t="inlineStr">
        <is>
          <t>Major</t>
        </is>
      </c>
      <c r="I394" s="5" t="inlineStr">
        <is>
          <t>The killer of his parents, whom he has been hunting without knowing his identity, and who is his partner's father.</t>
        </is>
      </c>
      <c r="J394" s="5" t="inlineStr">
        <is>
          <t>No direct part in it.</t>
        </is>
      </c>
      <c r="K394" s="19" t="inlineStr">
        <is>
          <t>A renowned criminal who sets out to punish the two men for interfering in his business, is driven into flight by the police, and is revealed to be both the murderer of Heeralal's parents and the father Pannalal has been looking for.</t>
        </is>
      </c>
      <c r="L394" s="5" t="n"/>
      <c r="M394" s="5" t="inlineStr">
        <is>
          <t>SOURCE-066</t>
        </is>
      </c>
    </row>
    <row r="395" ht="64" customHeight="1">
      <c r="A395" s="15" t="inlineStr">
        <is>
          <t>CAST-390</t>
        </is>
      </c>
      <c r="B395" s="18" t="inlineStr">
        <is>
          <t>FILM-081</t>
        </is>
      </c>
      <c r="C395" s="5" t="inlineStr">
        <is>
          <t>Heeralaal Pannalaal</t>
        </is>
      </c>
      <c r="D395" s="17" t="n">
        <v>1978</v>
      </c>
      <c r="E395" s="5" t="inlineStr">
        <is>
          <t>Premnath</t>
        </is>
      </c>
      <c r="F395" s="5" t="inlineStr">
        <is>
          <t>Police Commissioner Premlal</t>
        </is>
      </c>
      <c r="G395" s="5" t="inlineStr">
        <is>
          <t>Authority figure</t>
        </is>
      </c>
      <c r="H395" s="5" t="inlineStr">
        <is>
          <t>Major</t>
        </is>
      </c>
      <c r="I395" s="5" t="inlineStr">
        <is>
          <t>The commissioner who values the pair's help against criminals and undertakes to protect them from Kalicharan.</t>
        </is>
      </c>
      <c r="J395" s="5" t="inlineStr">
        <is>
          <t>No part in it.</t>
        </is>
      </c>
      <c r="K395" s="19" t="inlineStr">
        <is>
          <t>The police commissioner pleased with the two men's record of helping capture criminals, who sets out to protect them from Kalicharan and Panther, credited with Kamini Kaushal as his wife.</t>
        </is>
      </c>
      <c r="L395" s="5" t="n"/>
      <c r="M395" s="5" t="inlineStr">
        <is>
          <t>SOURCE-066</t>
        </is>
      </c>
    </row>
    <row r="396" ht="49" customHeight="1">
      <c r="A396" s="15" t="inlineStr">
        <is>
          <t>CAST-391</t>
        </is>
      </c>
      <c r="B396" s="18" t="inlineStr">
        <is>
          <t>FILM-081</t>
        </is>
      </c>
      <c r="C396" s="5" t="inlineStr">
        <is>
          <t>Heeralaal Pannalaal</t>
        </is>
      </c>
      <c r="D396" s="17" t="n">
        <v>1978</v>
      </c>
      <c r="E396" s="5" t="inlineStr">
        <is>
          <t>Amjad Khan</t>
        </is>
      </c>
      <c r="F396" s="5" t="inlineStr">
        <is>
          <t>Panther</t>
        </is>
      </c>
      <c r="G396" s="5" t="inlineStr">
        <is>
          <t>Antagonist</t>
        </is>
      </c>
      <c r="H396" s="5" t="inlineStr">
        <is>
          <t>Medium</t>
        </is>
      </c>
      <c r="I396" s="5" t="inlineStr">
        <is>
          <t>Kalicharan's associate in the campaign against the two men.</t>
        </is>
      </c>
      <c r="J396" s="5" t="inlineStr">
        <is>
          <t>No part in it.</t>
        </is>
      </c>
      <c r="K396" s="19" t="inlineStr">
        <is>
          <t>Kalicharan's friend and associate, named with him as the threat the police commissioner sets out to shield the pair from.</t>
        </is>
      </c>
      <c r="L396" s="5" t="n"/>
      <c r="M396" s="5" t="inlineStr">
        <is>
          <t>SOURCE-066</t>
        </is>
      </c>
    </row>
    <row r="397" ht="49" customHeight="1">
      <c r="A397" s="15" t="inlineStr">
        <is>
          <t>CAST-392</t>
        </is>
      </c>
      <c r="B397" s="18" t="inlineStr">
        <is>
          <t>FILM-081</t>
        </is>
      </c>
      <c r="C397" s="5" t="inlineStr">
        <is>
          <t>Heeralaal Pannalaal</t>
        </is>
      </c>
      <c r="D397" s="17" t="n">
        <v>1978</v>
      </c>
      <c r="E397" s="5" t="inlineStr">
        <is>
          <t>Kamini Kaushal</t>
        </is>
      </c>
      <c r="F397" s="5" t="inlineStr">
        <is>
          <t>Mrs. Premlal</t>
        </is>
      </c>
      <c r="G397" s="5" t="inlineStr">
        <is>
          <t>Family</t>
        </is>
      </c>
      <c r="H397" s="5" t="inlineStr">
        <is>
          <t>Medium</t>
        </is>
      </c>
      <c r="I397" s="5" t="inlineStr">
        <is>
          <t>Wife of the commissioner who protects them, in the household on the law's side of the film.</t>
        </is>
      </c>
      <c r="J397" s="5" t="inlineStr">
        <is>
          <t>No part in it.</t>
        </is>
      </c>
      <c r="K397" s="19" t="inlineStr">
        <is>
          <t>Credited as Mrs. Premlal, wife of the police commissioner who takes the two men under his protection.</t>
        </is>
      </c>
      <c r="L397" s="5" t="n"/>
      <c r="M397" s="5" t="inlineStr">
        <is>
          <t>SOURCE-066</t>
        </is>
      </c>
    </row>
    <row r="398" ht="79" customHeight="1">
      <c r="A398" s="15" t="inlineStr">
        <is>
          <t>CAST-393</t>
        </is>
      </c>
      <c r="B398" s="18" t="inlineStr">
        <is>
          <t>FILM-083</t>
        </is>
      </c>
      <c r="C398" s="5" t="inlineStr">
        <is>
          <t>Gautam Govinda</t>
        </is>
      </c>
      <c r="D398" s="17" t="n">
        <v>1979</v>
      </c>
      <c r="E398" s="5" t="inlineStr">
        <is>
          <t>Shatrughan Sinha</t>
        </is>
      </c>
      <c r="F398" s="5" t="inlineStr">
        <is>
          <t>Govinda</t>
        </is>
      </c>
      <c r="G398" s="5" t="inlineStr">
        <is>
          <t>Co-lead</t>
        </is>
      </c>
      <c r="H398" s="5" t="inlineStr">
        <is>
          <t>Major</t>
        </is>
      </c>
      <c r="I398" s="5" t="inlineStr">
        <is>
          <t>The landlord's enforcer sent to kill him, who turns out to be his younger brother, is reformed by him, and then betrays him for a bribe and beats him.</t>
        </is>
      </c>
      <c r="J398" s="5" t="inlineStr">
        <is>
          <t>Outside Gautam's romance; his own admirer is Gulabo.</t>
        </is>
      </c>
      <c r="K398" s="19" t="inlineStr">
        <is>
          <t>Rajasahab's trusted henchman, twice sent to kill the new inspector and twice failing, revealed as Gautam's brother born after their father's murder, reformed by him, and turned again by Bagga's bribe into dacoity and the delivery of his brother to the Rajasahab.</t>
        </is>
      </c>
      <c r="L398" s="5" t="n"/>
      <c r="M398" s="5" t="inlineStr">
        <is>
          <t>SOURCE-070</t>
        </is>
      </c>
    </row>
    <row r="399" ht="64" customHeight="1">
      <c r="A399" s="15" t="inlineStr">
        <is>
          <t>CAST-394</t>
        </is>
      </c>
      <c r="B399" s="18" t="inlineStr">
        <is>
          <t>FILM-083</t>
        </is>
      </c>
      <c r="C399" s="5" t="inlineStr">
        <is>
          <t>Gautam Govinda</t>
        </is>
      </c>
      <c r="D399" s="17" t="n">
        <v>1979</v>
      </c>
      <c r="E399" s="5" t="inlineStr">
        <is>
          <t>Moushumi Chatterjee</t>
        </is>
      </c>
      <c r="F399" s="5" t="inlineStr">
        <is>
          <t>Sandhya</t>
        </is>
      </c>
      <c r="G399" s="5" t="inlineStr">
        <is>
          <t>Co-lead</t>
        </is>
      </c>
      <c r="H399" s="5" t="inlineStr">
        <is>
          <t>Major</t>
        </is>
      </c>
      <c r="I399" s="5" t="inlineStr">
        <is>
          <t>The village woman whose respect for him becomes love, and the person to whom he finally reveals his identity.</t>
        </is>
      </c>
      <c r="J399" s="5" t="inlineStr">
        <is>
          <t>The pairing recorded in the Romances sheet as friendship to love, and secondary to the film's business of oppression and brotherhood.</t>
        </is>
      </c>
      <c r="K399" s="19" t="inlineStr">
        <is>
          <t>A village belle who develops first respect and then love for the honest inspector on punishment posting, returned in time, and the one he tells the truth to when he comes back to find the village burning.</t>
        </is>
      </c>
      <c r="L399" s="5" t="n"/>
      <c r="M399" s="5" t="inlineStr">
        <is>
          <t>SOURCE-070</t>
        </is>
      </c>
    </row>
    <row r="400" ht="64" customHeight="1">
      <c r="A400" s="15" t="inlineStr">
        <is>
          <t>CAST-395</t>
        </is>
      </c>
      <c r="B400" s="18" t="inlineStr">
        <is>
          <t>FILM-083</t>
        </is>
      </c>
      <c r="C400" s="5" t="inlineStr">
        <is>
          <t>Gautam Govinda</t>
        </is>
      </c>
      <c r="D400" s="17" t="n">
        <v>1979</v>
      </c>
      <c r="E400" s="5" t="inlineStr">
        <is>
          <t>Nirupa Roy</t>
        </is>
      </c>
      <c r="F400" s="5" t="inlineStr">
        <is>
          <t>Ganga</t>
        </is>
      </c>
      <c r="G400" s="5" t="inlineStr">
        <is>
          <t>Family</t>
        </is>
      </c>
      <c r="H400" s="5" t="inlineStr">
        <is>
          <t>Major</t>
        </is>
      </c>
      <c r="I400" s="5" t="inlineStr">
        <is>
          <t>His own mother, from whom he was separated as a child and whose motherly love he wins back before either of them knows the relation.</t>
        </is>
      </c>
      <c r="J400" s="5" t="inlineStr">
        <is>
          <t>No part in it; the recognition plot is the film's real centre.</t>
        </is>
      </c>
      <c r="K400" s="19" t="inlineStr">
        <is>
          <t>Govinda's mother, saved by Gautam during the second attempt on his life, who gives him a mother's affection before he discovers she is his own mother, separated from him when Rajasahab killed their father and she was carrying Govinda.</t>
        </is>
      </c>
      <c r="L400" s="5" t="n"/>
      <c r="M400" s="5" t="inlineStr">
        <is>
          <t>SOURCE-070</t>
        </is>
      </c>
    </row>
    <row r="401" ht="64" customHeight="1">
      <c r="A401" s="15" t="inlineStr">
        <is>
          <t>CAST-396</t>
        </is>
      </c>
      <c r="B401" s="18" t="inlineStr">
        <is>
          <t>FILM-083</t>
        </is>
      </c>
      <c r="C401" s="5" t="inlineStr">
        <is>
          <t>Gautam Govinda</t>
        </is>
      </c>
      <c r="D401" s="17" t="n">
        <v>1979</v>
      </c>
      <c r="E401" s="5" t="inlineStr">
        <is>
          <t>Premnath</t>
        </is>
      </c>
      <c r="F401" s="5" t="inlineStr">
        <is>
          <t>Dharam Dutt</t>
        </is>
      </c>
      <c r="G401" s="5" t="inlineStr">
        <is>
          <t>Antagonist</t>
        </is>
      </c>
      <c r="H401" s="5" t="inlineStr">
        <is>
          <t>Major</t>
        </is>
      </c>
      <c r="I401" s="5" t="inlineStr">
        <is>
          <t>The landlord who killed his father, drove out his predecessors, and orders his death twice.</t>
        </is>
      </c>
      <c r="J401" s="5" t="inlineStr">
        <is>
          <t>The external threat over the whole village, and so over the courtship.</t>
        </is>
      </c>
      <c r="K401" s="19" t="inlineStr">
        <is>
          <t>A Rajasahab whose hold on the villagers is total and who killed Gautam's father for rebelling against his oppression, and who sets his enforcer on the inspector who begins to break that hold.</t>
        </is>
      </c>
      <c r="L401" s="5" t="n"/>
      <c r="M401" s="5" t="inlineStr">
        <is>
          <t>SOURCE-070</t>
        </is>
      </c>
    </row>
    <row r="402" ht="64" customHeight="1">
      <c r="A402" s="15" t="inlineStr">
        <is>
          <t>CAST-397</t>
        </is>
      </c>
      <c r="B402" s="18" t="inlineStr">
        <is>
          <t>FILM-083</t>
        </is>
      </c>
      <c r="C402" s="5" t="inlineStr">
        <is>
          <t>Gautam Govinda</t>
        </is>
      </c>
      <c r="D402" s="17" t="n">
        <v>1979</v>
      </c>
      <c r="E402" s="5" t="inlineStr">
        <is>
          <t>Madan Puri</t>
        </is>
      </c>
      <c r="F402" s="5" t="inlineStr">
        <is>
          <t>Bagga</t>
        </is>
      </c>
      <c r="G402" s="5" t="inlineStr">
        <is>
          <t>Antagonist</t>
        </is>
      </c>
      <c r="H402" s="5" t="inlineStr">
        <is>
          <t>Medium</t>
        </is>
      </c>
      <c r="I402" s="5" t="inlineStr">
        <is>
          <t>The Rajasahab's younger brother, who destroys Gautam's reputation in his absence by claiming he took a bribe.</t>
        </is>
      </c>
      <c r="J402" s="5" t="inlineStr">
        <is>
          <t>No direct part in it.</t>
        </is>
      </c>
      <c r="K402" s="19" t="inlineStr">
        <is>
          <t>Rajasahab's younger brother, who sows discord in the village while Gautam is away receiving a government award, claiming the inspector took two lakh rupees as a bribe, and buys Govinda with the same currency.</t>
        </is>
      </c>
      <c r="L402" s="5" t="n"/>
      <c r="M402" s="5" t="inlineStr">
        <is>
          <t>SOURCE-070</t>
        </is>
      </c>
    </row>
    <row r="403" ht="49" customHeight="1">
      <c r="A403" s="15" t="inlineStr">
        <is>
          <t>CAST-398</t>
        </is>
      </c>
      <c r="B403" s="18" t="inlineStr">
        <is>
          <t>FILM-083</t>
        </is>
      </c>
      <c r="C403" s="5" t="inlineStr">
        <is>
          <t>Gautam Govinda</t>
        </is>
      </c>
      <c r="D403" s="17" t="n">
        <v>1979</v>
      </c>
      <c r="E403" s="5" t="inlineStr">
        <is>
          <t>Aruna Irani</t>
        </is>
      </c>
      <c r="F403" s="5" t="inlineStr">
        <is>
          <t>Gulabo</t>
        </is>
      </c>
      <c r="G403" s="5" t="inlineStr">
        <is>
          <t>Supporting</t>
        </is>
      </c>
      <c r="H403" s="5" t="inlineStr">
        <is>
          <t>Medium</t>
        </is>
      </c>
      <c r="I403" s="5" t="inlineStr">
        <is>
          <t>No attachment to Gautam; she is the second village woman, paired with his brother.</t>
        </is>
      </c>
      <c r="J403" s="5" t="inlineStr">
        <is>
          <t>The film's parallel romance, set beside Gautam and Sandhya.</t>
        </is>
      </c>
      <c r="K403" s="19" t="inlineStr">
        <is>
          <t>A village belle who admires Govinda, the counterpart on the henchman's side to Sandhya on the inspector's.</t>
        </is>
      </c>
      <c r="L403" s="5" t="n"/>
      <c r="M403" s="5" t="inlineStr">
        <is>
          <t>SOURCE-070</t>
        </is>
      </c>
    </row>
    <row r="404" ht="34" customHeight="1">
      <c r="A404" s="15" t="inlineStr">
        <is>
          <t>CAST-399</t>
        </is>
      </c>
      <c r="B404" s="18" t="inlineStr">
        <is>
          <t>FILM-083</t>
        </is>
      </c>
      <c r="C404" s="5" t="inlineStr">
        <is>
          <t>Gautam Govinda</t>
        </is>
      </c>
      <c r="D404" s="17" t="n">
        <v>1979</v>
      </c>
      <c r="E404" s="5" t="inlineStr">
        <is>
          <t>Reena Roy</t>
        </is>
      </c>
      <c r="F404" s="5" t="inlineStr">
        <is>
          <t>Dancer</t>
        </is>
      </c>
      <c r="G404" s="5" t="inlineStr">
        <is>
          <t>Cameo</t>
        </is>
      </c>
      <c r="H404" s="5" t="inlineStr">
        <is>
          <t>Minor</t>
        </is>
      </c>
      <c r="I404" s="5" t="inlineStr">
        <is>
          <t>No part in the plot; billed as a special appearance.</t>
        </is>
      </c>
      <c r="J404" s="5" t="inlineStr">
        <is>
          <t>No part in it.</t>
        </is>
      </c>
      <c r="K404" s="19" t="inlineStr">
        <is>
          <t>A dancer in a special appearance, credited as such in a film otherwise about feudal oppression in a village.</t>
        </is>
      </c>
      <c r="L404" s="5" t="n"/>
      <c r="M404" s="5" t="inlineStr">
        <is>
          <t>SOURCE-070</t>
        </is>
      </c>
    </row>
    <row r="405" ht="79" customHeight="1">
      <c r="A405" s="15" t="inlineStr">
        <is>
          <t>CAST-400</t>
        </is>
      </c>
      <c r="B405" s="18" t="inlineStr">
        <is>
          <t>FILM-084</t>
        </is>
      </c>
      <c r="C405" s="5" t="inlineStr">
        <is>
          <t>Junoon</t>
        </is>
      </c>
      <c r="D405" s="17" t="n">
        <v>1979</v>
      </c>
      <c r="E405" s="5" t="inlineStr">
        <is>
          <t>Nafisa Ali</t>
        </is>
      </c>
      <c r="F405" s="5" t="inlineStr">
        <is>
          <t>Ruth Labadoor</t>
        </is>
      </c>
      <c r="G405" s="5" t="inlineStr">
        <is>
          <t>Co-lead</t>
        </is>
      </c>
      <c r="H405" s="5" t="inlineStr">
        <is>
          <t>Major</t>
        </is>
      </c>
      <c r="I405" s="5" t="inlineStr">
        <is>
          <t>The Anglo-Indian girl he seizes from Lala Ramjimal's house and then wants to marry, in the film Kapoor produced himself.</t>
        </is>
      </c>
      <c r="J405" s="5" t="inlineStr">
        <is>
          <t>The pairing recorded in the Romances sheet as forbidden love, and forbidden by history: her mother makes the marriage contingent on a British defeat.</t>
        </is>
      </c>
      <c r="K405" s="19" t="inlineStr">
        <is>
          <t>The daughter of an English priest and a half-Nawabi mother, who escapes the massacre at the church, takes refuge with a Hindu family, is carried off with her mother and grandmother to a Pathan household, and becomes the object of a chieftain's obsession.</t>
        </is>
      </c>
      <c r="L405" s="5" t="n"/>
      <c r="M405" s="5" t="inlineStr">
        <is>
          <t>SOURCE-071</t>
        </is>
      </c>
    </row>
    <row r="406" ht="49" customHeight="1">
      <c r="A406" s="15" t="inlineStr">
        <is>
          <t>CAST-401</t>
        </is>
      </c>
      <c r="B406" s="18" t="inlineStr">
        <is>
          <t>FILM-084</t>
        </is>
      </c>
      <c r="C406" s="5" t="inlineStr">
        <is>
          <t>Junoon</t>
        </is>
      </c>
      <c r="D406" s="17" t="n">
        <v>1979</v>
      </c>
      <c r="E406" s="5" t="inlineStr">
        <is>
          <t>Shabana Azmi</t>
        </is>
      </c>
      <c r="F406" s="5" t="inlineStr">
        <is>
          <t>Firdaus</t>
        </is>
      </c>
      <c r="G406" s="5" t="inlineStr">
        <is>
          <t>Family</t>
        </is>
      </c>
      <c r="H406" s="5" t="inlineStr">
        <is>
          <t>Major</t>
        </is>
      </c>
      <c r="I406" s="5" t="inlineStr">
        <is>
          <t>His wife, watching him install an Englishwoman in their house and fall in love with her.</t>
        </is>
      </c>
      <c r="J406" s="5" t="inlineStr">
        <is>
          <t>The pairing recorded in the Romances sheet as a marriage under strain, and the cost of the other one.</t>
        </is>
      </c>
      <c r="K406" s="19" t="inlineStr">
        <is>
          <t>Javed Khan's wife, who becomes bitterly jealous when her husband brings Ruth Labadoor and her family into their home and turns his attention on the girl.</t>
        </is>
      </c>
      <c r="L406" s="5" t="n"/>
      <c r="M406" s="5" t="inlineStr">
        <is>
          <t>SOURCE-071</t>
        </is>
      </c>
    </row>
    <row r="407" ht="79" customHeight="1">
      <c r="A407" s="15" t="inlineStr">
        <is>
          <t>CAST-402</t>
        </is>
      </c>
      <c r="B407" s="18" t="inlineStr">
        <is>
          <t>FILM-084</t>
        </is>
      </c>
      <c r="C407" s="5" t="inlineStr">
        <is>
          <t>Junoon</t>
        </is>
      </c>
      <c r="D407" s="17" t="n">
        <v>1979</v>
      </c>
      <c r="E407" s="5" t="inlineStr">
        <is>
          <t>Jennifer Kendal</t>
        </is>
      </c>
      <c r="F407" s="5" t="inlineStr">
        <is>
          <t>Miriam Labadoor</t>
        </is>
      </c>
      <c r="G407" s="5" t="inlineStr">
        <is>
          <t>Family</t>
        </is>
      </c>
      <c r="H407" s="5" t="inlineStr">
        <is>
          <t>Major</t>
        </is>
      </c>
      <c r="I407" s="5" t="inlineStr">
        <is>
          <t>Ruth's mother, and the only person who successfully blocks him: she ties her daughter's hand to the defeat of the British. Kapoor's own wife, in the film he produced.</t>
        </is>
      </c>
      <c r="J407" s="5" t="inlineStr">
        <is>
          <t>The obstacle, and a shrewd one: the condition she sets makes the marriage impossible without making refusal look like disloyalty.</t>
        </is>
      </c>
      <c r="K407" s="19" t="inlineStr">
        <is>
          <t>A widow of English marriage and Rampur Nawabi descent who escapes the church massacre with her daughter and mother, takes refuge with Lala Ramjimal, and extracts from Javed the promise that he may have Ruth only if the British are defeated.</t>
        </is>
      </c>
      <c r="L407" s="5" t="n"/>
      <c r="M407" s="5" t="inlineStr">
        <is>
          <t>SOURCE-071</t>
        </is>
      </c>
    </row>
    <row r="408" ht="79" customHeight="1">
      <c r="A408" s="15" t="inlineStr">
        <is>
          <t>CAST-403</t>
        </is>
      </c>
      <c r="B408" s="18" t="inlineStr">
        <is>
          <t>FILM-084</t>
        </is>
      </c>
      <c r="C408" s="5" t="inlineStr">
        <is>
          <t>Junoon</t>
        </is>
      </c>
      <c r="D408" s="17" t="n">
        <v>1979</v>
      </c>
      <c r="E408" s="5" t="inlineStr">
        <is>
          <t>Naseeruddin Shah</t>
        </is>
      </c>
      <c r="F408" s="5" t="inlineStr">
        <is>
          <t>Sarfaraz Khan</t>
        </is>
      </c>
      <c r="G408" s="5" t="inlineStr">
        <is>
          <t>Family</t>
        </is>
      </c>
      <c r="H408" s="5" t="inlineStr">
        <is>
          <t>Major</t>
        </is>
      </c>
      <c r="I408" s="5" t="inlineStr">
        <is>
          <t>His younger brother-in-law, politically awake where Javed is merely reckless, and angry at the Englishwomen in the house until Pathan custom overrides him.</t>
        </is>
      </c>
      <c r="J408" s="5" t="inlineStr">
        <is>
          <t>Opposes it from within the household, on the grounds Javed himself ignores.</t>
        </is>
      </c>
      <c r="K408" s="19" t="inlineStr">
        <is>
          <t>Javed's brother-in-law, an active plotter against the British Empire, who is angered by the presence of the English guests and gives way to the Pathan obligation of sanctuary even to the uninvited.</t>
        </is>
      </c>
      <c r="L408" s="5" t="n"/>
      <c r="M408" s="5" t="inlineStr">
        <is>
          <t>SOURCE-071</t>
        </is>
      </c>
    </row>
    <row r="409" ht="64" customHeight="1">
      <c r="A409" s="15" t="inlineStr">
        <is>
          <t>CAST-404</t>
        </is>
      </c>
      <c r="B409" s="18" t="inlineStr">
        <is>
          <t>FILM-084</t>
        </is>
      </c>
      <c r="C409" s="5" t="inlineStr">
        <is>
          <t>Junoon</t>
        </is>
      </c>
      <c r="D409" s="17" t="n">
        <v>1979</v>
      </c>
      <c r="E409" s="5" t="inlineStr">
        <is>
          <t>Kulbhushan Kharbanda</t>
        </is>
      </c>
      <c r="F409" s="5" t="inlineStr">
        <is>
          <t>Lala Ramjimal</t>
        </is>
      </c>
      <c r="G409" s="5" t="inlineStr">
        <is>
          <t>Supporting</t>
        </is>
      </c>
      <c r="H409" s="5" t="inlineStr">
        <is>
          <t>Major</t>
        </is>
      </c>
      <c r="I409" s="5" t="inlineStr">
        <is>
          <t>The man whose house Javed barges into to take the women away, and whose silent love for Miriam Javed overrides by force.</t>
        </is>
      </c>
      <c r="J409" s="5" t="inlineStr">
        <is>
          <t>The quiet rival, and the film's other divided loyalty.</t>
        </is>
      </c>
      <c r="K409" s="19" t="inlineStr">
        <is>
          <t>A wealthy Hindu who shelters the three fugitive women, torn between loyalty to India and his privileged position under the British, and silently in love with Miriam, who seems silently to return it.</t>
        </is>
      </c>
      <c r="L409" s="5" t="n"/>
      <c r="M409" s="5" t="inlineStr">
        <is>
          <t>SOURCE-071</t>
        </is>
      </c>
    </row>
    <row r="410" ht="64" customHeight="1">
      <c r="A410" s="15" t="inlineStr">
        <is>
          <t>CAST-405</t>
        </is>
      </c>
      <c r="B410" s="18" t="inlineStr">
        <is>
          <t>FILM-084</t>
        </is>
      </c>
      <c r="C410" s="5" t="inlineStr">
        <is>
          <t>Junoon</t>
        </is>
      </c>
      <c r="D410" s="17" t="n">
        <v>1979</v>
      </c>
      <c r="E410" s="5" t="inlineStr">
        <is>
          <t>Ismat Chughtai</t>
        </is>
      </c>
      <c r="F410" s="5" t="inlineStr">
        <is>
          <t>Miriam's mother</t>
        </is>
      </c>
      <c r="G410" s="5" t="inlineStr">
        <is>
          <t>Family</t>
        </is>
      </c>
      <c r="H410" s="5" t="inlineStr">
        <is>
          <t>Medium</t>
        </is>
      </c>
      <c r="I410" s="5" t="inlineStr">
        <is>
          <t>Ruth's grandmother, a Muslim of the Rampur Nawabi family, whose presence complicates every claim made about the household's loyalties.</t>
        </is>
      </c>
      <c r="J410" s="5" t="inlineStr">
        <is>
          <t>Part of the family Javed must negotiate with.</t>
        </is>
      </c>
      <c r="K410" s="19" t="inlineStr">
        <is>
          <t>A Muslim woman of the royal Nawabi family of Rampur who married an Englishman, escaping the massacre with her daughter and granddaughter; played by the Urdu writer Ismat Chughtai.</t>
        </is>
      </c>
      <c r="L410" s="5" t="n"/>
      <c r="M410" s="5" t="inlineStr">
        <is>
          <t>SOURCE-071</t>
        </is>
      </c>
    </row>
    <row r="411" ht="49" customHeight="1">
      <c r="A411" s="15" t="inlineStr">
        <is>
          <t>CAST-406</t>
        </is>
      </c>
      <c r="B411" s="18" t="inlineStr">
        <is>
          <t>FILM-084</t>
        </is>
      </c>
      <c r="C411" s="5" t="inlineStr">
        <is>
          <t>Junoon</t>
        </is>
      </c>
      <c r="D411" s="17" t="n">
        <v>1979</v>
      </c>
      <c r="E411" s="5" t="inlineStr">
        <is>
          <t>Tom Alter</t>
        </is>
      </c>
      <c r="F411" s="5" t="inlineStr">
        <is>
          <t>Priest</t>
        </is>
      </c>
      <c r="G411" s="5" t="inlineStr">
        <is>
          <t>Supporting</t>
        </is>
      </c>
      <c r="H411" s="5" t="inlineStr">
        <is>
          <t>Minor</t>
        </is>
      </c>
      <c r="I411" s="5" t="inlineStr">
        <is>
          <t>Ruth's father, killed in the church before Javed's part in the story begins.</t>
        </is>
      </c>
      <c r="J411" s="5" t="inlineStr">
        <is>
          <t>His death is the condition of the whole encounter.</t>
        </is>
      </c>
      <c r="K411" s="19" t="inlineStr">
        <is>
          <t>The English priest, Ruth's father, among the British administrators massacred by freedom fighters during Sunday worship.</t>
        </is>
      </c>
      <c r="L411" s="5" t="n"/>
      <c r="M411" s="5" t="inlineStr">
        <is>
          <t>SOURCE-071</t>
        </is>
      </c>
    </row>
    <row r="412" ht="34" customHeight="1">
      <c r="A412" s="15" t="inlineStr">
        <is>
          <t>CAST-407</t>
        </is>
      </c>
      <c r="B412" s="18" t="inlineStr">
        <is>
          <t>FILM-084</t>
        </is>
      </c>
      <c r="C412" s="5" t="inlineStr">
        <is>
          <t>Junoon</t>
        </is>
      </c>
      <c r="D412" s="17" t="n">
        <v>1979</v>
      </c>
      <c r="E412" s="5" t="inlineStr">
        <is>
          <t>Amrish Puri</t>
        </is>
      </c>
      <c r="F412" s="5" t="inlineStr">
        <is>
          <t>Narrator</t>
        </is>
      </c>
      <c r="G412" s="5" t="inlineStr">
        <is>
          <t>Supporting</t>
        </is>
      </c>
      <c r="H412" s="5" t="inlineStr">
        <is>
          <t>Minor</t>
        </is>
      </c>
      <c r="I412" s="5" t="inlineStr">
        <is>
          <t>Outside the story, framing it.</t>
        </is>
      </c>
      <c r="J412" s="5" t="inlineStr">
        <is>
          <t>No part in it.</t>
        </is>
      </c>
      <c r="K412" s="19" t="inlineStr">
        <is>
          <t>The film's narrator, setting the story of a Pathan chieftain and an English girl against the Indian Rebellion of 1857.</t>
        </is>
      </c>
      <c r="L412" s="5" t="n"/>
      <c r="M412" s="5" t="inlineStr">
        <is>
          <t>SOURCE-071</t>
        </is>
      </c>
    </row>
    <row r="413" ht="79" customHeight="1">
      <c r="A413" s="15" t="inlineStr">
        <is>
          <t>CAST-614</t>
        </is>
      </c>
      <c r="B413" s="18" t="inlineStr">
        <is>
          <t>FILM-085</t>
        </is>
      </c>
      <c r="C413" s="5" t="inlineStr">
        <is>
          <t>Kaala Patthar</t>
        </is>
      </c>
      <c r="D413" s="17" t="n">
        <v>1979</v>
      </c>
      <c r="E413" s="5" t="inlineStr">
        <is>
          <t>Amitabh Bachchan</t>
        </is>
      </c>
      <c r="F413" s="5" t="inlineStr">
        <is>
          <t>Vijay Pal Singh</t>
        </is>
      </c>
      <c r="G413" s="5" t="inlineStr">
        <is>
          <t>Co-lead</t>
        </is>
      </c>
      <c r="H413" s="5" t="inlineStr">
        <is>
          <t>Major</t>
        </is>
      </c>
      <c r="I413" s="5" t="inlineStr">
        <is>
          <t>The disgraced ex-captain who takes work in the mine Kapoor's engineer runs, and becomes his friend; the two combine with Mangal against the owner.</t>
        </is>
      </c>
      <c r="J413" s="5" t="inlineStr">
        <is>
          <t>Outside Ravi's romance. His own attachment is to the doctor who makes him face his past.</t>
        </is>
      </c>
      <c r="K413" s="19" t="inlineStr">
        <is>
          <t>A Merchant Navy captain branded a coward for abandoning his ship and the three hundred passengers on it, disowned by his parents, working as a coal miner to forget, who gives his blood to save the man who fights him and helps save the flooded mine.</t>
        </is>
      </c>
      <c r="L413" s="5" t="n"/>
      <c r="M413" s="5" t="inlineStr">
        <is>
          <t>SOURCE-073</t>
        </is>
      </c>
    </row>
    <row r="414" ht="64" customHeight="1">
      <c r="A414" s="15" t="inlineStr">
        <is>
          <t>CAST-615</t>
        </is>
      </c>
      <c r="B414" s="18" t="inlineStr">
        <is>
          <t>FILM-085</t>
        </is>
      </c>
      <c r="C414" s="5" t="inlineStr">
        <is>
          <t>Kaala Patthar</t>
        </is>
      </c>
      <c r="D414" s="17" t="n">
        <v>1979</v>
      </c>
      <c r="E414" s="5" t="inlineStr">
        <is>
          <t>Shatrughan Sinha</t>
        </is>
      </c>
      <c r="F414" s="5" t="inlineStr">
        <is>
          <t>Mangal Singh</t>
        </is>
      </c>
      <c r="G414" s="5" t="inlineStr">
        <is>
          <t>Co-lead</t>
        </is>
      </c>
      <c r="H414" s="5" t="inlineStr">
        <is>
          <t>Major</t>
        </is>
      </c>
      <c r="I414" s="5" t="inlineStr">
        <is>
          <t>The third of the men who combine against the mine owner, and the one who dies in the rescue.</t>
        </is>
      </c>
      <c r="J414" s="5" t="inlineStr">
        <is>
          <t>Holds one of the film's three romances, with Channo.</t>
        </is>
      </c>
      <c r="K414" s="19" t="inlineStr">
        <is>
          <t>An escaped convict working in the mines to keep clear of the police, who bullies the miners, fights Vijay, is saved by his blood and becomes his friend, romances the bangle seller Channo, and dies saving the trapped men.</t>
        </is>
      </c>
      <c r="L414" s="5" t="n"/>
      <c r="M414" s="5" t="inlineStr">
        <is>
          <t>SOURCE-073</t>
        </is>
      </c>
    </row>
    <row r="415" ht="64" customHeight="1">
      <c r="A415" s="15" t="inlineStr">
        <is>
          <t>CAST-616</t>
        </is>
      </c>
      <c r="B415" s="18" t="inlineStr">
        <is>
          <t>FILM-085</t>
        </is>
      </c>
      <c r="C415" s="5" t="inlineStr">
        <is>
          <t>Kaala Patthar</t>
        </is>
      </c>
      <c r="D415" s="17" t="n">
        <v>1979</v>
      </c>
      <c r="E415" s="5" t="inlineStr">
        <is>
          <t>Parveen Babi</t>
        </is>
      </c>
      <c r="F415" s="5" t="inlineStr">
        <is>
          <t>Anita</t>
        </is>
      </c>
      <c r="G415" s="5" t="inlineStr">
        <is>
          <t>Co-lead</t>
        </is>
      </c>
      <c r="H415" s="5" t="inlineStr">
        <is>
          <t>Major</t>
        </is>
      </c>
      <c r="I415" s="5" t="inlineStr">
        <is>
          <t>Kapoor's romantic partner, and a press photographer whose profession sits directly against the owner the engineer works for.</t>
        </is>
      </c>
      <c r="J415" s="5" t="inlineStr">
        <is>
          <t>The pairing recorded in the Romances sheet, and subordinate to the film's subject: one of three romances distributed across the three men.</t>
        </is>
      </c>
      <c r="K415" s="19" t="inlineStr">
        <is>
          <t>A press reporter and photographer, paired with the mine's engineer, in a film whose business is the negligence of a colliery owner and the flood that follows from it.</t>
        </is>
      </c>
      <c r="L415" s="5" t="n"/>
      <c r="M415" s="5" t="inlineStr">
        <is>
          <t>SOURCE-073</t>
        </is>
      </c>
    </row>
    <row r="416" ht="64" customHeight="1">
      <c r="A416" s="15" t="inlineStr">
        <is>
          <t>CAST-617</t>
        </is>
      </c>
      <c r="B416" s="18" t="inlineStr">
        <is>
          <t>FILM-085</t>
        </is>
      </c>
      <c r="C416" s="5" t="inlineStr">
        <is>
          <t>Kaala Patthar</t>
        </is>
      </c>
      <c r="D416" s="17" t="n">
        <v>1979</v>
      </c>
      <c r="E416" s="5" t="inlineStr">
        <is>
          <t>Raakhee</t>
        </is>
      </c>
      <c r="F416" s="5" t="inlineStr">
        <is>
          <t>Dr. Sudha Sen</t>
        </is>
      </c>
      <c r="G416" s="5" t="inlineStr">
        <is>
          <t>Supporting</t>
        </is>
      </c>
      <c r="H416" s="5" t="inlineStr">
        <is>
          <t>Major</t>
        </is>
      </c>
      <c r="I416" s="5" t="inlineStr">
        <is>
          <t>The mine's doctor, working with the engineer inside the same inadequate establishment, and the one person supporting Vijay.</t>
        </is>
      </c>
      <c r="J416" s="5" t="inlineStr">
        <is>
          <t>Holds the third romance, with Vijay, and it is the one the film treats most seriously.</t>
        </is>
      </c>
      <c r="K416" s="19" t="inlineStr">
        <is>
          <t>The doctor at the colliery, who treats the injured Mangal, supports the disgraced Vijay, and tries to make him face his past and move on, in a surgery the owner keeps short of supplies.</t>
        </is>
      </c>
      <c r="L416" s="5" t="n"/>
      <c r="M416" s="5" t="inlineStr">
        <is>
          <t>SOURCE-073</t>
        </is>
      </c>
    </row>
    <row r="417" ht="64" customHeight="1">
      <c r="A417" s="15" t="inlineStr">
        <is>
          <t>CAST-618</t>
        </is>
      </c>
      <c r="B417" s="18" t="inlineStr">
        <is>
          <t>FILM-085</t>
        </is>
      </c>
      <c r="C417" s="5" t="inlineStr">
        <is>
          <t>Kaala Patthar</t>
        </is>
      </c>
      <c r="D417" s="17" t="n">
        <v>1979</v>
      </c>
      <c r="E417" s="5" t="inlineStr">
        <is>
          <t>Prem Chopra</t>
        </is>
      </c>
      <c r="F417" s="5" t="inlineStr">
        <is>
          <t>Dhanraj Puri</t>
        </is>
      </c>
      <c r="G417" s="5" t="inlineStr">
        <is>
          <t>Antagonist</t>
        </is>
      </c>
      <c r="H417" s="5" t="inlineStr">
        <is>
          <t>Major</t>
        </is>
      </c>
      <c r="I417" s="5" t="inlineStr">
        <is>
          <t>The owner of the mine Kapoor's character is the engineer of, which puts the engineer between the workers and the negligence.</t>
        </is>
      </c>
      <c r="J417" s="5" t="inlineStr">
        <is>
          <t>No part in it.</t>
        </is>
      </c>
      <c r="K417" s="19" t="inlineStr">
        <is>
          <t>The greedy colliery owner who gives the miners poor equipment, insufficient medical supplies and no facilities, and against whom the engineer, the captain and the convict finally combine.</t>
        </is>
      </c>
      <c r="L417" s="5" t="n"/>
      <c r="M417" s="5" t="inlineStr">
        <is>
          <t>SOURCE-073</t>
        </is>
      </c>
    </row>
    <row r="418" ht="34" customHeight="1">
      <c r="A418" s="15" t="inlineStr">
        <is>
          <t>CAST-619</t>
        </is>
      </c>
      <c r="B418" s="18" t="inlineStr">
        <is>
          <t>FILM-085</t>
        </is>
      </c>
      <c r="C418" s="5" t="inlineStr">
        <is>
          <t>Kaala Patthar</t>
        </is>
      </c>
      <c r="D418" s="17" t="n">
        <v>1979</v>
      </c>
      <c r="E418" s="5" t="inlineStr">
        <is>
          <t>Neetu Singh</t>
        </is>
      </c>
      <c r="F418" s="5" t="inlineStr">
        <is>
          <t>Channo</t>
        </is>
      </c>
      <c r="G418" s="5" t="inlineStr">
        <is>
          <t>Supporting</t>
        </is>
      </c>
      <c r="H418" s="5" t="inlineStr">
        <is>
          <t>Major</t>
        </is>
      </c>
      <c r="I418" s="5" t="inlineStr">
        <is>
          <t>No connection to Ravi; she belongs to Mangal's strand.</t>
        </is>
      </c>
      <c r="J418" s="5" t="inlineStr">
        <is>
          <t>The third of the film's three parallel romances.</t>
        </is>
      </c>
      <c r="K418" s="19" t="inlineStr">
        <is>
          <t>A bangle seller at the colliery, romanced by the fugitive Mangal Singh.</t>
        </is>
      </c>
      <c r="L418" s="5" t="n"/>
      <c r="M418" s="5" t="inlineStr">
        <is>
          <t>SOURCE-073</t>
        </is>
      </c>
    </row>
    <row r="419" ht="49" customHeight="1">
      <c r="A419" s="15" t="inlineStr">
        <is>
          <t>CAST-620</t>
        </is>
      </c>
      <c r="B419" s="18" t="inlineStr">
        <is>
          <t>FILM-085</t>
        </is>
      </c>
      <c r="C419" s="5" t="inlineStr">
        <is>
          <t>Kaala Patthar</t>
        </is>
      </c>
      <c r="D419" s="17" t="n">
        <v>1979</v>
      </c>
      <c r="E419" s="5" t="inlineStr">
        <is>
          <t>Yunus Parvez</t>
        </is>
      </c>
      <c r="F419" s="5" t="inlineStr">
        <is>
          <t>Maneklal Saxena</t>
        </is>
      </c>
      <c r="G419" s="5" t="inlineStr">
        <is>
          <t>Authority figure</t>
        </is>
      </c>
      <c r="H419" s="5" t="inlineStr">
        <is>
          <t>Medium</t>
        </is>
      </c>
      <c r="I419" s="5" t="inlineStr">
        <is>
          <t>The chief engineer above Kapoor's Ravi, and so his own place in the hierarchy the film indicts.</t>
        </is>
      </c>
      <c r="J419" s="5" t="inlineStr">
        <is>
          <t>No part in it.</t>
        </is>
      </c>
      <c r="K419" s="19" t="inlineStr">
        <is>
          <t>Credited as the colliery's chief engineer, in the management structure between the owner and the men underground.</t>
        </is>
      </c>
      <c r="L419" s="5" t="n"/>
      <c r="M419" s="5" t="inlineStr">
        <is>
          <t>SOURCE-073</t>
        </is>
      </c>
    </row>
    <row r="420" ht="49" customHeight="1">
      <c r="A420" s="15" t="inlineStr">
        <is>
          <t>CAST-621</t>
        </is>
      </c>
      <c r="B420" s="18" t="inlineStr">
        <is>
          <t>FILM-085</t>
        </is>
      </c>
      <c r="C420" s="5" t="inlineStr">
        <is>
          <t>Kaala Patthar</t>
        </is>
      </c>
      <c r="D420" s="17" t="n">
        <v>1979</v>
      </c>
      <c r="E420" s="5" t="inlineStr">
        <is>
          <t>Iftekhar</t>
        </is>
      </c>
      <c r="F420" s="5" t="inlineStr">
        <is>
          <t>Mr. Singh</t>
        </is>
      </c>
      <c r="G420" s="5" t="inlineStr">
        <is>
          <t>Family</t>
        </is>
      </c>
      <c r="H420" s="5" t="inlineStr">
        <is>
          <t>Medium</t>
        </is>
      </c>
      <c r="I420" s="5" t="inlineStr">
        <is>
          <t>No dealings with Ravi; he is the retired military father who disowned Vijay for cowardice.</t>
        </is>
      </c>
      <c r="J420" s="5" t="inlineStr">
        <is>
          <t>No part in it.</t>
        </is>
      </c>
      <c r="K420" s="19" t="inlineStr">
        <is>
          <t>Vijay's father, a retired military man, credited with Sudha Chopra as Mrs. Singh, the parents who disowned their son over the abandoned ship.</t>
        </is>
      </c>
      <c r="L420" s="5" t="n"/>
      <c r="M420" s="5" t="inlineStr">
        <is>
          <t>SOURCE-073</t>
        </is>
      </c>
    </row>
    <row r="421" ht="49" customHeight="1">
      <c r="A421" s="15" t="inlineStr">
        <is>
          <t>CAST-622</t>
        </is>
      </c>
      <c r="B421" s="18" t="inlineStr">
        <is>
          <t>FILM-085</t>
        </is>
      </c>
      <c r="C421" s="5" t="inlineStr">
        <is>
          <t>Kaala Patthar</t>
        </is>
      </c>
      <c r="D421" s="17" t="n">
        <v>1979</v>
      </c>
      <c r="E421" s="5" t="inlineStr">
        <is>
          <t>Sanjeev Kumar</t>
        </is>
      </c>
      <c r="F421" s="5" t="inlineStr">
        <is>
          <t>Dr. Mathur</t>
        </is>
      </c>
      <c r="G421" s="5" t="inlineStr">
        <is>
          <t>Cameo</t>
        </is>
      </c>
      <c r="H421" s="5" t="inlineStr">
        <is>
          <t>Minor</t>
        </is>
      </c>
      <c r="I421" s="5" t="inlineStr">
        <is>
          <t>No documented dealings with Kapoor's engineer; the appearance is a guest one and uncredited.</t>
        </is>
      </c>
      <c r="J421" s="5" t="inlineStr">
        <is>
          <t>No part in it.</t>
        </is>
      </c>
      <c r="K421" s="19" t="inlineStr">
        <is>
          <t>Credited as Dr. Mathur in an uncredited guest appearance, one of three such parts in the film alongside Romesh Sharma's Vikram and Poonam Dhillon's.</t>
        </is>
      </c>
      <c r="L421" s="5" t="n"/>
      <c r="M421" s="5" t="inlineStr">
        <is>
          <t>SOURCE-073</t>
        </is>
      </c>
    </row>
    <row r="422" ht="79" customHeight="1">
      <c r="A422" s="15" t="inlineStr">
        <is>
          <t>CAST-408</t>
        </is>
      </c>
      <c r="B422" s="18" t="inlineStr">
        <is>
          <t>FILM-086</t>
        </is>
      </c>
      <c r="C422" s="5" t="inlineStr">
        <is>
          <t>Duniya Meri Jeb Mein</t>
        </is>
      </c>
      <c r="D422" s="17" t="n">
        <v>1979</v>
      </c>
      <c r="E422" s="5" t="inlineStr">
        <is>
          <t>Rishi Kapoor</t>
        </is>
      </c>
      <c r="F422" s="5" t="inlineStr">
        <is>
          <t>Vishal Khanna</t>
        </is>
      </c>
      <c r="G422" s="5" t="inlineStr">
        <is>
          <t>Co-lead</t>
        </is>
      </c>
      <c r="H422" s="5" t="inlineStr">
        <is>
          <t>Major</t>
        </is>
      </c>
      <c r="I422" s="5" t="inlineStr">
        <is>
          <t>His younger brother, kept in a wealth he believes is real, and left to nurse the crippled man whose whole account of himself then collapses; played by Kapoor's nephew.</t>
        </is>
      </c>
      <c r="J422" s="5" t="inlineStr">
        <is>
          <t>Holds the film's romance. Kapoor's own character has none, which is why romance presence is recorded as None.</t>
        </is>
      </c>
      <c r="K422" s="19" t="inlineStr">
        <is>
          <t>A student at a prestigious college who believes his brother is a prosperous businessman, falls in love with a rich widower's only daughter, undertakes the care of his brother after the lorry accident, and is told by the police that the man was a circus trapeze artiste and a murder suspect.</t>
        </is>
      </c>
      <c r="L422" s="5" t="n"/>
      <c r="M422" s="5" t="inlineStr">
        <is>
          <t>SOURCE-072</t>
        </is>
      </c>
    </row>
    <row r="423" ht="64" customHeight="1">
      <c r="A423" s="15" t="inlineStr">
        <is>
          <t>CAST-409</t>
        </is>
      </c>
      <c r="B423" s="18" t="inlineStr">
        <is>
          <t>FILM-086</t>
        </is>
      </c>
      <c r="C423" s="5" t="inlineStr">
        <is>
          <t>Duniya Meri Jeb Mein</t>
        </is>
      </c>
      <c r="D423" s="17" t="n">
        <v>1979</v>
      </c>
      <c r="E423" s="5" t="inlineStr">
        <is>
          <t>Neetu Singh</t>
        </is>
      </c>
      <c r="F423" s="5" t="inlineStr">
        <is>
          <t>Neeta</t>
        </is>
      </c>
      <c r="G423" s="5" t="inlineStr">
        <is>
          <t>Co-lead</t>
        </is>
      </c>
      <c r="H423" s="5" t="inlineStr">
        <is>
          <t>Major</t>
        </is>
      </c>
      <c r="I423" s="5" t="inlineStr">
        <is>
          <t>His brother's match, whose marriage he negotiates with her father; no romantic connection to Kapoor's own character.</t>
        </is>
      </c>
      <c r="J423" s="5" t="inlineStr">
        <is>
          <t>The film's only romance, and it belongs to the brother.</t>
        </is>
      </c>
      <c r="K423" s="19" t="inlineStr">
        <is>
          <t>The only daughter of the wealthy widower Gulabchand, in love with Vishal, whose marriage is settled between her father and Karan shortly before her father is killed.</t>
        </is>
      </c>
      <c r="L423" s="5" t="n"/>
      <c r="M423" s="5" t="inlineStr">
        <is>
          <t>SOURCE-072</t>
        </is>
      </c>
    </row>
    <row r="424" ht="49" customHeight="1">
      <c r="A424" s="15" t="inlineStr">
        <is>
          <t>CAST-410</t>
        </is>
      </c>
      <c r="B424" s="18" t="inlineStr">
        <is>
          <t>FILM-086</t>
        </is>
      </c>
      <c r="C424" s="5" t="inlineStr">
        <is>
          <t>Duniya Meri Jeb Mein</t>
        </is>
      </c>
      <c r="D424" s="17" t="n">
        <v>1979</v>
      </c>
      <c r="E424" s="5" t="inlineStr">
        <is>
          <t>Raj Mehra</t>
        </is>
      </c>
      <c r="F424" s="5" t="inlineStr">
        <is>
          <t>Gulabchand</t>
        </is>
      </c>
      <c r="G424" s="5" t="inlineStr">
        <is>
          <t>Supporting</t>
        </is>
      </c>
      <c r="H424" s="5" t="inlineStr">
        <is>
          <t>Major</t>
        </is>
      </c>
      <c r="I424" s="5" t="inlineStr">
        <is>
          <t>The man he settles his brother's marriage with, and whose murder he is then suspected of.</t>
        </is>
      </c>
      <c r="J424" s="5" t="inlineStr">
        <is>
          <t>Sanctions the romance and is killed immediately afterwards.</t>
        </is>
      </c>
      <c r="K424" s="19" t="inlineStr">
        <is>
          <t>A wealthy widower who meets Karan and finalises his daughter's marriage to Vishal, and is killed soon after, a crime of which Karan becomes a suspect.</t>
        </is>
      </c>
      <c r="L424" s="5" t="n"/>
      <c r="M424" s="5" t="inlineStr">
        <is>
          <t>SOURCE-072</t>
        </is>
      </c>
    </row>
    <row r="425" ht="64" customHeight="1">
      <c r="A425" s="15" t="inlineStr">
        <is>
          <t>CAST-411</t>
        </is>
      </c>
      <c r="B425" s="18" t="inlineStr">
        <is>
          <t>FILM-086</t>
        </is>
      </c>
      <c r="C425" s="5" t="inlineStr">
        <is>
          <t>Duniya Meri Jeb Mein</t>
        </is>
      </c>
      <c r="D425" s="17" t="n">
        <v>1979</v>
      </c>
      <c r="E425" s="5" t="inlineStr">
        <is>
          <t>Sudhir</t>
        </is>
      </c>
      <c r="F425" s="5" t="inlineStr">
        <is>
          <t>Inspector Yadav</t>
        </is>
      </c>
      <c r="G425" s="5" t="inlineStr">
        <is>
          <t>Authority figure</t>
        </is>
      </c>
      <c r="H425" s="5" t="inlineStr">
        <is>
          <t>Medium</t>
        </is>
      </c>
      <c r="I425" s="5" t="inlineStr">
        <is>
          <t>The officer who dismantles Kapoor's character's whole account of himself, telling Vishal what his brother actually is.</t>
        </is>
      </c>
      <c r="J425" s="5" t="inlineStr">
        <is>
          <t>Indirect: the revelation lands on the household the marriage was arranged into.</t>
        </is>
      </c>
      <c r="K425" s="19" t="inlineStr">
        <is>
          <t>The police inspector who informs Vishal that Karan was never a businessman but a trapeze artiste with Amar Circus, and a suspect in a daring robbery and Gulabchand's murder.</t>
        </is>
      </c>
      <c r="L425" s="5" t="n"/>
      <c r="M425" s="5" t="inlineStr">
        <is>
          <t>SOURCE-072</t>
        </is>
      </c>
    </row>
    <row r="426" ht="64" customHeight="1">
      <c r="A426" s="15" t="inlineStr">
        <is>
          <t>CAST-412</t>
        </is>
      </c>
      <c r="B426" s="18" t="inlineStr">
        <is>
          <t>FILM-086</t>
        </is>
      </c>
      <c r="C426" s="5" t="inlineStr">
        <is>
          <t>Duniya Meri Jeb Mein</t>
        </is>
      </c>
      <c r="D426" s="17" t="n">
        <v>1979</v>
      </c>
      <c r="E426" s="5" t="inlineStr">
        <is>
          <t>Ranjeet</t>
        </is>
      </c>
      <c r="F426" s="5" t="inlineStr">
        <is>
          <t>Rawat</t>
        </is>
      </c>
      <c r="G426" s="5" t="inlineStr">
        <is>
          <t>Antagonist</t>
        </is>
      </c>
      <c r="H426" s="5" t="inlineStr">
        <is>
          <t>Medium</t>
        </is>
      </c>
      <c r="I426" s="5" t="inlineStr">
        <is>
          <t>Belongs to the criminal side of the life Kapoor's character has concealed; the article's synopsis does not detail it.</t>
        </is>
      </c>
      <c r="J426" s="5" t="inlineStr">
        <is>
          <t>No part in it.</t>
        </is>
      </c>
      <c r="K426" s="19" t="inlineStr">
        <is>
          <t>Credited as Rawat, among the antagonists of a plot whose robbery and murder the article's summary raises without resolving.</t>
        </is>
      </c>
      <c r="L426" s="5" t="n"/>
      <c r="M426" s="5" t="inlineStr">
        <is>
          <t>SOURCE-072</t>
        </is>
      </c>
    </row>
    <row r="427" ht="34" customHeight="1">
      <c r="A427" s="15" t="inlineStr">
        <is>
          <t>CAST-413</t>
        </is>
      </c>
      <c r="B427" s="18" t="inlineStr">
        <is>
          <t>FILM-086</t>
        </is>
      </c>
      <c r="C427" s="5" t="inlineStr">
        <is>
          <t>Duniya Meri Jeb Mein</t>
        </is>
      </c>
      <c r="D427" s="17" t="n">
        <v>1979</v>
      </c>
      <c r="E427" s="5" t="inlineStr">
        <is>
          <t>Helen</t>
        </is>
      </c>
      <c r="F427" s="5" t="inlineStr">
        <is>
          <t>Bar dancer</t>
        </is>
      </c>
      <c r="G427" s="5" t="inlineStr">
        <is>
          <t>Cameo</t>
        </is>
      </c>
      <c r="H427" s="5" t="inlineStr">
        <is>
          <t>Minor</t>
        </is>
      </c>
      <c r="I427" s="5" t="inlineStr">
        <is>
          <t>No part in the plot.</t>
        </is>
      </c>
      <c r="J427" s="5" t="inlineStr">
        <is>
          <t>No part in it.</t>
        </is>
      </c>
      <c r="K427" s="19" t="inlineStr">
        <is>
          <t>Credited as a bar dancer, one of the last of the standing cabaret credits Helen held through two decades.</t>
        </is>
      </c>
      <c r="L427" s="5" t="n"/>
      <c r="M427" s="5" t="inlineStr">
        <is>
          <t>SOURCE-072</t>
        </is>
      </c>
    </row>
    <row r="428" ht="79" customHeight="1">
      <c r="A428" s="15" t="inlineStr">
        <is>
          <t>CAST-414</t>
        </is>
      </c>
      <c r="B428" s="18" t="inlineStr">
        <is>
          <t>FILM-087</t>
        </is>
      </c>
      <c r="C428" s="5" t="inlineStr">
        <is>
          <t>Suhaag</t>
        </is>
      </c>
      <c r="D428" s="17" t="n">
        <v>1979</v>
      </c>
      <c r="E428" s="5" t="inlineStr">
        <is>
          <t>Amitabh Bachchan</t>
        </is>
      </c>
      <c r="F428" s="5" t="inlineStr">
        <is>
          <t>Amit Kapoor</t>
        </is>
      </c>
      <c r="G428" s="5" t="inlineStr">
        <is>
          <t>Co-lead</t>
        </is>
      </c>
      <c r="H428" s="5" t="inlineStr">
        <is>
          <t>Major</t>
        </is>
      </c>
      <c r="I428" s="5" t="inlineStr">
        <is>
          <t>His twin, stolen at birth and sold to a bootlegger, who confronts him as a petty criminal, becomes his closest friend, and takes over the investigation when Kishan is blinded.</t>
        </is>
      </c>
      <c r="J428" s="5" t="inlineStr">
        <is>
          <t>Outside Kishan's attachments; the article's summary describes neither brother's romance.</t>
        </is>
      </c>
      <c r="K428" s="19" t="inlineStr">
        <is>
          <t>The twin stolen by Jaggi and sold to the bootlegger Pascal, who raises and educates him into a petty criminal and alcoholic, who clashes with the policeman Kishan, befriends him, is hired by their own unknown father to kill him, warns him instead, and hunts the culprit after Kishan loses his sight.</t>
        </is>
      </c>
      <c r="L428" s="5" t="n"/>
      <c r="M428" s="5" t="inlineStr">
        <is>
          <t>SOURCE-074</t>
        </is>
      </c>
    </row>
    <row r="429" ht="64" customHeight="1">
      <c r="A429" s="15" t="inlineStr">
        <is>
          <t>CAST-415</t>
        </is>
      </c>
      <c r="B429" s="18" t="inlineStr">
        <is>
          <t>FILM-087</t>
        </is>
      </c>
      <c r="C429" s="5" t="inlineStr">
        <is>
          <t>Suhaag</t>
        </is>
      </c>
      <c r="D429" s="17" t="n">
        <v>1979</v>
      </c>
      <c r="E429" s="5" t="inlineStr">
        <is>
          <t>Nirupa Roy</t>
        </is>
      </c>
      <c r="F429" s="5" t="inlineStr">
        <is>
          <t>Durga Kapoor</t>
        </is>
      </c>
      <c r="G429" s="5" t="inlineStr">
        <is>
          <t>Family</t>
        </is>
      </c>
      <c r="H429" s="5" t="inlineStr">
        <is>
          <t>Major</t>
        </is>
      </c>
      <c r="I429" s="5" t="inlineStr">
        <is>
          <t>His mother, who raised him alone with great difficulty after one twin was stolen and her husband abandoned her.</t>
        </is>
      </c>
      <c r="J429" s="5" t="inlineStr">
        <is>
          <t>No documented part in it.</t>
        </is>
      </c>
      <c r="K429" s="19" t="inlineStr">
        <is>
          <t>The mother of the twins, who loses one of them to Jaggi's theft and then her husband to abandonment, brings Kishan up with difficulty, and has given up hope of finding the other son.</t>
        </is>
      </c>
      <c r="L429" s="5" t="n"/>
      <c r="M429" s="5" t="inlineStr">
        <is>
          <t>SOURCE-074</t>
        </is>
      </c>
    </row>
    <row r="430" ht="64" customHeight="1">
      <c r="A430" s="15" t="inlineStr">
        <is>
          <t>CAST-416</t>
        </is>
      </c>
      <c r="B430" s="18" t="inlineStr">
        <is>
          <t>FILM-087</t>
        </is>
      </c>
      <c r="C430" s="5" t="inlineStr">
        <is>
          <t>Suhaag</t>
        </is>
      </c>
      <c r="D430" s="17" t="n">
        <v>1979</v>
      </c>
      <c r="E430" s="5" t="inlineStr">
        <is>
          <t>Amjad Khan</t>
        </is>
      </c>
      <c r="F430" s="5" t="inlineStr">
        <is>
          <t>Vikram Kapoor</t>
        </is>
      </c>
      <c r="G430" s="5" t="inlineStr">
        <is>
          <t>Antagonist</t>
        </is>
      </c>
      <c r="H430" s="5" t="inlineStr">
        <is>
          <t>Major</t>
        </is>
      </c>
      <c r="I430" s="5" t="inlineStr">
        <is>
          <t>His father, who abandoned the family, does not know his wife and sons are alive, and hires one son to murder the other.</t>
        </is>
      </c>
      <c r="J430" s="5" t="inlineStr">
        <is>
          <t>No documented part in it.</t>
        </is>
      </c>
      <c r="K430" s="19" t="inlineStr">
        <is>
          <t>The twins' father, a criminal whose rivalry with Jaggi cost him one son, who abandoned his wife and, years later and without revealing his identity, hires Amit to kill Kishan at a Navratri dance.</t>
        </is>
      </c>
      <c r="L430" s="5" t="n"/>
      <c r="M430" s="5" t="inlineStr">
        <is>
          <t>SOURCE-074</t>
        </is>
      </c>
    </row>
    <row r="431" ht="49" customHeight="1">
      <c r="A431" s="15" t="inlineStr">
        <is>
          <t>CAST-417</t>
        </is>
      </c>
      <c r="B431" s="18" t="inlineStr">
        <is>
          <t>FILM-087</t>
        </is>
      </c>
      <c r="C431" s="5" t="inlineStr">
        <is>
          <t>Suhaag</t>
        </is>
      </c>
      <c r="D431" s="17" t="n">
        <v>1979</v>
      </c>
      <c r="E431" s="5" t="inlineStr">
        <is>
          <t>Kader Khan</t>
        </is>
      </c>
      <c r="F431" s="5" t="inlineStr">
        <is>
          <t>Jaggi</t>
        </is>
      </c>
      <c r="G431" s="5" t="inlineStr">
        <is>
          <t>Antagonist</t>
        </is>
      </c>
      <c r="H431" s="5" t="inlineStr">
        <is>
          <t>Major</t>
        </is>
      </c>
      <c r="I431" s="5" t="inlineStr">
        <is>
          <t>The rival gangster who stole and sold his twin, and so the author of the separation the film exists to undo.</t>
        </is>
      </c>
      <c r="J431" s="5" t="inlineStr">
        <is>
          <t>No documented part in it.</t>
        </is>
      </c>
      <c r="K431" s="19" t="inlineStr">
        <is>
          <t>A gangster antagonised by Vikram Kapoor's rise, who steals one of the newborn twins and sells him to a bootlegger.</t>
        </is>
      </c>
      <c r="L431" s="5" t="n"/>
      <c r="M431" s="5" t="inlineStr">
        <is>
          <t>SOURCE-074</t>
        </is>
      </c>
    </row>
    <row r="432" ht="64" customHeight="1">
      <c r="A432" s="15" t="inlineStr">
        <is>
          <t>CAST-418</t>
        </is>
      </c>
      <c r="B432" s="18" t="inlineStr">
        <is>
          <t>FILM-087</t>
        </is>
      </c>
      <c r="C432" s="5" t="inlineStr">
        <is>
          <t>Suhaag</t>
        </is>
      </c>
      <c r="D432" s="17" t="n">
        <v>1979</v>
      </c>
      <c r="E432" s="5" t="inlineStr">
        <is>
          <t>Jeevan</t>
        </is>
      </c>
      <c r="F432" s="5" t="inlineStr">
        <is>
          <t>Pascal</t>
        </is>
      </c>
      <c r="G432" s="5" t="inlineStr">
        <is>
          <t>Antagonist</t>
        </is>
      </c>
      <c r="H432" s="5" t="inlineStr">
        <is>
          <t>Medium</t>
        </is>
      </c>
      <c r="I432" s="5" t="inlineStr">
        <is>
          <t>The bootlegger who bought and raised his brother, and so the reason the twins meet as policeman and criminal.</t>
        </is>
      </c>
      <c r="J432" s="5" t="inlineStr">
        <is>
          <t>No documented part in it.</t>
        </is>
      </c>
      <c r="K432" s="19" t="inlineStr">
        <is>
          <t>The bootlegger to whom Jaggi sells the stolen twin, and who exploits and educates the boy into a petty criminal and an alcoholic.</t>
        </is>
      </c>
      <c r="L432" s="5" t="n"/>
      <c r="M432" s="5" t="inlineStr">
        <is>
          <t>SOURCE-074</t>
        </is>
      </c>
    </row>
    <row r="433" ht="79" customHeight="1">
      <c r="A433" s="15" t="inlineStr">
        <is>
          <t>CAST-419</t>
        </is>
      </c>
      <c r="B433" s="18" t="inlineStr">
        <is>
          <t>FILM-087</t>
        </is>
      </c>
      <c r="C433" s="5" t="inlineStr">
        <is>
          <t>Suhaag</t>
        </is>
      </c>
      <c r="D433" s="17" t="n">
        <v>1979</v>
      </c>
      <c r="E433" s="5" t="inlineStr">
        <is>
          <t>Rekha</t>
        </is>
      </c>
      <c r="F433" s="5" t="inlineStr">
        <is>
          <t>Basanti</t>
        </is>
      </c>
      <c r="G433" s="5" t="inlineStr">
        <is>
          <t>Supporting</t>
        </is>
      </c>
      <c r="H433" s="5" t="inlineStr">
        <is>
          <t>Major</t>
        </is>
      </c>
      <c r="I433" s="5" t="inlineStr">
        <is>
          <t>Third-billed opposite Kapoor's Kishan, but the article's plot summary does not mention her, so the relation is not documented.</t>
        </is>
      </c>
      <c r="J433" s="5" t="inlineStr">
        <is>
          <t>Not documented. Romance presence is left blank for the film and no Romances row was created, because the article follows only the family and the crime.</t>
        </is>
      </c>
      <c r="K433" s="19" t="inlineStr">
        <is>
          <t>Credited as Basanti, third-billed. The article's synopsis covers the twins, their parents and the gangsters, and does not describe her part.</t>
        </is>
      </c>
      <c r="L433" s="5" t="n"/>
      <c r="M433" s="5" t="inlineStr">
        <is>
          <t>SOURCE-074</t>
        </is>
      </c>
    </row>
    <row r="434" ht="49" customHeight="1">
      <c r="A434" s="15" t="inlineStr">
        <is>
          <t>CAST-420</t>
        </is>
      </c>
      <c r="B434" s="18" t="inlineStr">
        <is>
          <t>FILM-087</t>
        </is>
      </c>
      <c r="C434" s="5" t="inlineStr">
        <is>
          <t>Suhaag</t>
        </is>
      </c>
      <c r="D434" s="17" t="n">
        <v>1979</v>
      </c>
      <c r="E434" s="5" t="inlineStr">
        <is>
          <t>Parveen Babi</t>
        </is>
      </c>
      <c r="F434" s="5" t="inlineStr">
        <is>
          <t>Anu</t>
        </is>
      </c>
      <c r="G434" s="5" t="inlineStr">
        <is>
          <t>Supporting</t>
        </is>
      </c>
      <c r="H434" s="5" t="inlineStr">
        <is>
          <t>Medium</t>
        </is>
      </c>
      <c r="I434" s="5" t="inlineStr">
        <is>
          <t>Fourth-billed, and undocumented by the article for the same reason as Basanti.</t>
        </is>
      </c>
      <c r="J434" s="5" t="inlineStr">
        <is>
          <t>Not documented.</t>
        </is>
      </c>
      <c r="K434" s="19" t="inlineStr">
        <is>
          <t>Credited as Anu. The article's plot summary does not place her against either twin.</t>
        </is>
      </c>
      <c r="L434" s="5" t="n"/>
      <c r="M434" s="5" t="inlineStr">
        <is>
          <t>SOURCE-074</t>
        </is>
      </c>
    </row>
    <row r="435" ht="94" customHeight="1">
      <c r="A435" s="15" t="inlineStr">
        <is>
          <t>CAST-421</t>
        </is>
      </c>
      <c r="B435" s="18" t="inlineStr">
        <is>
          <t>FILM-091</t>
        </is>
      </c>
      <c r="C435" s="5" t="inlineStr">
        <is>
          <t>Kali Ghata</t>
        </is>
      </c>
      <c r="D435" s="17" t="n">
        <v>1980</v>
      </c>
      <c r="E435" s="5" t="inlineStr">
        <is>
          <t>Rekha</t>
        </is>
      </c>
      <c r="F435" s="5" t="inlineStr">
        <is>
          <t>Rekha / Rashmi</t>
        </is>
      </c>
      <c r="G435" s="5" t="inlineStr">
        <is>
          <t>Co-lead</t>
        </is>
      </c>
      <c r="H435" s="5" t="inlineStr">
        <is>
          <t>Major</t>
        </is>
      </c>
      <c r="I435" s="5" t="inlineStr">
        <is>
          <t>Both twins: the one who becomes engaged to him and is pushed into the lake, and the sister who returns for the funeral; the surviving twin then impersonates the other while investigating him.</t>
        </is>
      </c>
      <c r="J435" s="5" t="inlineStr">
        <is>
          <t>The pairing recorded in the Romances sheet: an engagement in which the woman comes to suspect her own fiance of trying to kill her.</t>
        </is>
      </c>
      <c r="K435" s="19" t="inlineStr">
        <is>
          <t>Twin daughters of a murdered Rai Bahadur. Rekha runs the estate, disapproves of her sister's love for the manager's son, becomes suddenly engaged to a stranger with a gift for machines, wills the estate away before the engagement, survives being pushed into a lake, and investigates her own presumed death in her sister's guise.</t>
        </is>
      </c>
      <c r="L435" s="5" t="n"/>
      <c r="M435" s="5" t="inlineStr">
        <is>
          <t>SOURCE-075</t>
        </is>
      </c>
    </row>
    <row r="436" ht="79" customHeight="1">
      <c r="A436" s="15" t="inlineStr">
        <is>
          <t>CAST-422</t>
        </is>
      </c>
      <c r="B436" s="18" t="inlineStr">
        <is>
          <t>FILM-091</t>
        </is>
      </c>
      <c r="C436" s="5" t="inlineStr">
        <is>
          <t>Kali Ghata</t>
        </is>
      </c>
      <c r="D436" s="17" t="n">
        <v>1980</v>
      </c>
      <c r="E436" s="5" t="inlineStr">
        <is>
          <t>Danny Denzongpa</t>
        </is>
      </c>
      <c r="F436" s="5" t="inlineStr">
        <is>
          <t>Kishore</t>
        </is>
      </c>
      <c r="G436" s="5" t="inlineStr">
        <is>
          <t>Supporting</t>
        </is>
      </c>
      <c r="H436" s="5" t="inlineStr">
        <is>
          <t>Major</t>
        </is>
      </c>
      <c r="I436" s="5" t="inlineStr">
        <is>
          <t>The estate's factory manager, in love with the twin Prem did not court, and one of the three parties investigating separately once Rekha is presumed dead.</t>
        </is>
      </c>
      <c r="J436" s="5" t="inlineStr">
        <is>
          <t>A rival interest in the family rather than in Prem's fiancee, and a suspect in the attempt on her.</t>
        </is>
      </c>
      <c r="K436" s="19" t="inlineStr">
        <is>
          <t>Son of the chief estate manager and the factory's manager, in love with Rashmi against her sister's wishes, and among those searching for the killer after Rekha's supposed death.</t>
        </is>
      </c>
      <c r="L436" s="5" t="n"/>
      <c r="M436" s="5" t="inlineStr">
        <is>
          <t>SOURCE-075</t>
        </is>
      </c>
    </row>
    <row r="437" ht="49" customHeight="1">
      <c r="A437" s="15" t="inlineStr">
        <is>
          <t>CAST-423</t>
        </is>
      </c>
      <c r="B437" s="18" t="inlineStr">
        <is>
          <t>FILM-091</t>
        </is>
      </c>
      <c r="C437" s="5" t="inlineStr">
        <is>
          <t>Kali Ghata</t>
        </is>
      </c>
      <c r="D437" s="17" t="n">
        <v>1980</v>
      </c>
      <c r="E437" s="5" t="inlineStr">
        <is>
          <t>A. K. Hangal</t>
        </is>
      </c>
      <c r="F437" s="5" t="inlineStr">
        <is>
          <t>Diwan</t>
        </is>
      </c>
      <c r="G437" s="5" t="inlineStr">
        <is>
          <t>Supporting</t>
        </is>
      </c>
      <c r="H437" s="5" t="inlineStr">
        <is>
          <t>Major</t>
        </is>
      </c>
      <c r="I437" s="5" t="inlineStr">
        <is>
          <t>The chief estate manager who runs the property Prem marries into, and Kishore's father.</t>
        </is>
      </c>
      <c r="J437" s="5" t="inlineStr">
        <is>
          <t>Part of the household whose interests the sudden engagement disturbs.</t>
        </is>
      </c>
      <c r="K437" s="19" t="inlineStr">
        <is>
          <t>The chief estate manager who helps Rekha run the family business after her father's murder, and father of the factory manager in love with her sister.</t>
        </is>
      </c>
      <c r="L437" s="5" t="n"/>
      <c r="M437" s="5" t="inlineStr">
        <is>
          <t>SOURCE-075</t>
        </is>
      </c>
    </row>
    <row r="438" ht="49" customHeight="1">
      <c r="A438" s="15" t="inlineStr">
        <is>
          <t>CAST-424</t>
        </is>
      </c>
      <c r="B438" s="18" t="inlineStr">
        <is>
          <t>FILM-091</t>
        </is>
      </c>
      <c r="C438" s="5" t="inlineStr">
        <is>
          <t>Kali Ghata</t>
        </is>
      </c>
      <c r="D438" s="17" t="n">
        <v>1980</v>
      </c>
      <c r="E438" s="5" t="inlineStr">
        <is>
          <t>Aruna Irani</t>
        </is>
      </c>
      <c r="F438" s="5" t="inlineStr">
        <is>
          <t>Pinky</t>
        </is>
      </c>
      <c r="G438" s="5" t="inlineStr">
        <is>
          <t>Friend</t>
        </is>
      </c>
      <c r="H438" s="5" t="inlineStr">
        <is>
          <t>Medium</t>
        </is>
      </c>
      <c r="I438" s="5" t="inlineStr">
        <is>
          <t>Shelters the woman he is thought to have killed, and so holds the secret the film's second half turns on.</t>
        </is>
      </c>
      <c r="J438" s="5" t="inlineStr">
        <is>
          <t>The refuge from it: Rekha comes to her rather than to her fiance.</t>
        </is>
      </c>
      <c r="K438" s="19" t="inlineStr">
        <is>
          <t>Rekha's friend, whose house the surviving twin reaches after being pushed into the lake, and with whom she plans the investigation into her own death.</t>
        </is>
      </c>
      <c r="L438" s="5" t="n"/>
      <c r="M438" s="5" t="inlineStr">
        <is>
          <t>SOURCE-075</t>
        </is>
      </c>
    </row>
    <row r="439" ht="49" customHeight="1">
      <c r="A439" s="15" t="inlineStr">
        <is>
          <t>CAST-425</t>
        </is>
      </c>
      <c r="B439" s="18" t="inlineStr">
        <is>
          <t>FILM-091</t>
        </is>
      </c>
      <c r="C439" s="5" t="inlineStr">
        <is>
          <t>Kali Ghata</t>
        </is>
      </c>
      <c r="D439" s="17" t="n">
        <v>1980</v>
      </c>
      <c r="E439" s="5" t="inlineStr">
        <is>
          <t>Nazir Hussain</t>
        </is>
      </c>
      <c r="F439" s="5" t="inlineStr">
        <is>
          <t>Rai Bahadur Satpal Singh</t>
        </is>
      </c>
      <c r="G439" s="5" t="inlineStr">
        <is>
          <t>Family</t>
        </is>
      </c>
      <c r="H439" s="5" t="inlineStr">
        <is>
          <t>Medium</t>
        </is>
      </c>
      <c r="I439" s="5" t="inlineStr">
        <is>
          <t>The twins' father, murdered before Prem appears, whose killing is the crime the film eventually returns to.</t>
        </is>
      </c>
      <c r="J439" s="5" t="inlineStr">
        <is>
          <t>No part in it; his death is what leaves the estate and the marriage in play.</t>
        </is>
      </c>
      <c r="K439" s="19" t="inlineStr">
        <is>
          <t>A Rai Bahadur killed in cold blood in a remote village, survived by twin daughters who inherit the estate and the business.</t>
        </is>
      </c>
      <c r="L439" s="5" t="n"/>
      <c r="M439" s="5" t="inlineStr">
        <is>
          <t>SOURCE-075</t>
        </is>
      </c>
    </row>
    <row r="440" ht="49" customHeight="1">
      <c r="A440" s="15" t="inlineStr">
        <is>
          <t>CAST-426</t>
        </is>
      </c>
      <c r="B440" s="18" t="inlineStr">
        <is>
          <t>FILM-091</t>
        </is>
      </c>
      <c r="C440" s="5" t="inlineStr">
        <is>
          <t>Kali Ghata</t>
        </is>
      </c>
      <c r="D440" s="17" t="n">
        <v>1980</v>
      </c>
      <c r="E440" s="5" t="inlineStr">
        <is>
          <t>Raj Mehra</t>
        </is>
      </c>
      <c r="F440" s="5" t="inlineStr">
        <is>
          <t>CBI Inspector</t>
        </is>
      </c>
      <c r="G440" s="5" t="inlineStr">
        <is>
          <t>Authority figure</t>
        </is>
      </c>
      <c r="H440" s="5" t="inlineStr">
        <is>
          <t>Medium</t>
        </is>
      </c>
      <c r="I440" s="5" t="inlineStr">
        <is>
          <t>Rekha's police friend, whose arrival at the engagement is the moment Prem is suspiciously found missing.</t>
        </is>
      </c>
      <c r="J440" s="5" t="inlineStr">
        <is>
          <t>The first thing that casts doubt on the fiance.</t>
        </is>
      </c>
      <c r="K440" s="19" t="inlineStr">
        <is>
          <t>Rekha's inspector friend, whose appearance at the engagement to wish the couple well coincides with Prem's unexplained absence.</t>
        </is>
      </c>
      <c r="L440" s="5" t="n"/>
      <c r="M440" s="5" t="inlineStr">
        <is>
          <t>SOURCE-075</t>
        </is>
      </c>
    </row>
    <row r="441" ht="49" customHeight="1">
      <c r="A441" s="15" t="inlineStr">
        <is>
          <t>CAST-427</t>
        </is>
      </c>
      <c r="B441" s="18" t="inlineStr">
        <is>
          <t>FILM-091</t>
        </is>
      </c>
      <c r="C441" s="5" t="inlineStr">
        <is>
          <t>Kali Ghata</t>
        </is>
      </c>
      <c r="D441" s="17" t="n">
        <v>1980</v>
      </c>
      <c r="E441" s="5" t="inlineStr">
        <is>
          <t>Pinchoo Kapoor</t>
        </is>
      </c>
      <c r="F441" s="5" t="inlineStr">
        <is>
          <t>Prem's father</t>
        </is>
      </c>
      <c r="G441" s="5" t="inlineStr">
        <is>
          <t>Family</t>
        </is>
      </c>
      <c r="H441" s="5" t="inlineStr">
        <is>
          <t>Medium</t>
        </is>
      </c>
      <c r="I441" s="5" t="inlineStr">
        <is>
          <t>His father, credited with Urmila Bhatt as his mother, the one family the film gives Kapoor's character.</t>
        </is>
      </c>
      <c r="J441" s="5" t="inlineStr">
        <is>
          <t>The household on the suitor's side of a marriage the estate regards as beneath it.</t>
        </is>
      </c>
      <c r="K441" s="19" t="inlineStr">
        <is>
          <t>Credited as Prem's father, with Urmila Bhatt as Prem's mother, in a plot where the suitor's own background is the open question.</t>
        </is>
      </c>
      <c r="L441" s="5" t="n"/>
      <c r="M441" s="5" t="inlineStr">
        <is>
          <t>SOURCE-075</t>
        </is>
      </c>
    </row>
    <row r="442" ht="64" customHeight="1">
      <c r="A442" s="15" t="inlineStr">
        <is>
          <t>CAST-428</t>
        </is>
      </c>
      <c r="B442" s="18" t="inlineStr">
        <is>
          <t>FILM-092</t>
        </is>
      </c>
      <c r="C442" s="5" t="inlineStr">
        <is>
          <t>Do Aur Do Paanch</t>
        </is>
      </c>
      <c r="D442" s="17" t="n">
        <v>1980</v>
      </c>
      <c r="E442" s="5" t="inlineStr">
        <is>
          <t>Amitabh Bachchan</t>
        </is>
      </c>
      <c r="F442" s="5" t="inlineStr">
        <is>
          <t>Vijay / Ram</t>
        </is>
      </c>
      <c r="G442" s="5" t="inlineStr">
        <is>
          <t>Co-lead</t>
        </is>
      </c>
      <c r="H442" s="5" t="inlineStr">
        <is>
          <t>Major</t>
        </is>
      </c>
      <c r="I442" s="5" t="inlineStr">
        <is>
          <t>His sworn enemy among burglars, sent on the same abduction and into the same school under a matching false name; the two end by joining forces.</t>
        </is>
      </c>
      <c r="J442" s="5" t="inlineStr">
        <is>
          <t>Holds the parallel romance with the principal's daughter while Kapoor's takes the dance teacher.</t>
        </is>
      </c>
      <c r="K442" s="19" t="inlineStr">
        <is>
          <t>A petty burglar and sworn rival, sent by his own boss to abduct a rich man's son, who enters the school as the P.E. instructor Ram, grows fond of the boy, abandons the plan, and helps rescue him.</t>
        </is>
      </c>
      <c r="L442" s="5" t="n"/>
      <c r="M442" s="5" t="inlineStr">
        <is>
          <t>SOURCE-076</t>
        </is>
      </c>
    </row>
    <row r="443" ht="64" customHeight="1">
      <c r="A443" s="15" t="inlineStr">
        <is>
          <t>CAST-429</t>
        </is>
      </c>
      <c r="B443" s="18" t="inlineStr">
        <is>
          <t>FILM-092</t>
        </is>
      </c>
      <c r="C443" s="5" t="inlineStr">
        <is>
          <t>Do Aur Do Paanch</t>
        </is>
      </c>
      <c r="D443" s="17" t="n">
        <v>1980</v>
      </c>
      <c r="E443" s="5" t="inlineStr">
        <is>
          <t>Hema Malini</t>
        </is>
      </c>
      <c r="F443" s="5" t="inlineStr">
        <is>
          <t>Shalu</t>
        </is>
      </c>
      <c r="G443" s="5" t="inlineStr">
        <is>
          <t>Co-lead</t>
        </is>
      </c>
      <c r="H443" s="5" t="inlineStr">
        <is>
          <t>Major</t>
        </is>
      </c>
      <c r="I443" s="5" t="inlineStr">
        <is>
          <t>The school's dance teacher, who falls in love with the music master he is pretending to be and then talks the criminal out of him.</t>
        </is>
      </c>
      <c r="J443" s="5" t="inlineStr">
        <is>
          <t>The pairing recorded in the Romances sheet, and subordinate to the caper: the love is what reforms him rather than what the film is about.</t>
        </is>
      </c>
      <c r="K443" s="19" t="inlineStr">
        <is>
          <t>The school's dance teacher, unaware of the new music master's background, who falls in love with him and on learning the truth changes him for good by it.</t>
        </is>
      </c>
      <c r="L443" s="5" t="n"/>
      <c r="M443" s="5" t="inlineStr">
        <is>
          <t>SOURCE-076</t>
        </is>
      </c>
    </row>
    <row r="444" ht="64" customHeight="1">
      <c r="A444" s="15" t="inlineStr">
        <is>
          <t>CAST-430</t>
        </is>
      </c>
      <c r="B444" s="18" t="inlineStr">
        <is>
          <t>FILM-092</t>
        </is>
      </c>
      <c r="C444" s="5" t="inlineStr">
        <is>
          <t>Do Aur Do Paanch</t>
        </is>
      </c>
      <c r="D444" s="17" t="n">
        <v>1980</v>
      </c>
      <c r="E444" s="5" t="inlineStr">
        <is>
          <t>Parveen Babi</t>
        </is>
      </c>
      <c r="F444" s="5" t="inlineStr">
        <is>
          <t>Anju Sharma</t>
        </is>
      </c>
      <c r="G444" s="5" t="inlineStr">
        <is>
          <t>Supporting</t>
        </is>
      </c>
      <c r="H444" s="5" t="inlineStr">
        <is>
          <t>Major</t>
        </is>
      </c>
      <c r="I444" s="5" t="inlineStr">
        <is>
          <t>No romantic connection to Kapoor's Sunil; she is the principal's daughter and the other burglar's attachment.</t>
        </is>
      </c>
      <c r="J444" s="5" t="inlineStr">
        <is>
          <t>The mirror romance, which reforms Vijay as Shalu reforms Sunil.</t>
        </is>
      </c>
      <c r="K444" s="19" t="inlineStr">
        <is>
          <t>The principal's daughter, who falls in love with the new P.E. instructor without knowing his motive, and helps turn him from the abduction.</t>
        </is>
      </c>
      <c r="L444" s="5" t="n"/>
      <c r="M444" s="5" t="inlineStr">
        <is>
          <t>SOURCE-076</t>
        </is>
      </c>
    </row>
    <row r="445" ht="49" customHeight="1">
      <c r="A445" s="15" t="inlineStr">
        <is>
          <t>CAST-431</t>
        </is>
      </c>
      <c r="B445" s="18" t="inlineStr">
        <is>
          <t>FILM-092</t>
        </is>
      </c>
      <c r="C445" s="5" t="inlineStr">
        <is>
          <t>Do Aur Do Paanch</t>
        </is>
      </c>
      <c r="D445" s="17" t="n">
        <v>1980</v>
      </c>
      <c r="E445" s="5" t="inlineStr">
        <is>
          <t>Kader Khan</t>
        </is>
      </c>
      <c r="F445" s="5" t="inlineStr">
        <is>
          <t>Uncle Jagdish</t>
        </is>
      </c>
      <c r="G445" s="5" t="inlineStr">
        <is>
          <t>Antagonist</t>
        </is>
      </c>
      <c r="H445" s="5" t="inlineStr">
        <is>
          <t>Major</t>
        </is>
      </c>
      <c r="I445" s="5" t="inlineStr">
        <is>
          <t>His own boss, who loses faith in him and carries out the abduction himself, turning employer into enemy.</t>
        </is>
      </c>
      <c r="J445" s="5" t="inlineStr">
        <is>
          <t>No part in it.</t>
        </is>
      </c>
      <c r="K445" s="19" t="inlineStr">
        <is>
          <t>The boss who sends Sunil to abduct Seth Mathur's son, gives up on him when he stalls, kidnaps the boy himself, and is arrested when the two rivals combine against him.</t>
        </is>
      </c>
      <c r="L445" s="5" t="n"/>
      <c r="M445" s="5" t="inlineStr">
        <is>
          <t>SOURCE-076</t>
        </is>
      </c>
    </row>
    <row r="446" ht="49" customHeight="1">
      <c r="A446" s="15" t="inlineStr">
        <is>
          <t>CAST-432</t>
        </is>
      </c>
      <c r="B446" s="18" t="inlineStr">
        <is>
          <t>FILM-092</t>
        </is>
      </c>
      <c r="C446" s="5" t="inlineStr">
        <is>
          <t>Do Aur Do Paanch</t>
        </is>
      </c>
      <c r="D446" s="17" t="n">
        <v>1980</v>
      </c>
      <c r="E446" s="5" t="inlineStr">
        <is>
          <t>Lalita Pawar</t>
        </is>
      </c>
      <c r="F446" s="5" t="inlineStr">
        <is>
          <t>Sarojini</t>
        </is>
      </c>
      <c r="G446" s="5" t="inlineStr">
        <is>
          <t>Family</t>
        </is>
      </c>
      <c r="H446" s="5" t="inlineStr">
        <is>
          <t>Medium</t>
        </is>
      </c>
      <c r="I446" s="5" t="inlineStr">
        <is>
          <t>His mother, the one domestic tie the film gives him against the criminal life.</t>
        </is>
      </c>
      <c r="J446" s="5" t="inlineStr">
        <is>
          <t>No documented part in it.</t>
        </is>
      </c>
      <c r="K446" s="19" t="inlineStr">
        <is>
          <t>Credited as Sarojini, Sunil's mother, in a film that otherwise keeps both burglars inside their disguises.</t>
        </is>
      </c>
      <c r="L446" s="5" t="n"/>
      <c r="M446" s="5" t="inlineStr">
        <is>
          <t>SOURCE-076</t>
        </is>
      </c>
    </row>
    <row r="447" ht="49" customHeight="1">
      <c r="A447" s="15" t="inlineStr">
        <is>
          <t>CAST-433</t>
        </is>
      </c>
      <c r="B447" s="18" t="inlineStr">
        <is>
          <t>FILM-092</t>
        </is>
      </c>
      <c r="C447" s="5" t="inlineStr">
        <is>
          <t>Do Aur Do Paanch</t>
        </is>
      </c>
      <c r="D447" s="17" t="n">
        <v>1980</v>
      </c>
      <c r="E447" s="5" t="inlineStr">
        <is>
          <t>Sajjan</t>
        </is>
      </c>
      <c r="F447" s="5" t="inlineStr">
        <is>
          <t>Principal Om Prakash Sharma</t>
        </is>
      </c>
      <c r="G447" s="5" t="inlineStr">
        <is>
          <t>Authority figure</t>
        </is>
      </c>
      <c r="H447" s="5" t="inlineStr">
        <is>
          <t>Medium</t>
        </is>
      </c>
      <c r="I447" s="5" t="inlineStr">
        <is>
          <t>The principal who appoints him music teacher on a false identity, and Anju's father.</t>
        </is>
      </c>
      <c r="J447" s="5" t="inlineStr">
        <is>
          <t>Governs the school where both courtships are conducted.</t>
        </is>
      </c>
      <c r="K447" s="19" t="inlineStr">
        <is>
          <t>The school principal who hires the two impostors as music and physical-education teachers, and father of Anju.</t>
        </is>
      </c>
      <c r="L447" s="5" t="n"/>
      <c r="M447" s="5" t="inlineStr">
        <is>
          <t>SOURCE-076</t>
        </is>
      </c>
    </row>
    <row r="448" ht="49" customHeight="1">
      <c r="A448" s="15" t="inlineStr">
        <is>
          <t>CAST-434</t>
        </is>
      </c>
      <c r="B448" s="18" t="inlineStr">
        <is>
          <t>FILM-092</t>
        </is>
      </c>
      <c r="C448" s="5" t="inlineStr">
        <is>
          <t>Do Aur Do Paanch</t>
        </is>
      </c>
      <c r="D448" s="17" t="n">
        <v>1980</v>
      </c>
      <c r="E448" s="5" t="inlineStr">
        <is>
          <t>Shreeram Lagoo</t>
        </is>
      </c>
      <c r="F448" s="5" t="inlineStr">
        <is>
          <t>Seth S. K. Mathur</t>
        </is>
      </c>
      <c r="G448" s="5" t="inlineStr">
        <is>
          <t>Supporting</t>
        </is>
      </c>
      <c r="H448" s="5" t="inlineStr">
        <is>
          <t>Medium</t>
        </is>
      </c>
      <c r="I448" s="5" t="inlineStr">
        <is>
          <t>The wealthy father of the boy he is sent to abduct, and so the object of the whole scheme.</t>
        </is>
      </c>
      <c r="J448" s="5" t="inlineStr">
        <is>
          <t>No part in it.</t>
        </is>
      </c>
      <c r="K448" s="19" t="inlineStr">
        <is>
          <t>The rich man whose son Bittoo the two burglars are commissioned to abduct for ransom.</t>
        </is>
      </c>
      <c r="L448" s="5" t="n"/>
      <c r="M448" s="5" t="inlineStr">
        <is>
          <t>SOURCE-076</t>
        </is>
      </c>
    </row>
    <row r="449" ht="79" customHeight="1">
      <c r="A449" s="15" t="inlineStr">
        <is>
          <t>CAST-435</t>
        </is>
      </c>
      <c r="B449" s="18" t="inlineStr">
        <is>
          <t>FILM-093</t>
        </is>
      </c>
      <c r="C449" s="5" t="inlineStr">
        <is>
          <t>Neeyat</t>
        </is>
      </c>
      <c r="D449" s="17" t="n">
        <v>1980</v>
      </c>
      <c r="E449" s="5" t="inlineStr">
        <is>
          <t>Jeetendra</t>
        </is>
      </c>
      <c r="F449" s="5" t="inlineStr">
        <is>
          <t>Jeet</t>
        </is>
      </c>
      <c r="G449" s="5" t="inlineStr">
        <is>
          <t>Co-lead</t>
        </is>
      </c>
      <c r="H449" s="5" t="inlineStr">
        <is>
          <t>Major</t>
        </is>
      </c>
      <c r="I449" s="5" t="inlineStr">
        <is>
          <t>One of three childhood friends, a tycoon, cordial to Vijay's family, who becomes his rival over Rekha and over his own father's crimes, and finally dies shielding him.</t>
        </is>
      </c>
      <c r="J449" s="5" t="inlineStr">
        <is>
          <t>The competing claim, pressed through his father's marriage proposal, and withdrawn in the end.</t>
        </is>
      </c>
      <c r="K449" s="19" t="inlineStr">
        <is>
          <t>A tycoon and one of three inseparable friends, son of the criminal Mohanlal Saxena, who loves Rekha, secures her through his father's proposal, misreads Vijay's motives into open rivalry, recognises what his father is, and dies protecting Vijay in penance.</t>
        </is>
      </c>
      <c r="L449" s="5" t="n"/>
      <c r="M449" s="5" t="inlineStr">
        <is>
          <t>SOURCE-077</t>
        </is>
      </c>
    </row>
    <row r="450" ht="79" customHeight="1">
      <c r="A450" s="15" t="inlineStr">
        <is>
          <t>CAST-436</t>
        </is>
      </c>
      <c r="B450" s="18" t="inlineStr">
        <is>
          <t>FILM-093</t>
        </is>
      </c>
      <c r="C450" s="5" t="inlineStr">
        <is>
          <t>Neeyat</t>
        </is>
      </c>
      <c r="D450" s="17" t="n">
        <v>1980</v>
      </c>
      <c r="E450" s="5" t="inlineStr">
        <is>
          <t>Rekha</t>
        </is>
      </c>
      <c r="F450" s="5" t="inlineStr">
        <is>
          <t>Rekha</t>
        </is>
      </c>
      <c r="G450" s="5" t="inlineStr">
        <is>
          <t>Co-lead</t>
        </is>
      </c>
      <c r="H450" s="5" t="inlineStr">
        <is>
          <t>Major</t>
        </is>
      </c>
      <c r="I450" s="5" t="inlineStr">
        <is>
          <t>The woman all three friends love and who returns Vijay's feeling, then accepts the tycoon out of gratitude when his father clears her own father.</t>
        </is>
      </c>
      <c r="J450" s="5" t="inlineStr">
        <is>
          <t>The pairing recorded in the Romances sheet as a triangle, and decided by obligation rather than preference.</t>
        </is>
      </c>
      <c r="K450" s="19" t="inlineStr">
        <is>
          <t>The woman loved by three childhood friends, who reciprocates Vijay, and accepts Jeet's proposal in gratitude after Jeet's father withdraws the charge against her own father Dinanath.</t>
        </is>
      </c>
      <c r="L450" s="5" t="n"/>
      <c r="M450" s="5" t="inlineStr">
        <is>
          <t>SOURCE-077</t>
        </is>
      </c>
    </row>
    <row r="451" ht="49" customHeight="1">
      <c r="A451" s="15" t="inlineStr">
        <is>
          <t>CAST-437</t>
        </is>
      </c>
      <c r="B451" s="18" t="inlineStr">
        <is>
          <t>FILM-093</t>
        </is>
      </c>
      <c r="C451" s="5" t="inlineStr">
        <is>
          <t>Neeyat</t>
        </is>
      </c>
      <c r="D451" s="17" t="n">
        <v>1980</v>
      </c>
      <c r="E451" s="5" t="inlineStr">
        <is>
          <t>Rakesh Roshan</t>
        </is>
      </c>
      <c r="F451" s="5" t="inlineStr">
        <is>
          <t>Ajay</t>
        </is>
      </c>
      <c r="G451" s="5" t="inlineStr">
        <is>
          <t>Friend</t>
        </is>
      </c>
      <c r="H451" s="5" t="inlineStr">
        <is>
          <t>Major</t>
        </is>
      </c>
      <c r="I451" s="5" t="inlineStr">
        <is>
          <t>The third of the friends, a policeman, who ends by pursuing the hitman that has framed Vijay for murder.</t>
        </is>
      </c>
      <c r="J451" s="5" t="inlineStr">
        <is>
          <t>One of the three suitors, and the one who withdraws without contest.</t>
        </is>
      </c>
      <c r="K451" s="19" t="inlineStr">
        <is>
          <t>A police officer, the third of the three childhood friends who all love Rekha, and the one who hunts the henchman when Vijay is framed for a woman's murder.</t>
        </is>
      </c>
      <c r="L451" s="5" t="n"/>
      <c r="M451" s="5" t="inlineStr">
        <is>
          <t>SOURCE-077</t>
        </is>
      </c>
    </row>
    <row r="452" ht="64" customHeight="1">
      <c r="A452" s="15" t="inlineStr">
        <is>
          <t>CAST-438</t>
        </is>
      </c>
      <c r="B452" s="18" t="inlineStr">
        <is>
          <t>FILM-093</t>
        </is>
      </c>
      <c r="C452" s="5" t="inlineStr">
        <is>
          <t>Neeyat</t>
        </is>
      </c>
      <c r="D452" s="17" t="n">
        <v>1980</v>
      </c>
      <c r="E452" s="5" t="inlineStr">
        <is>
          <t>Pinchoo Kapoor</t>
        </is>
      </c>
      <c r="F452" s="5" t="inlineStr">
        <is>
          <t>Seth Mohanlal Saxena</t>
        </is>
      </c>
      <c r="G452" s="5" t="inlineStr">
        <is>
          <t>Antagonist</t>
        </is>
      </c>
      <c r="H452" s="5" t="inlineStr">
        <is>
          <t>Major</t>
        </is>
      </c>
      <c r="I452" s="5" t="inlineStr">
        <is>
          <t>Jeet's father, and the man whose crimes set the two friends against each other; he also kills Vijay's brother.</t>
        </is>
      </c>
      <c r="J452" s="5" t="inlineStr">
        <is>
          <t>Buys Rekha's consent for his son by clearing her father, making the marriage a transaction.</t>
        </is>
      </c>
      <c r="K452" s="19" t="inlineStr">
        <is>
          <t>A notorious criminal behind a respectable front, who has his partner killed by a hitman, lets Rekha's father take the blame and then clears him to secure her for his son, and kills the journalist investigating him in a staged accident.</t>
        </is>
      </c>
      <c r="L452" s="5" t="n"/>
      <c r="M452" s="5" t="inlineStr">
        <is>
          <t>SOURCE-077</t>
        </is>
      </c>
    </row>
    <row r="453" ht="49" customHeight="1">
      <c r="A453" s="15" t="inlineStr">
        <is>
          <t>CAST-439</t>
        </is>
      </c>
      <c r="B453" s="18" t="inlineStr">
        <is>
          <t>FILM-093</t>
        </is>
      </c>
      <c r="C453" s="5" t="inlineStr">
        <is>
          <t>Neeyat</t>
        </is>
      </c>
      <c r="D453" s="17" t="n">
        <v>1980</v>
      </c>
      <c r="E453" s="5" t="inlineStr">
        <is>
          <t>Shreeram Lagoo</t>
        </is>
      </c>
      <c r="F453" s="5" t="inlineStr">
        <is>
          <t>Arvind</t>
        </is>
      </c>
      <c r="G453" s="5" t="inlineStr">
        <is>
          <t>Family</t>
        </is>
      </c>
      <c r="H453" s="5" t="inlineStr">
        <is>
          <t>Major</t>
        </is>
      </c>
      <c r="I453" s="5" t="inlineStr">
        <is>
          <t>His brother, a journalist, whose murder turns Vijay's suspicion into a campaign.</t>
        </is>
      </c>
      <c r="J453" s="5" t="inlineStr">
        <is>
          <t>No part in it.</t>
        </is>
      </c>
      <c r="K453" s="19" t="inlineStr">
        <is>
          <t>Vijay's brother, a candid journalist, who receives the dying hitman's evidence against Saxena, sets out to expose him, and is killed in an engineered accident.</t>
        </is>
      </c>
      <c r="L453" s="5" t="n"/>
      <c r="M453" s="5" t="inlineStr">
        <is>
          <t>SOURCE-077</t>
        </is>
      </c>
    </row>
    <row r="454" ht="64" customHeight="1">
      <c r="A454" s="15" t="inlineStr">
        <is>
          <t>CAST-440</t>
        </is>
      </c>
      <c r="B454" s="18" t="inlineStr">
        <is>
          <t>FILM-093</t>
        </is>
      </c>
      <c r="C454" s="5" t="inlineStr">
        <is>
          <t>Neeyat</t>
        </is>
      </c>
      <c r="D454" s="17" t="n">
        <v>1980</v>
      </c>
      <c r="E454" s="5" t="inlineStr">
        <is>
          <t>A. K. Hangal</t>
        </is>
      </c>
      <c r="F454" s="5" t="inlineStr">
        <is>
          <t>Dinanath</t>
        </is>
      </c>
      <c r="G454" s="5" t="inlineStr">
        <is>
          <t>Family</t>
        </is>
      </c>
      <c r="H454" s="5" t="inlineStr">
        <is>
          <t>Medium</t>
        </is>
      </c>
      <c r="I454" s="5" t="inlineStr">
        <is>
          <t>Rekha's father, whose false arraignment and later acquittal are the levers by which she is moved from Vijay to Jeet.</t>
        </is>
      </c>
      <c r="J454" s="5" t="inlineStr">
        <is>
          <t>The obligation that decides the triangle.</t>
        </is>
      </c>
      <c r="K454" s="19" t="inlineStr">
        <is>
          <t>Rekha's father, arraigned for the murder actually committed on Saxena's orders, and acquitted when Saxena surrenders the hitman to buy Rekha's gratitude.</t>
        </is>
      </c>
      <c r="L454" s="5" t="n"/>
      <c r="M454" s="5" t="inlineStr">
        <is>
          <t>SOURCE-077</t>
        </is>
      </c>
    </row>
    <row r="455" ht="49" customHeight="1">
      <c r="A455" s="15" t="inlineStr">
        <is>
          <t>CAST-441</t>
        </is>
      </c>
      <c r="B455" s="18" t="inlineStr">
        <is>
          <t>FILM-093</t>
        </is>
      </c>
      <c r="C455" s="5" t="inlineStr">
        <is>
          <t>Neeyat</t>
        </is>
      </c>
      <c r="D455" s="17" t="n">
        <v>1980</v>
      </c>
      <c r="E455" s="5" t="inlineStr">
        <is>
          <t>Ranjeet</t>
        </is>
      </c>
      <c r="F455" s="5" t="inlineStr">
        <is>
          <t>Ranjeet</t>
        </is>
      </c>
      <c r="G455" s="5" t="inlineStr">
        <is>
          <t>Antagonist</t>
        </is>
      </c>
      <c r="H455" s="5" t="inlineStr">
        <is>
          <t>Medium</t>
        </is>
      </c>
      <c r="I455" s="5" t="inlineStr">
        <is>
          <t>Saxena's hitman, who frames him for a woman's murder.</t>
        </is>
      </c>
      <c r="J455" s="5" t="inlineStr">
        <is>
          <t>No part in it.</t>
        </is>
      </c>
      <c r="K455" s="19" t="inlineStr">
        <is>
          <t>Saxena's hired killer, who murders his partner, extorts him, absconds with the evidence, is shot, and whose surviving associate incriminates Vijay for the killing of Mona.</t>
        </is>
      </c>
      <c r="L455" s="5" t="n"/>
      <c r="M455" s="5" t="inlineStr">
        <is>
          <t>SOURCE-077</t>
        </is>
      </c>
    </row>
    <row r="456" ht="34" customHeight="1">
      <c r="A456" s="15" t="inlineStr">
        <is>
          <t>CAST-442</t>
        </is>
      </c>
      <c r="B456" s="18" t="inlineStr">
        <is>
          <t>FILM-093</t>
        </is>
      </c>
      <c r="C456" s="5" t="inlineStr">
        <is>
          <t>Neeyat</t>
        </is>
      </c>
      <c r="D456" s="17" t="n">
        <v>1980</v>
      </c>
      <c r="E456" s="5" t="inlineStr">
        <is>
          <t>Bindu</t>
        </is>
      </c>
      <c r="F456" s="5" t="inlineStr">
        <is>
          <t>Mona</t>
        </is>
      </c>
      <c r="G456" s="5" t="inlineStr">
        <is>
          <t>Supporting</t>
        </is>
      </c>
      <c r="H456" s="5" t="inlineStr">
        <is>
          <t>Medium</t>
        </is>
      </c>
      <c r="I456" s="5" t="inlineStr">
        <is>
          <t>The woman for whose murder Vijay is framed.</t>
        </is>
      </c>
      <c r="J456" s="5" t="inlineStr">
        <is>
          <t>No part in it.</t>
        </is>
      </c>
      <c r="K456" s="19" t="inlineStr">
        <is>
          <t>The woman whose killing is laid at Vijay's door by Saxena's men, the charge his policeman friend must then unpick.</t>
        </is>
      </c>
      <c r="L456" s="5" t="n"/>
      <c r="M456" s="5" t="inlineStr">
        <is>
          <t>SOURCE-077</t>
        </is>
      </c>
    </row>
    <row r="457" ht="79" customHeight="1">
      <c r="A457" s="15" t="inlineStr">
        <is>
          <t>CAST-443</t>
        </is>
      </c>
      <c r="B457" s="18" t="inlineStr">
        <is>
          <t>FILM-094</t>
        </is>
      </c>
      <c r="C457" s="5" t="inlineStr">
        <is>
          <t>Shaan</t>
        </is>
      </c>
      <c r="D457" s="17" t="n">
        <v>1980</v>
      </c>
      <c r="E457" s="5" t="inlineStr">
        <is>
          <t>Amitabh Bachchan</t>
        </is>
      </c>
      <c r="F457" s="5" t="inlineStr">
        <is>
          <t>Vijay Kumar</t>
        </is>
      </c>
      <c r="G457" s="5" t="inlineStr">
        <is>
          <t>Co-lead</t>
        </is>
      </c>
      <c r="H457" s="5" t="inlineStr">
        <is>
          <t>Major</t>
        </is>
      </c>
      <c r="I457" s="5" t="inlineStr">
        <is>
          <t>His brother and partner: the two live together in Bombay and run their confidence tricks as a double act, one posing as the policeman the other is being arrested by.</t>
        </is>
      </c>
      <c r="J457" s="5" t="inlineStr">
        <is>
          <t>Outside Ravi's courtship of Pushpa, which the two conduct their swindles around.</t>
        </is>
      </c>
      <c r="K457" s="19" t="inlineStr">
        <is>
          <t>The younger of two estranged brothers of a DCP, intelligent and idle, who cons hotel managers and debtors with his brother until Shakaal's murder of the eldest turns the pair into avengers.</t>
        </is>
      </c>
      <c r="L457" s="5" t="n"/>
      <c r="M457" s="5" t="inlineStr">
        <is>
          <t>SOURCE-078</t>
        </is>
      </c>
    </row>
    <row r="458" ht="64" customHeight="1">
      <c r="A458" s="15" t="inlineStr">
        <is>
          <t>CAST-444</t>
        </is>
      </c>
      <c r="B458" s="18" t="inlineStr">
        <is>
          <t>FILM-094</t>
        </is>
      </c>
      <c r="C458" s="5" t="inlineStr">
        <is>
          <t>Shaan</t>
        </is>
      </c>
      <c r="D458" s="17" t="n">
        <v>1980</v>
      </c>
      <c r="E458" s="5" t="inlineStr">
        <is>
          <t>Sunil Dutt</t>
        </is>
      </c>
      <c r="F458" s="5" t="inlineStr">
        <is>
          <t>DCP Shiv Kumar</t>
        </is>
      </c>
      <c r="G458" s="5" t="inlineStr">
        <is>
          <t>Family</t>
        </is>
      </c>
      <c r="H458" s="5" t="inlineStr">
        <is>
          <t>Major</t>
        </is>
      </c>
      <c r="I458" s="5" t="inlineStr">
        <is>
          <t>His eldest brother, honest and estranged from the two swindlers, whose death is what gives the film its purpose.</t>
        </is>
      </c>
      <c r="J458" s="5" t="inlineStr">
        <is>
          <t>No part in it.</t>
        </is>
      </c>
      <c r="K458" s="19" t="inlineStr">
        <is>
          <t>An upright deputy commissioner transferred to Bombay with his wife and small daughter, estranged from his two con-artist brothers, whose pursuit of Shakaal costs him his life.</t>
        </is>
      </c>
      <c r="L458" s="5" t="n"/>
      <c r="M458" s="5" t="inlineStr">
        <is>
          <t>SOURCE-078</t>
        </is>
      </c>
    </row>
    <row r="459" ht="64" customHeight="1">
      <c r="A459" s="15" t="inlineStr">
        <is>
          <t>CAST-445</t>
        </is>
      </c>
      <c r="B459" s="18" t="inlineStr">
        <is>
          <t>FILM-094</t>
        </is>
      </c>
      <c r="C459" s="5" t="inlineStr">
        <is>
          <t>Shaan</t>
        </is>
      </c>
      <c r="D459" s="17" t="n">
        <v>1980</v>
      </c>
      <c r="E459" s="5" t="inlineStr">
        <is>
          <t>Kulbhushan Kharbanda</t>
        </is>
      </c>
      <c r="F459" s="5" t="inlineStr">
        <is>
          <t>Shakaal</t>
        </is>
      </c>
      <c r="G459" s="5" t="inlineStr">
        <is>
          <t>Antagonist</t>
        </is>
      </c>
      <c r="H459" s="5" t="inlineStr">
        <is>
          <t>Major</t>
        </is>
      </c>
      <c r="I459" s="5" t="inlineStr">
        <is>
          <t>The criminal who kills his eldest brother and whom the surviving two set out to destroy.</t>
        </is>
      </c>
      <c r="J459" s="5" t="inlineStr">
        <is>
          <t>No part in it.</t>
        </is>
      </c>
      <c r="K459" s="19" t="inlineStr">
        <is>
          <t>The film's bald, island-dwelling criminal mastermind, who kills DCP Shiv Kumar and becomes the object of the brothers' campaign; the part has outlasted the film as a Hindi-cinema archetype.</t>
        </is>
      </c>
      <c r="L459" s="5" t="n"/>
      <c r="M459" s="5" t="inlineStr">
        <is>
          <t>SOURCE-078</t>
        </is>
      </c>
    </row>
    <row r="460" ht="79" customHeight="1">
      <c r="A460" s="15" t="inlineStr">
        <is>
          <t>CAST-446</t>
        </is>
      </c>
      <c r="B460" s="18" t="inlineStr">
        <is>
          <t>FILM-094</t>
        </is>
      </c>
      <c r="C460" s="5" t="inlineStr">
        <is>
          <t>Shaan</t>
        </is>
      </c>
      <c r="D460" s="17" t="n">
        <v>1980</v>
      </c>
      <c r="E460" s="5" t="inlineStr">
        <is>
          <t>Bindiya Goswami</t>
        </is>
      </c>
      <c r="F460" s="5" t="inlineStr">
        <is>
          <t>Renu</t>
        </is>
      </c>
      <c r="G460" s="5" t="inlineStr">
        <is>
          <t>Co-lead</t>
        </is>
      </c>
      <c r="H460" s="5" t="inlineStr">
        <is>
          <t>Major</t>
        </is>
      </c>
      <c r="I460" s="5" t="inlineStr">
        <is>
          <t>The young woman he is attracted to at the restaurant, met under the name Pushpa and in the middle of a debt that turns out to be part of a swindle of its own.</t>
        </is>
      </c>
      <c r="J460" s="5" t="inlineStr">
        <is>
          <t>The pairing recorded in the Romances sheet, and secondary to the revenge plot.</t>
        </is>
      </c>
      <c r="K460" s="19" t="inlineStr">
        <is>
          <t>A young woman who presents herself as Pushpa Bhargav, owing thirty thousand rupees and offering her Porsche against the debt, the car proving to be stolen and the brothers arrested for buying it.</t>
        </is>
      </c>
      <c r="L460" s="5" t="n"/>
      <c r="M460" s="5" t="inlineStr">
        <is>
          <t>SOURCE-078</t>
        </is>
      </c>
    </row>
    <row r="461" ht="64" customHeight="1">
      <c r="A461" s="15" t="inlineStr">
        <is>
          <t>CAST-447</t>
        </is>
      </c>
      <c r="B461" s="18" t="inlineStr">
        <is>
          <t>FILM-094</t>
        </is>
      </c>
      <c r="C461" s="5" t="inlineStr">
        <is>
          <t>Shaan</t>
        </is>
      </c>
      <c r="D461" s="17" t="n">
        <v>1980</v>
      </c>
      <c r="E461" s="5" t="inlineStr">
        <is>
          <t>Raakhee</t>
        </is>
      </c>
      <c r="F461" s="5" t="inlineStr">
        <is>
          <t>Sheetal</t>
        </is>
      </c>
      <c r="G461" s="5" t="inlineStr">
        <is>
          <t>Family</t>
        </is>
      </c>
      <c r="H461" s="5" t="inlineStr">
        <is>
          <t>Major</t>
        </is>
      </c>
      <c r="I461" s="5" t="inlineStr">
        <is>
          <t>His eldest brother's wife, and after the murder the widow whose claim on the two younger men is the film's moral centre.</t>
        </is>
      </c>
      <c r="J461" s="5" t="inlineStr">
        <is>
          <t>No part in it.</t>
        </is>
      </c>
      <c r="K461" s="19" t="inlineStr">
        <is>
          <t>DCP Shiv Kumar's wife, mother of their daughter Guddi, widowed by Shakaal and left with the brothers-in-law her husband had disowned.</t>
        </is>
      </c>
      <c r="L461" s="5" t="n"/>
      <c r="M461" s="5" t="inlineStr">
        <is>
          <t>SOURCE-078</t>
        </is>
      </c>
    </row>
    <row r="462" ht="49" customHeight="1">
      <c r="A462" s="15" t="inlineStr">
        <is>
          <t>CAST-448</t>
        </is>
      </c>
      <c r="B462" s="18" t="inlineStr">
        <is>
          <t>FILM-094</t>
        </is>
      </c>
      <c r="C462" s="5" t="inlineStr">
        <is>
          <t>Shaan</t>
        </is>
      </c>
      <c r="D462" s="17" t="n">
        <v>1980</v>
      </c>
      <c r="E462" s="5" t="inlineStr">
        <is>
          <t>Parveen Babi</t>
        </is>
      </c>
      <c r="F462" s="5" t="inlineStr">
        <is>
          <t>Sunita</t>
        </is>
      </c>
      <c r="G462" s="5" t="inlineStr">
        <is>
          <t>Supporting</t>
        </is>
      </c>
      <c r="H462" s="5" t="inlineStr">
        <is>
          <t>Major</t>
        </is>
      </c>
      <c r="I462" s="5" t="inlineStr">
        <is>
          <t>Part of the group assembled against Shakaal rather than a connection of Ravi's own.</t>
        </is>
      </c>
      <c r="J462" s="5" t="inlineStr">
        <is>
          <t>Outside Ravi's courtship.</t>
        </is>
      </c>
      <c r="K462" s="19" t="inlineStr">
        <is>
          <t>Credited as Sunita, among the company the brothers gather for the assault on Shakaal's island.</t>
        </is>
      </c>
      <c r="L462" s="5" t="n"/>
      <c r="M462" s="5" t="inlineStr">
        <is>
          <t>SOURCE-078</t>
        </is>
      </c>
    </row>
    <row r="463" ht="49" customHeight="1">
      <c r="A463" s="15" t="inlineStr">
        <is>
          <t>CAST-449</t>
        </is>
      </c>
      <c r="B463" s="18" t="inlineStr">
        <is>
          <t>FILM-094</t>
        </is>
      </c>
      <c r="C463" s="5" t="inlineStr">
        <is>
          <t>Shaan</t>
        </is>
      </c>
      <c r="D463" s="17" t="n">
        <v>1980</v>
      </c>
      <c r="E463" s="5" t="inlineStr">
        <is>
          <t>Shatrughan Sinha</t>
        </is>
      </c>
      <c r="F463" s="5" t="inlineStr">
        <is>
          <t>Rakesh</t>
        </is>
      </c>
      <c r="G463" s="5" t="inlineStr">
        <is>
          <t>Friend</t>
        </is>
      </c>
      <c r="H463" s="5" t="inlineStr">
        <is>
          <t>Major</t>
        </is>
      </c>
      <c r="I463" s="5" t="inlineStr">
        <is>
          <t>Recruited into the mission against Shakaal, and credited with Padmini Kapila as his wife Roma.</t>
        </is>
      </c>
      <c r="J463" s="5" t="inlineStr">
        <is>
          <t>No part in Ravi's.</t>
        </is>
      </c>
      <c r="K463" s="19" t="inlineStr">
        <is>
          <t>Credited as Rakesh, with a wife of his own in the cast list, one of the confederates the brothers assemble to reach Shakaal.</t>
        </is>
      </c>
      <c r="L463" s="5" t="n"/>
      <c r="M463" s="5" t="inlineStr">
        <is>
          <t>SOURCE-078</t>
        </is>
      </c>
    </row>
    <row r="464" ht="49" customHeight="1">
      <c r="A464" s="15" t="inlineStr">
        <is>
          <t>CAST-450</t>
        </is>
      </c>
      <c r="B464" s="18" t="inlineStr">
        <is>
          <t>FILM-094</t>
        </is>
      </c>
      <c r="C464" s="5" t="inlineStr">
        <is>
          <t>Shaan</t>
        </is>
      </c>
      <c r="D464" s="17" t="n">
        <v>1980</v>
      </c>
      <c r="E464" s="5" t="inlineStr">
        <is>
          <t>Mazhar Khan</t>
        </is>
      </c>
      <c r="F464" s="5" t="inlineStr">
        <is>
          <t>Abdul</t>
        </is>
      </c>
      <c r="G464" s="5" t="inlineStr">
        <is>
          <t>Friend</t>
        </is>
      </c>
      <c r="H464" s="5" t="inlineStr">
        <is>
          <t>Medium</t>
        </is>
      </c>
      <c r="I464" s="5" t="inlineStr">
        <is>
          <t>The brothers' standing informer, and the one they turn to when they need to know what is going on.</t>
        </is>
      </c>
      <c r="J464" s="5" t="inlineStr">
        <is>
          <t>No part in it.</t>
        </is>
      </c>
      <c r="K464" s="19" t="inlineStr">
        <is>
          <t>A legless but dignified beggar who serves as the brothers' regular informer on shady characters in the city.</t>
        </is>
      </c>
      <c r="L464" s="5" t="n"/>
      <c r="M464" s="5" t="inlineStr">
        <is>
          <t>SOURCE-078</t>
        </is>
      </c>
    </row>
    <row r="465" ht="49" customHeight="1">
      <c r="A465" s="15" t="inlineStr">
        <is>
          <t>CAST-451</t>
        </is>
      </c>
      <c r="B465" s="18" t="inlineStr">
        <is>
          <t>FILM-094</t>
        </is>
      </c>
      <c r="C465" s="5" t="inlineStr">
        <is>
          <t>Shaan</t>
        </is>
      </c>
      <c r="D465" s="17" t="n">
        <v>1980</v>
      </c>
      <c r="E465" s="5" t="inlineStr">
        <is>
          <t>Helen</t>
        </is>
      </c>
      <c r="F465" s="5" t="inlineStr">
        <is>
          <t>Dancer</t>
        </is>
      </c>
      <c r="G465" s="5" t="inlineStr">
        <is>
          <t>Cameo</t>
        </is>
      </c>
      <c r="H465" s="5" t="inlineStr">
        <is>
          <t>Minor</t>
        </is>
      </c>
      <c r="I465" s="5" t="inlineStr">
        <is>
          <t>No part in the plot; credited for the song 'Yamma Yamma'.</t>
        </is>
      </c>
      <c r="J465" s="5" t="inlineStr">
        <is>
          <t>No part in it.</t>
        </is>
      </c>
      <c r="K465" s="19" t="inlineStr">
        <is>
          <t>Credited for the number 'Yamma Yamma', one of the two song appearances the cast list singles out, with Bindu credited as the Maharani of 'Pyaar Karne Wale'.</t>
        </is>
      </c>
      <c r="L465" s="5" t="n"/>
      <c r="M465" s="5" t="inlineStr">
        <is>
          <t>SOURCE-078</t>
        </is>
      </c>
    </row>
    <row r="466" ht="79" customHeight="1">
      <c r="A466" s="15" t="inlineStr">
        <is>
          <t>CAST-452</t>
        </is>
      </c>
      <c r="B466" s="18" t="inlineStr">
        <is>
          <t>FILM-095</t>
        </is>
      </c>
      <c r="C466" s="5" t="inlineStr">
        <is>
          <t>Baseraa</t>
        </is>
      </c>
      <c r="D466" s="17" t="n">
        <v>1981</v>
      </c>
      <c r="E466" s="5" t="inlineStr">
        <is>
          <t>Raakhee</t>
        </is>
      </c>
      <c r="F466" s="5" t="inlineStr">
        <is>
          <t>Sharada Kohli</t>
        </is>
      </c>
      <c r="G466" s="5" t="inlineStr">
        <is>
          <t>Co-lead</t>
        </is>
      </c>
      <c r="H466" s="5" t="inlineStr">
        <is>
          <t>Major</t>
        </is>
      </c>
      <c r="I466" s="5" t="inlineStr">
        <is>
          <t>His first wife, fourteen years insensible in an institution, who recovers and comes home to a household rearranged to hide that he has married her sister.</t>
        </is>
      </c>
      <c r="J466" s="5" t="inlineStr">
        <is>
          <t>The pairing recorded in the Romances sheet as a marriage under strain: a wife restored to a marriage that has been quietly replaced.</t>
        </is>
      </c>
      <c r="K466" s="19" t="inlineStr">
        <is>
          <t>Balraj's first wife and Purnima's elder sister, who fell down the stairs on hearing of her own sister's widowhood, spent fourteen years comatose in a Bombay institution, wakes when struck on the head by an inmate, learns the truth, and then feigns madness to release her family from her.</t>
        </is>
      </c>
      <c r="L466" s="5" t="n"/>
      <c r="M466" s="5" t="inlineStr">
        <is>
          <t>SOURCE-083</t>
        </is>
      </c>
    </row>
    <row r="467" ht="64" customHeight="1">
      <c r="A467" s="15" t="inlineStr">
        <is>
          <t>CAST-453</t>
        </is>
      </c>
      <c r="B467" s="18" t="inlineStr">
        <is>
          <t>FILM-095</t>
        </is>
      </c>
      <c r="C467" s="5" t="inlineStr">
        <is>
          <t>Baseraa</t>
        </is>
      </c>
      <c r="D467" s="17" t="n">
        <v>1981</v>
      </c>
      <c r="E467" s="5" t="inlineStr">
        <is>
          <t>Rekha</t>
        </is>
      </c>
      <c r="F467" s="5" t="inlineStr">
        <is>
          <t>Purnima Kohli</t>
        </is>
      </c>
      <c r="G467" s="5" t="inlineStr">
        <is>
          <t>Co-lead</t>
        </is>
      </c>
      <c r="H467" s="5" t="inlineStr">
        <is>
          <t>Major</t>
        </is>
      </c>
      <c r="I467" s="5" t="inlineStr">
        <is>
          <t>His second wife and his first wife's younger sister, widowed young, who stages her own widowhood again to protect the woman she replaced.</t>
        </is>
      </c>
      <c r="J467" s="5" t="inlineStr">
        <is>
          <t>The pairing recorded in the Romances sheet as an established relationship: the settled marriage that the other one's recovery makes untenable.</t>
        </is>
      </c>
      <c r="K467" s="19" t="inlineStr">
        <is>
          <t>Balraj's second wife, sister of his first, whose own husband died soon after their wedding, who married Balraj when Sharada's recovery seemed impossible, and who dresses again as a widow and clears the house to spare her sister the truth.</t>
        </is>
      </c>
      <c r="L467" s="5" t="n"/>
      <c r="M467" s="5" t="inlineStr">
        <is>
          <t>SOURCE-083</t>
        </is>
      </c>
    </row>
    <row r="468" ht="64" customHeight="1">
      <c r="A468" s="15" t="inlineStr">
        <is>
          <t>CAST-454</t>
        </is>
      </c>
      <c r="B468" s="18" t="inlineStr">
        <is>
          <t>FILM-095</t>
        </is>
      </c>
      <c r="C468" s="5" t="inlineStr">
        <is>
          <t>Baseraa</t>
        </is>
      </c>
      <c r="D468" s="17" t="n">
        <v>1981</v>
      </c>
      <c r="E468" s="5" t="inlineStr">
        <is>
          <t>Raj Kiran</t>
        </is>
      </c>
      <c r="F468" s="5" t="inlineStr">
        <is>
          <t>Sagar Kohli</t>
        </is>
      </c>
      <c r="G468" s="5" t="inlineStr">
        <is>
          <t>Family</t>
        </is>
      </c>
      <c r="H468" s="5" t="inlineStr">
        <is>
          <t>Major</t>
        </is>
      </c>
      <c r="I468" s="5" t="inlineStr">
        <is>
          <t>His elder son, Sharada's child, whose engagement opens the film and whose parentage is the first thing the plot discloses.</t>
        </is>
      </c>
      <c r="J468" s="5" t="inlineStr">
        <is>
          <t>Holds the younger romance, whose fiancee becomes the one person to see through Sharada's performance.</t>
        </is>
      </c>
      <c r="K468" s="19" t="inlineStr">
        <is>
          <t>Balraj and Sharada's son, engaged to the doctor Sarita, and raised by the aunt he takes for his mother.</t>
        </is>
      </c>
      <c r="L468" s="5" t="n"/>
      <c r="M468" s="5" t="inlineStr">
        <is>
          <t>SOURCE-083</t>
        </is>
      </c>
    </row>
    <row r="469" ht="64" customHeight="1">
      <c r="A469" s="15" t="inlineStr">
        <is>
          <t>CAST-455</t>
        </is>
      </c>
      <c r="B469" s="18" t="inlineStr">
        <is>
          <t>FILM-095</t>
        </is>
      </c>
      <c r="C469" s="5" t="inlineStr">
        <is>
          <t>Baseraa</t>
        </is>
      </c>
      <c r="D469" s="17" t="n">
        <v>1981</v>
      </c>
      <c r="E469" s="5" t="inlineStr">
        <is>
          <t>Poonam Dhillon</t>
        </is>
      </c>
      <c r="F469" s="5" t="inlineStr">
        <is>
          <t>Sarita Sethi</t>
        </is>
      </c>
      <c r="G469" s="5" t="inlineStr">
        <is>
          <t>Supporting</t>
        </is>
      </c>
      <c r="H469" s="5" t="inlineStr">
        <is>
          <t>Major</t>
        </is>
      </c>
      <c r="I469" s="5" t="inlineStr">
        <is>
          <t>His son's fiancee, and the one member of the household who works out what Sharada is doing.</t>
        </is>
      </c>
      <c r="J469" s="5" t="inlineStr">
        <is>
          <t>The younger romance, and the film's moral witness.</t>
        </is>
      </c>
      <c r="K469" s="19" t="inlineStr">
        <is>
          <t>A young doctor engaged to Sagar, who shelters the younger boy while the deception is maintained, and who realises that Sharada is acting her madness in order to leave the family free, and is sworn to secrecy.</t>
        </is>
      </c>
      <c r="L469" s="5" t="n"/>
      <c r="M469" s="5" t="inlineStr">
        <is>
          <t>SOURCE-083</t>
        </is>
      </c>
    </row>
    <row r="470" ht="49" customHeight="1">
      <c r="A470" s="15" t="inlineStr">
        <is>
          <t>CAST-456</t>
        </is>
      </c>
      <c r="B470" s="18" t="inlineStr">
        <is>
          <t>FILM-095</t>
        </is>
      </c>
      <c r="C470" s="5" t="inlineStr">
        <is>
          <t>Baseraa</t>
        </is>
      </c>
      <c r="D470" s="17" t="n">
        <v>1981</v>
      </c>
      <c r="E470" s="5" t="inlineStr">
        <is>
          <t>A. K. Hangal</t>
        </is>
      </c>
      <c r="F470" s="5" t="inlineStr">
        <is>
          <t>Sharada and Purnima's father</t>
        </is>
      </c>
      <c r="G470" s="5" t="inlineStr">
        <is>
          <t>Family</t>
        </is>
      </c>
      <c r="H470" s="5" t="inlineStr">
        <is>
          <t>Medium</t>
        </is>
      </c>
      <c r="I470" s="5" t="inlineStr">
        <is>
          <t>Father to both of his wives, and so the one figure connected to every part of the arrangement.</t>
        </is>
      </c>
      <c r="J470" s="5" t="inlineStr">
        <is>
          <t>Part of the family that permitted the second marriage.</t>
        </is>
      </c>
      <c r="K470" s="19" t="inlineStr">
        <is>
          <t>Father of both sisters, credited as such, in a household where one daughter's husband has married the other.</t>
        </is>
      </c>
      <c r="L470" s="5" t="n"/>
      <c r="M470" s="5" t="inlineStr">
        <is>
          <t>SOURCE-083</t>
        </is>
      </c>
    </row>
    <row r="471" ht="64" customHeight="1">
      <c r="A471" s="15" t="inlineStr">
        <is>
          <t>CAST-457</t>
        </is>
      </c>
      <c r="B471" s="18" t="inlineStr">
        <is>
          <t>FILM-095</t>
        </is>
      </c>
      <c r="C471" s="5" t="inlineStr">
        <is>
          <t>Baseraa</t>
        </is>
      </c>
      <c r="D471" s="17" t="n">
        <v>1981</v>
      </c>
      <c r="E471" s="5" t="inlineStr">
        <is>
          <t>Iftekhar</t>
        </is>
      </c>
      <c r="F471" s="5" t="inlineStr">
        <is>
          <t>Doctor Gokhle</t>
        </is>
      </c>
      <c r="G471" s="5" t="inlineStr">
        <is>
          <t>Authority figure</t>
        </is>
      </c>
      <c r="H471" s="5" t="inlineStr">
        <is>
          <t>Medium</t>
        </is>
      </c>
      <c r="I471" s="5" t="inlineStr">
        <is>
          <t>The doctor who releases his first wife and warns the household she is coming, without telling her what she is coming home to.</t>
        </is>
      </c>
      <c r="J471" s="5" t="inlineStr">
        <is>
          <t>Sets the deception in motion by that omission.</t>
        </is>
      </c>
      <c r="K471" s="19" t="inlineStr">
        <is>
          <t>The physician at the institution, who tells Sharada she has been comatose fourteen years but not that Balraj has married Purnima, and alerts the family to her return.</t>
        </is>
      </c>
      <c r="L471" s="5" t="n"/>
      <c r="M471" s="5" t="inlineStr">
        <is>
          <t>SOURCE-083</t>
        </is>
      </c>
    </row>
    <row r="472" ht="64" customHeight="1">
      <c r="A472" s="15" t="inlineStr">
        <is>
          <t>CAST-458</t>
        </is>
      </c>
      <c r="B472" s="18" t="inlineStr">
        <is>
          <t>FILM-095</t>
        </is>
      </c>
      <c r="C472" s="5" t="inlineStr">
        <is>
          <t>Baseraa</t>
        </is>
      </c>
      <c r="D472" s="17" t="n">
        <v>1981</v>
      </c>
      <c r="E472" s="5" t="inlineStr">
        <is>
          <t>Master Vikas</t>
        </is>
      </c>
      <c r="F472" s="5" t="inlineStr">
        <is>
          <t>Babbu</t>
        </is>
      </c>
      <c r="G472" s="5" t="inlineStr">
        <is>
          <t>Family</t>
        </is>
      </c>
      <c r="H472" s="5" t="inlineStr">
        <is>
          <t>Medium</t>
        </is>
      </c>
      <c r="I472" s="5" t="inlineStr">
        <is>
          <t>His younger son by Purnima, sent out of the house to keep the pretence, and the child whose escape destroys it.</t>
        </is>
      </c>
      <c r="J472" s="5" t="inlineStr">
        <is>
          <t>The living evidence of the second marriage.</t>
        </is>
      </c>
      <c r="K472" s="19" t="inlineStr">
        <is>
          <t>Balraj and Purnima's small son, sent to stay with Sarita so that the house can be made to look as it did fourteen years earlier, whose escape from the hostel reveals the truth to Sharada.</t>
        </is>
      </c>
      <c r="L472" s="5" t="n"/>
      <c r="M472" s="5" t="inlineStr">
        <is>
          <t>SOURCE-083</t>
        </is>
      </c>
    </row>
    <row r="473" ht="79" customHeight="1">
      <c r="A473" s="15" t="inlineStr">
        <is>
          <t>CAST-459</t>
        </is>
      </c>
      <c r="B473" s="18" t="inlineStr">
        <is>
          <t>FILM-097</t>
        </is>
      </c>
      <c r="C473" s="5" t="inlineStr">
        <is>
          <t>Kranti</t>
        </is>
      </c>
      <c r="D473" s="17" t="n">
        <v>1981</v>
      </c>
      <c r="E473" s="5" t="inlineStr">
        <is>
          <t>Dilip Kumar</t>
        </is>
      </c>
      <c r="F473" s="5" t="inlineStr">
        <is>
          <t>Sanga</t>
        </is>
      </c>
      <c r="G473" s="5" t="inlineStr">
        <is>
          <t>Co-lead</t>
        </is>
      </c>
      <c r="H473" s="5" t="inlineStr">
        <is>
          <t>Major</t>
        </is>
      </c>
      <c r="I473" s="5" t="inlineStr">
        <is>
          <t>The film's senior revolutionary, first-billed above Kapoor in a five-star ensemble.</t>
        </is>
      </c>
      <c r="J473" s="5" t="inlineStr">
        <is>
          <t>Outside Kapoor's own attachments, which the article does not describe.</t>
        </is>
      </c>
      <c r="K473" s="19" t="inlineStr">
        <is>
          <t>A loyal servant of the kingdom of Ramgarh who discovers the British smuggling out gold and bringing in ammunition, is framed for his raja's murder, escapes a death sentence and forms the band of revolutionaries that multiplies into the armies of Kranti.</t>
        </is>
      </c>
      <c r="L473" s="5" t="n"/>
      <c r="M473" s="5" t="inlineStr">
        <is>
          <t>SOURCE-079</t>
        </is>
      </c>
    </row>
    <row r="474" ht="49" customHeight="1">
      <c r="A474" s="15" t="inlineStr">
        <is>
          <t>CAST-460</t>
        </is>
      </c>
      <c r="B474" s="18" t="inlineStr">
        <is>
          <t>FILM-097</t>
        </is>
      </c>
      <c r="C474" s="5" t="inlineStr">
        <is>
          <t>Kranti</t>
        </is>
      </c>
      <c r="D474" s="17" t="n">
        <v>1981</v>
      </c>
      <c r="E474" s="5" t="inlineStr">
        <is>
          <t>Manoj Kumar</t>
        </is>
      </c>
      <c r="F474" s="5" t="inlineStr">
        <is>
          <t>Bharat</t>
        </is>
      </c>
      <c r="G474" s="5" t="inlineStr">
        <is>
          <t>Co-lead</t>
        </is>
      </c>
      <c r="H474" s="5" t="inlineStr">
        <is>
          <t>Major</t>
        </is>
      </c>
      <c r="I474" s="5" t="inlineStr">
        <is>
          <t>The film's other leader, in a picture Manoj Kumar also directed.</t>
        </is>
      </c>
      <c r="J474" s="5" t="inlineStr">
        <is>
          <t>Outside Kapoor's.</t>
        </is>
      </c>
      <c r="K474" s="19" t="inlineStr">
        <is>
          <t>The freedom fighter known as Kranti, one of the men who lead the struggle against British rule between 1825 and 1875, in the film Manoj Kumar wrote the part for and directed.</t>
        </is>
      </c>
      <c r="L474" s="5" t="n"/>
      <c r="M474" s="5" t="inlineStr">
        <is>
          <t>SOURCE-079</t>
        </is>
      </c>
    </row>
    <row r="475" ht="34" customHeight="1">
      <c r="A475" s="15" t="inlineStr">
        <is>
          <t>CAST-461</t>
        </is>
      </c>
      <c r="B475" s="18" t="inlineStr">
        <is>
          <t>FILM-097</t>
        </is>
      </c>
      <c r="C475" s="5" t="inlineStr">
        <is>
          <t>Kranti</t>
        </is>
      </c>
      <c r="D475" s="17" t="n">
        <v>1981</v>
      </c>
      <c r="E475" s="5" t="inlineStr">
        <is>
          <t>Shatrughan Sinha</t>
        </is>
      </c>
      <c r="F475" s="5" t="inlineStr">
        <is>
          <t>Karim Khan</t>
        </is>
      </c>
      <c r="G475" s="5" t="inlineStr">
        <is>
          <t>Co-lead</t>
        </is>
      </c>
      <c r="H475" s="5" t="inlineStr">
        <is>
          <t>Major</t>
        </is>
      </c>
      <c r="I475" s="5" t="inlineStr">
        <is>
          <t>A fellow member of the rebellion alongside Kapoor's Shakti.</t>
        </is>
      </c>
      <c r="J475" s="5" t="inlineStr">
        <is>
          <t>Not documented.</t>
        </is>
      </c>
      <c r="K475" s="19" t="inlineStr">
        <is>
          <t>Credited as Karim Khan, among the leaders of the armed struggle the film assembles across religions.</t>
        </is>
      </c>
      <c r="L475" s="5" t="n"/>
      <c r="M475" s="5" t="inlineStr">
        <is>
          <t>SOURCE-079</t>
        </is>
      </c>
    </row>
    <row r="476" ht="64" customHeight="1">
      <c r="A476" s="15" t="inlineStr">
        <is>
          <t>CAST-462</t>
        </is>
      </c>
      <c r="B476" s="18" t="inlineStr">
        <is>
          <t>FILM-097</t>
        </is>
      </c>
      <c r="C476" s="5" t="inlineStr">
        <is>
          <t>Kranti</t>
        </is>
      </c>
      <c r="D476" s="17" t="n">
        <v>1981</v>
      </c>
      <c r="E476" s="5" t="inlineStr">
        <is>
          <t>Hema Malini</t>
        </is>
      </c>
      <c r="F476" s="5" t="inlineStr">
        <is>
          <t>Rajkumari Meenakshi</t>
        </is>
      </c>
      <c r="G476" s="5" t="inlineStr">
        <is>
          <t>Supporting</t>
        </is>
      </c>
      <c r="H476" s="5" t="inlineStr">
        <is>
          <t>Major</t>
        </is>
      </c>
      <c r="I476" s="5" t="inlineStr">
        <is>
          <t>The princess of the film's court, paired in the cast list with Bharat rather than with Kapoor's Shakti, their son being separately credited.</t>
        </is>
      </c>
      <c r="J476" s="5" t="inlineStr">
        <is>
          <t>Belongs to the other lead's romance, not Kapoor's.</t>
        </is>
      </c>
      <c r="K476" s="19" t="inlineStr">
        <is>
          <t>A princess who joins the independence struggle, credited with Kunal Goswami as Bharat and Meenakshi's son.</t>
        </is>
      </c>
      <c r="L476" s="5" t="n"/>
      <c r="M476" s="5" t="inlineStr">
        <is>
          <t>SOURCE-079</t>
        </is>
      </c>
    </row>
    <row r="477" ht="64" customHeight="1">
      <c r="A477" s="15" t="inlineStr">
        <is>
          <t>CAST-463</t>
        </is>
      </c>
      <c r="B477" s="18" t="inlineStr">
        <is>
          <t>FILM-097</t>
        </is>
      </c>
      <c r="C477" s="5" t="inlineStr">
        <is>
          <t>Kranti</t>
        </is>
      </c>
      <c r="D477" s="17" t="n">
        <v>1981</v>
      </c>
      <c r="E477" s="5" t="inlineStr">
        <is>
          <t>Parveen Babi</t>
        </is>
      </c>
      <c r="F477" s="5" t="inlineStr">
        <is>
          <t>Sureeli</t>
        </is>
      </c>
      <c r="G477" s="5" t="inlineStr">
        <is>
          <t>Supporting</t>
        </is>
      </c>
      <c r="H477" s="5" t="inlineStr">
        <is>
          <t>Major</t>
        </is>
      </c>
      <c r="I477" s="5" t="inlineStr">
        <is>
          <t>Fifth-billed among the women; the article's plot summary covers only the men and does not place her against Kapoor's Shakti.</t>
        </is>
      </c>
      <c r="J477" s="5" t="inlineStr">
        <is>
          <t>Not documented, which is why romance presence is left blank for the film and no Romances row was created.</t>
        </is>
      </c>
      <c r="K477" s="19" t="inlineStr">
        <is>
          <t>Credited as Sureeli, with Preeti Ganguly as her friend. The article's synopsis describes the independence struggle and none of the film's personal relationships.</t>
        </is>
      </c>
      <c r="L477" s="5" t="n"/>
      <c r="M477" s="5" t="inlineStr">
        <is>
          <t>SOURCE-079</t>
        </is>
      </c>
    </row>
    <row r="478" ht="49" customHeight="1">
      <c r="A478" s="15" t="inlineStr">
        <is>
          <t>CAST-464</t>
        </is>
      </c>
      <c r="B478" s="18" t="inlineStr">
        <is>
          <t>FILM-097</t>
        </is>
      </c>
      <c r="C478" s="5" t="inlineStr">
        <is>
          <t>Kranti</t>
        </is>
      </c>
      <c r="D478" s="17" t="n">
        <v>1981</v>
      </c>
      <c r="E478" s="5" t="inlineStr">
        <is>
          <t>Sarika</t>
        </is>
      </c>
      <c r="F478" s="5" t="inlineStr">
        <is>
          <t>Sheetal</t>
        </is>
      </c>
      <c r="G478" s="5" t="inlineStr">
        <is>
          <t>Supporting</t>
        </is>
      </c>
      <c r="H478" s="5" t="inlineStr">
        <is>
          <t>Medium</t>
        </is>
      </c>
      <c r="I478" s="5" t="inlineStr">
        <is>
          <t>Not documented; the article's plot does not reach the film's younger characters.</t>
        </is>
      </c>
      <c r="J478" s="5" t="inlineStr">
        <is>
          <t>Not documented.</t>
        </is>
      </c>
      <c r="K478" s="19" t="inlineStr">
        <is>
          <t>Credited as Sheetal. The article summarises only the political narrative, leaving the ensemble's personal connections unrecorded.</t>
        </is>
      </c>
      <c r="L478" s="5" t="n"/>
      <c r="M478" s="5" t="inlineStr">
        <is>
          <t>SOURCE-079</t>
        </is>
      </c>
    </row>
    <row r="479" ht="49" customHeight="1">
      <c r="A479" s="15" t="inlineStr">
        <is>
          <t>CAST-465</t>
        </is>
      </c>
      <c r="B479" s="18" t="inlineStr">
        <is>
          <t>FILM-097</t>
        </is>
      </c>
      <c r="C479" s="5" t="inlineStr">
        <is>
          <t>Kranti</t>
        </is>
      </c>
      <c r="D479" s="17" t="n">
        <v>1981</v>
      </c>
      <c r="E479" s="5" t="inlineStr">
        <is>
          <t>Prem Chopra</t>
        </is>
      </c>
      <c r="F479" s="5" t="inlineStr">
        <is>
          <t>Shambhu Singh</t>
        </is>
      </c>
      <c r="G479" s="5" t="inlineStr">
        <is>
          <t>Antagonist</t>
        </is>
      </c>
      <c r="H479" s="5" t="inlineStr">
        <is>
          <t>Major</t>
        </is>
      </c>
      <c r="I479" s="5" t="inlineStr">
        <is>
          <t>One of the Indian collaborators the rebellion is directed against as much as the British.</t>
        </is>
      </c>
      <c r="J479" s="5" t="inlineStr">
        <is>
          <t>No part in it.</t>
        </is>
      </c>
      <c r="K479" s="19" t="inlineStr">
        <is>
          <t>Credited as Shambhu Singh, among the Indian allies of the British in a film whose villainy is divided between the colonial power and its local partners.</t>
        </is>
      </c>
      <c r="L479" s="5" t="n"/>
      <c r="M479" s="5" t="inlineStr">
        <is>
          <t>SOURCE-079</t>
        </is>
      </c>
    </row>
    <row r="480" ht="49" customHeight="1">
      <c r="A480" s="15" t="inlineStr">
        <is>
          <t>CAST-466</t>
        </is>
      </c>
      <c r="B480" s="18" t="inlineStr">
        <is>
          <t>FILM-097</t>
        </is>
      </c>
      <c r="C480" s="5" t="inlineStr">
        <is>
          <t>Kranti</t>
        </is>
      </c>
      <c r="D480" s="17" t="n">
        <v>1981</v>
      </c>
      <c r="E480" s="5" t="inlineStr">
        <is>
          <t>Nirupa Roy</t>
        </is>
      </c>
      <c r="F480" s="5" t="inlineStr">
        <is>
          <t>Radha</t>
        </is>
      </c>
      <c r="G480" s="5" t="inlineStr">
        <is>
          <t>Family</t>
        </is>
      </c>
      <c r="H480" s="5" t="inlineStr">
        <is>
          <t>Medium</t>
        </is>
      </c>
      <c r="I480" s="5" t="inlineStr">
        <is>
          <t>Not documented; the article's synopsis does not cover the families of the revolutionaries.</t>
        </is>
      </c>
      <c r="J480" s="5" t="inlineStr">
        <is>
          <t>No part in it.</t>
        </is>
      </c>
      <c r="K480" s="19" t="inlineStr">
        <is>
          <t>Credited as Radha, in the maternal register Nirupa Roy occupied through the period.</t>
        </is>
      </c>
      <c r="L480" s="5" t="n"/>
      <c r="M480" s="5" t="inlineStr">
        <is>
          <t>SOURCE-079</t>
        </is>
      </c>
    </row>
    <row r="481" ht="64" customHeight="1">
      <c r="A481" s="15" t="inlineStr">
        <is>
          <t>CAST-467</t>
        </is>
      </c>
      <c r="B481" s="18" t="inlineStr">
        <is>
          <t>FILM-097</t>
        </is>
      </c>
      <c r="C481" s="5" t="inlineStr">
        <is>
          <t>Kranti</t>
        </is>
      </c>
      <c r="D481" s="17" t="n">
        <v>1981</v>
      </c>
      <c r="E481" s="5" t="inlineStr">
        <is>
          <t>P. Jairaj</t>
        </is>
      </c>
      <c r="F481" s="5" t="inlineStr">
        <is>
          <t>Maharaj Laxman Singh</t>
        </is>
      </c>
      <c r="G481" s="5" t="inlineStr">
        <is>
          <t>Authority figure</t>
        </is>
      </c>
      <c r="H481" s="5" t="inlineStr">
        <is>
          <t>Medium</t>
        </is>
      </c>
      <c r="I481" s="5" t="inlineStr">
        <is>
          <t>The raja whose murder begins the story and whose conditional grant of the port to the British is the film's original error.</t>
        </is>
      </c>
      <c r="J481" s="5" t="inlineStr">
        <is>
          <t>No part in it.</t>
        </is>
      </c>
      <c r="K481" s="19" t="inlineStr">
        <is>
          <t>The raja of Ramgarh, who permits the British to use the port for trade on conditions they break, and is found stabbed to death when Sanga comes to report it.</t>
        </is>
      </c>
      <c r="L481" s="5" t="n"/>
      <c r="M481" s="5" t="inlineStr">
        <is>
          <t>SOURCE-079</t>
        </is>
      </c>
    </row>
    <row r="482" ht="79" customHeight="1">
      <c r="A482" s="15" t="inlineStr">
        <is>
          <t>CAST-468</t>
        </is>
      </c>
      <c r="B482" s="18" t="inlineStr">
        <is>
          <t>FILM-098</t>
        </is>
      </c>
      <c r="C482" s="5" t="inlineStr">
        <is>
          <t>Krodhi</t>
        </is>
      </c>
      <c r="D482" s="17" t="n">
        <v>1981</v>
      </c>
      <c r="E482" s="5" t="inlineStr">
        <is>
          <t>Dharmendra</t>
        </is>
      </c>
      <c r="F482" s="5" t="inlineStr">
        <is>
          <t>Vikramjeet Singh / Krodhi / Acharya Shraddhanand</t>
        </is>
      </c>
      <c r="G482" s="5" t="inlineStr">
        <is>
          <t>Co-lead</t>
        </is>
      </c>
      <c r="H482" s="5" t="inlineStr">
        <is>
          <t>Major</t>
        </is>
      </c>
      <c r="I482" s="5" t="inlineStr">
        <is>
          <t>The title character on a triple credit, opposite whom Kapoor plays a CBI officer. The article has no plot section, so the relation is undocumented.</t>
        </is>
      </c>
      <c r="J482" s="5" t="inlineStr">
        <is>
          <t>Not documented.</t>
        </is>
      </c>
      <c r="K482" s="19" t="inlineStr">
        <is>
          <t>A triple credit as Vikramjeet Singh, the Krodhi of the title, and Acharya Shraddhanand. With no synopsis in the article the scheme of the three identities is unrecorded.</t>
        </is>
      </c>
      <c r="L482" s="5" t="n"/>
      <c r="M482" s="5" t="inlineStr">
        <is>
          <t>SOURCE-080</t>
        </is>
      </c>
    </row>
    <row r="483" ht="79" customHeight="1">
      <c r="A483" s="15" t="inlineStr">
        <is>
          <t>CAST-469</t>
        </is>
      </c>
      <c r="B483" s="18" t="inlineStr">
        <is>
          <t>FILM-098</t>
        </is>
      </c>
      <c r="C483" s="5" t="inlineStr">
        <is>
          <t>Krodhi</t>
        </is>
      </c>
      <c r="D483" s="17" t="n">
        <v>1981</v>
      </c>
      <c r="E483" s="5" t="inlineStr">
        <is>
          <t>Zeenat Aman</t>
        </is>
      </c>
      <c r="F483" s="5" t="inlineStr">
        <is>
          <t>Neera Sahni</t>
        </is>
      </c>
      <c r="G483" s="5" t="inlineStr">
        <is>
          <t>Co-lead</t>
        </is>
      </c>
      <c r="H483" s="5" t="inlineStr">
        <is>
          <t>Major</t>
        </is>
      </c>
      <c r="I483" s="5" t="inlineStr">
        <is>
          <t>Paired with Kapoor's Kumar Sahni and sharing his surname, with A. K. Hangal and Sulochana Latkar credited as Mr. and Mrs. Sahni; the article has no plot to confirm the arrangement.</t>
        </is>
      </c>
      <c r="J483" s="5" t="inlineStr">
        <is>
          <t>The pairing recorded in the Romances sheet, and subordinate to the film's other business, which the article does not describe.</t>
        </is>
      </c>
      <c r="K483" s="19" t="inlineStr">
        <is>
          <t>Credited as Neera Sahni, the surname shared with Kapoor's CBI officer and with the couple credited as Mr. and Mrs. Sahni, indicating a household the article never sets out.</t>
        </is>
      </c>
      <c r="L483" s="5" t="n"/>
      <c r="M483" s="5" t="inlineStr">
        <is>
          <t>SOURCE-080</t>
        </is>
      </c>
    </row>
    <row r="484" ht="49" customHeight="1">
      <c r="A484" s="15" t="inlineStr">
        <is>
          <t>CAST-470</t>
        </is>
      </c>
      <c r="B484" s="18" t="inlineStr">
        <is>
          <t>FILM-098</t>
        </is>
      </c>
      <c r="C484" s="5" t="inlineStr">
        <is>
          <t>Krodhi</t>
        </is>
      </c>
      <c r="D484" s="17" t="n">
        <v>1981</v>
      </c>
      <c r="E484" s="5" t="inlineStr">
        <is>
          <t>Pran</t>
        </is>
      </c>
      <c r="F484" s="5" t="inlineStr">
        <is>
          <t>Acharya</t>
        </is>
      </c>
      <c r="G484" s="5" t="inlineStr">
        <is>
          <t>Supporting</t>
        </is>
      </c>
      <c r="H484" s="5" t="inlineStr">
        <is>
          <t>Major</t>
        </is>
      </c>
      <c r="I484" s="5" t="inlineStr">
        <is>
          <t>Not documented. The credit doubles the Acharya title that Dharmendra's third identity also carries.</t>
        </is>
      </c>
      <c r="J484" s="5" t="inlineStr">
        <is>
          <t>Not documented.</t>
        </is>
      </c>
      <c r="K484" s="19" t="inlineStr">
        <is>
          <t>Credited as Acharya, a title the film also gives to one of Dharmendra's three identities; the article carries no plot to explain the duplication.</t>
        </is>
      </c>
      <c r="L484" s="5" t="n"/>
      <c r="M484" s="5" t="inlineStr">
        <is>
          <t>SOURCE-080</t>
        </is>
      </c>
    </row>
    <row r="485" ht="64" customHeight="1">
      <c r="A485" s="15" t="inlineStr">
        <is>
          <t>CAST-471</t>
        </is>
      </c>
      <c r="B485" s="18" t="inlineStr">
        <is>
          <t>FILM-098</t>
        </is>
      </c>
      <c r="C485" s="5" t="inlineStr">
        <is>
          <t>Krodhi</t>
        </is>
      </c>
      <c r="D485" s="17" t="n">
        <v>1981</v>
      </c>
      <c r="E485" s="5" t="inlineStr">
        <is>
          <t>Premnath</t>
        </is>
      </c>
      <c r="F485" s="5" t="inlineStr">
        <is>
          <t>Jagira</t>
        </is>
      </c>
      <c r="G485" s="5" t="inlineStr">
        <is>
          <t>Antagonist</t>
        </is>
      </c>
      <c r="H485" s="5" t="inlineStr">
        <is>
          <t>Major</t>
        </is>
      </c>
      <c r="I485" s="5" t="inlineStr">
        <is>
          <t>Not documented; his second credit is a South Indian Vikramjeet Singh, doubling the name of the title character.</t>
        </is>
      </c>
      <c r="J485" s="5" t="inlineStr">
        <is>
          <t>Not documented.</t>
        </is>
      </c>
      <c r="K485" s="19" t="inlineStr">
        <is>
          <t>Credited as Jagira, and as 'South India's Vikramjeet Singh', a doubling of the protagonist's own name that the article does not explain.</t>
        </is>
      </c>
      <c r="L485" s="5" t="n"/>
      <c r="M485" s="5" t="inlineStr">
        <is>
          <t>SOURCE-080</t>
        </is>
      </c>
    </row>
    <row r="486" ht="49" customHeight="1">
      <c r="A486" s="15" t="inlineStr">
        <is>
          <t>CAST-472</t>
        </is>
      </c>
      <c r="B486" s="18" t="inlineStr">
        <is>
          <t>FILM-098</t>
        </is>
      </c>
      <c r="C486" s="5" t="inlineStr">
        <is>
          <t>Krodhi</t>
        </is>
      </c>
      <c r="D486" s="17" t="n">
        <v>1981</v>
      </c>
      <c r="E486" s="5" t="inlineStr">
        <is>
          <t>Amrish Puri</t>
        </is>
      </c>
      <c r="F486" s="5" t="inlineStr">
        <is>
          <t>Madhavan</t>
        </is>
      </c>
      <c r="G486" s="5" t="inlineStr">
        <is>
          <t>Antagonist</t>
        </is>
      </c>
      <c r="H486" s="5" t="inlineStr">
        <is>
          <t>Medium</t>
        </is>
      </c>
      <c r="I486" s="5" t="inlineStr">
        <is>
          <t>Not documented, though Vimi is separately credited as Madhavan's mistress.</t>
        </is>
      </c>
      <c r="J486" s="5" t="inlineStr">
        <is>
          <t>Not documented.</t>
        </is>
      </c>
      <c r="K486" s="19" t="inlineStr">
        <is>
          <t>Credited as Madhavan, with Vimi as his mistress. The article has no plot section.</t>
        </is>
      </c>
      <c r="L486" s="5" t="n"/>
      <c r="M486" s="5" t="inlineStr">
        <is>
          <t>SOURCE-080</t>
        </is>
      </c>
    </row>
    <row r="487" ht="34" customHeight="1">
      <c r="A487" s="15" t="inlineStr">
        <is>
          <t>CAST-473</t>
        </is>
      </c>
      <c r="B487" s="18" t="inlineStr">
        <is>
          <t>FILM-098</t>
        </is>
      </c>
      <c r="C487" s="5" t="inlineStr">
        <is>
          <t>Krodhi</t>
        </is>
      </c>
      <c r="D487" s="17" t="n">
        <v>1981</v>
      </c>
      <c r="E487" s="5" t="inlineStr">
        <is>
          <t>Hema Malini</t>
        </is>
      </c>
      <c r="F487" s="5" t="inlineStr">
        <is>
          <t>Phoolmati</t>
        </is>
      </c>
      <c r="G487" s="5" t="inlineStr">
        <is>
          <t>Cameo</t>
        </is>
      </c>
      <c r="H487" s="5" t="inlineStr">
        <is>
          <t>Medium</t>
        </is>
      </c>
      <c r="I487" s="5" t="inlineStr">
        <is>
          <t>Not documented; billed as a special appearance.</t>
        </is>
      </c>
      <c r="J487" s="5" t="inlineStr">
        <is>
          <t>Not documented.</t>
        </is>
      </c>
      <c r="K487" s="19" t="inlineStr">
        <is>
          <t>Credited as Phoolmati in a special appearance, one of two guest parts by leading actresses in a very large cast.</t>
        </is>
      </c>
      <c r="L487" s="5" t="n"/>
      <c r="M487" s="5" t="inlineStr">
        <is>
          <t>SOURCE-080</t>
        </is>
      </c>
    </row>
    <row r="488" ht="49" customHeight="1">
      <c r="A488" s="15" t="inlineStr">
        <is>
          <t>CAST-474</t>
        </is>
      </c>
      <c r="B488" s="18" t="inlineStr">
        <is>
          <t>FILM-098</t>
        </is>
      </c>
      <c r="C488" s="5" t="inlineStr">
        <is>
          <t>Krodhi</t>
        </is>
      </c>
      <c r="D488" s="17" t="n">
        <v>1981</v>
      </c>
      <c r="E488" s="5" t="inlineStr">
        <is>
          <t>Moushumi Chatterjee</t>
        </is>
      </c>
      <c r="F488" s="5" t="inlineStr">
        <is>
          <t>Aarti</t>
        </is>
      </c>
      <c r="G488" s="5" t="inlineStr">
        <is>
          <t>Cameo</t>
        </is>
      </c>
      <c r="H488" s="5" t="inlineStr">
        <is>
          <t>Medium</t>
        </is>
      </c>
      <c r="I488" s="5" t="inlineStr">
        <is>
          <t>Not documented; billed as a guest appearance, with C. S. Dubey credited as her uncle.</t>
        </is>
      </c>
      <c r="J488" s="5" t="inlineStr">
        <is>
          <t>Not documented.</t>
        </is>
      </c>
      <c r="K488" s="19" t="inlineStr">
        <is>
          <t>Credited as Aarti in a guest appearance, with an uncle of her own in the cast list and no plot in the article to place either.</t>
        </is>
      </c>
      <c r="L488" s="5" t="n"/>
      <c r="M488" s="5" t="inlineStr">
        <is>
          <t>SOURCE-080</t>
        </is>
      </c>
    </row>
    <row r="489" ht="79" customHeight="1">
      <c r="A489" s="15" t="inlineStr">
        <is>
          <t>CAST-475</t>
        </is>
      </c>
      <c r="B489" s="18" t="inlineStr">
        <is>
          <t>FILM-098</t>
        </is>
      </c>
      <c r="C489" s="5" t="inlineStr">
        <is>
          <t>Krodhi</t>
        </is>
      </c>
      <c r="D489" s="17" t="n">
        <v>1981</v>
      </c>
      <c r="E489" s="5" t="inlineStr">
        <is>
          <t>A. K. Hangal</t>
        </is>
      </c>
      <c r="F489" s="5" t="inlineStr">
        <is>
          <t>Mr. Sahni</t>
        </is>
      </c>
      <c r="G489" s="5" t="inlineStr">
        <is>
          <t>Family</t>
        </is>
      </c>
      <c r="H489" s="5" t="inlineStr">
        <is>
          <t>Medium</t>
        </is>
      </c>
      <c r="I489" s="5" t="inlineStr">
        <is>
          <t>Credited with the surname of Kapoor's character, and with Sulochana Latkar as Mrs. Sahni, so presumably his parents; the article does not confirm it.</t>
        </is>
      </c>
      <c r="J489" s="5" t="inlineStr">
        <is>
          <t>Not documented.</t>
        </is>
      </c>
      <c r="K489" s="19" t="inlineStr">
        <is>
          <t>Credited as Mr. Sahni, with Sulochana Latkar as Mrs. Sahni, the family the surname attaches to Kapoor's CBI officer and to Zeenat Aman's Neera.</t>
        </is>
      </c>
      <c r="L489" s="5" t="n"/>
      <c r="M489" s="5" t="inlineStr">
        <is>
          <t>SOURCE-080</t>
        </is>
      </c>
    </row>
    <row r="490" ht="79" customHeight="1">
      <c r="A490" s="15" t="inlineStr">
        <is>
          <t>CAST-476</t>
        </is>
      </c>
      <c r="B490" s="18" t="inlineStr">
        <is>
          <t>FILM-099</t>
        </is>
      </c>
      <c r="C490" s="5" t="inlineStr">
        <is>
          <t>Maan Gaye Ustaad</t>
        </is>
      </c>
      <c r="D490" s="17" t="n">
        <v>1981</v>
      </c>
      <c r="E490" s="5" t="inlineStr">
        <is>
          <t>Hema Malini</t>
        </is>
      </c>
      <c r="F490" s="5" t="inlineStr">
        <is>
          <t>Geeta Singh / Princess Shabnam</t>
        </is>
      </c>
      <c r="G490" s="5" t="inlineStr">
        <is>
          <t>Co-lead</t>
        </is>
      </c>
      <c r="H490" s="5" t="inlineStr">
        <is>
          <t>Major</t>
        </is>
      </c>
      <c r="I490" s="5" t="inlineStr">
        <is>
          <t>A double credit matching Kapoor's own pairing of a commoner and a prince, which implies a symmetrical impersonation plot the article never describes.</t>
        </is>
      </c>
      <c r="J490" s="5" t="inlineStr">
        <is>
          <t>Not documented. Romance presence is left blank for the film and no Romances row was created.</t>
        </is>
      </c>
      <c r="K490" s="19" t="inlineStr">
        <is>
          <t>A double credit as Geeta Singh and Princess Shabnam, opposite Kapoor's Kishan and Prince Daulat Singh. The article carries a cast list and no plot.</t>
        </is>
      </c>
      <c r="L490" s="5" t="n"/>
      <c r="M490" s="5" t="inlineStr">
        <is>
          <t>SOURCE-084</t>
        </is>
      </c>
    </row>
    <row r="491" ht="49" customHeight="1">
      <c r="A491" s="15" t="inlineStr">
        <is>
          <t>CAST-477</t>
        </is>
      </c>
      <c r="B491" s="18" t="inlineStr">
        <is>
          <t>FILM-099</t>
        </is>
      </c>
      <c r="C491" s="5" t="inlineStr">
        <is>
          <t>Maan Gaye Ustaad</t>
        </is>
      </c>
      <c r="D491" s="17" t="n">
        <v>1981</v>
      </c>
      <c r="E491" s="5" t="inlineStr">
        <is>
          <t>Ashok Kumar</t>
        </is>
      </c>
      <c r="F491" s="5" t="inlineStr">
        <is>
          <t>Jailor</t>
        </is>
      </c>
      <c r="G491" s="5" t="inlineStr">
        <is>
          <t>Authority figure</t>
        </is>
      </c>
      <c r="H491" s="5" t="inlineStr">
        <is>
          <t>Major</t>
        </is>
      </c>
      <c r="I491" s="5" t="inlineStr">
        <is>
          <t>First-billed, and by the credit the authority over a prison the plot evidently passes through.</t>
        </is>
      </c>
      <c r="J491" s="5" t="inlineStr">
        <is>
          <t>Not documented.</t>
        </is>
      </c>
      <c r="K491" s="19" t="inlineStr">
        <is>
          <t>Credited as the jailor and billed ahead of Kapoor. With no synopsis the article leaves the part's function unrecorded.</t>
        </is>
      </c>
      <c r="L491" s="5" t="n"/>
      <c r="M491" s="5" t="inlineStr">
        <is>
          <t>SOURCE-084</t>
        </is>
      </c>
    </row>
    <row r="492" ht="34" customHeight="1">
      <c r="A492" s="15" t="inlineStr">
        <is>
          <t>CAST-478</t>
        </is>
      </c>
      <c r="B492" s="18" t="inlineStr">
        <is>
          <t>FILM-099</t>
        </is>
      </c>
      <c r="C492" s="5" t="inlineStr">
        <is>
          <t>Maan Gaye Ustaad</t>
        </is>
      </c>
      <c r="D492" s="17" t="n">
        <v>1981</v>
      </c>
      <c r="E492" s="5" t="inlineStr">
        <is>
          <t>Ajit</t>
        </is>
      </c>
      <c r="F492" s="5" t="inlineStr">
        <is>
          <t>Jaikishan</t>
        </is>
      </c>
      <c r="G492" s="5" t="inlineStr">
        <is>
          <t>Antagonist</t>
        </is>
      </c>
      <c r="H492" s="5" t="inlineStr">
        <is>
          <t>Major</t>
        </is>
      </c>
      <c r="I492" s="5" t="inlineStr">
        <is>
          <t>Not documented; Bindu is separately credited as his assistant.</t>
        </is>
      </c>
      <c r="J492" s="5" t="inlineStr">
        <is>
          <t>Not documented.</t>
        </is>
      </c>
      <c r="K492" s="19" t="inlineStr">
        <is>
          <t>Credited as Jaikishan, also styled J.K., with Bindu as his assistant, in a film whose article gives no plot.</t>
        </is>
      </c>
      <c r="L492" s="5" t="n"/>
      <c r="M492" s="5" t="inlineStr">
        <is>
          <t>SOURCE-084</t>
        </is>
      </c>
    </row>
    <row r="493" ht="34" customHeight="1">
      <c r="A493" s="15" t="inlineStr">
        <is>
          <t>CAST-479</t>
        </is>
      </c>
      <c r="B493" s="18" t="inlineStr">
        <is>
          <t>FILM-099</t>
        </is>
      </c>
      <c r="C493" s="5" t="inlineStr">
        <is>
          <t>Maan Gaye Ustaad</t>
        </is>
      </c>
      <c r="D493" s="17" t="n">
        <v>1981</v>
      </c>
      <c r="E493" s="5" t="inlineStr">
        <is>
          <t>Amjad Khan</t>
        </is>
      </c>
      <c r="F493" s="5" t="inlineStr">
        <is>
          <t>Shera</t>
        </is>
      </c>
      <c r="G493" s="5" t="inlineStr">
        <is>
          <t>Antagonist</t>
        </is>
      </c>
      <c r="H493" s="5" t="inlineStr">
        <is>
          <t>Major</t>
        </is>
      </c>
      <c r="I493" s="5" t="inlineStr">
        <is>
          <t>Not documented.</t>
        </is>
      </c>
      <c r="J493" s="5" t="inlineStr">
        <is>
          <t>Not documented.</t>
        </is>
      </c>
      <c r="K493" s="19" t="inlineStr">
        <is>
          <t>Credited as Shera. The article has no plot section and the function is taken from the actor's standing casting.</t>
        </is>
      </c>
      <c r="L493" s="5" t="n"/>
      <c r="M493" s="5" t="inlineStr">
        <is>
          <t>SOURCE-084</t>
        </is>
      </c>
    </row>
    <row r="494" ht="49" customHeight="1">
      <c r="A494" s="15" t="inlineStr">
        <is>
          <t>CAST-480</t>
        </is>
      </c>
      <c r="B494" s="18" t="inlineStr">
        <is>
          <t>FILM-099</t>
        </is>
      </c>
      <c r="C494" s="5" t="inlineStr">
        <is>
          <t>Maan Gaye Ustaad</t>
        </is>
      </c>
      <c r="D494" s="17" t="n">
        <v>1981</v>
      </c>
      <c r="E494" s="5" t="inlineStr">
        <is>
          <t>Pran</t>
        </is>
      </c>
      <c r="F494" s="5" t="inlineStr">
        <is>
          <t>Chandan Singh</t>
        </is>
      </c>
      <c r="G494" s="5" t="inlineStr">
        <is>
          <t>Supporting</t>
        </is>
      </c>
      <c r="H494" s="5" t="inlineStr">
        <is>
          <t>Major</t>
        </is>
      </c>
      <c r="I494" s="5" t="inlineStr">
        <is>
          <t>Not documented; the Singh surname is shared with Kapoor's princely identity.</t>
        </is>
      </c>
      <c r="J494" s="5" t="inlineStr">
        <is>
          <t>Not documented.</t>
        </is>
      </c>
      <c r="K494" s="19" t="inlineStr">
        <is>
          <t>Credited as Chandan Singh, sharing a surname with Kapoor's Prince Daulat Singh in a film the article does not summarise.</t>
        </is>
      </c>
      <c r="L494" s="5" t="n"/>
      <c r="M494" s="5" t="inlineStr">
        <is>
          <t>SOURCE-084</t>
        </is>
      </c>
    </row>
    <row r="495" ht="34" customHeight="1">
      <c r="A495" s="15" t="inlineStr">
        <is>
          <t>CAST-481</t>
        </is>
      </c>
      <c r="B495" s="18" t="inlineStr">
        <is>
          <t>FILM-099</t>
        </is>
      </c>
      <c r="C495" s="5" t="inlineStr">
        <is>
          <t>Maan Gaye Ustaad</t>
        </is>
      </c>
      <c r="D495" s="17" t="n">
        <v>1981</v>
      </c>
      <c r="E495" s="5" t="inlineStr">
        <is>
          <t>Om Prakash</t>
        </is>
      </c>
      <c r="F495" s="5" t="inlineStr">
        <is>
          <t>Abba</t>
        </is>
      </c>
      <c r="G495" s="5" t="inlineStr">
        <is>
          <t>Comic support</t>
        </is>
      </c>
      <c r="H495" s="5" t="inlineStr">
        <is>
          <t>Medium</t>
        </is>
      </c>
      <c r="I495" s="5" t="inlineStr">
        <is>
          <t>Not documented.</t>
        </is>
      </c>
      <c r="J495" s="5" t="inlineStr">
        <is>
          <t>Not documented.</t>
        </is>
      </c>
      <c r="K495" s="19" t="inlineStr">
        <is>
          <t>Credited as Abba, in the comic register, in a caper whose plot the article does not record.</t>
        </is>
      </c>
      <c r="L495" s="5" t="n"/>
      <c r="M495" s="5" t="inlineStr">
        <is>
          <t>SOURCE-084</t>
        </is>
      </c>
    </row>
    <row r="496" ht="34" customHeight="1">
      <c r="A496" s="15" t="inlineStr">
        <is>
          <t>CAST-482</t>
        </is>
      </c>
      <c r="B496" s="18" t="inlineStr">
        <is>
          <t>FILM-099</t>
        </is>
      </c>
      <c r="C496" s="5" t="inlineStr">
        <is>
          <t>Maan Gaye Ustaad</t>
        </is>
      </c>
      <c r="D496" s="17" t="n">
        <v>1981</v>
      </c>
      <c r="E496" s="5" t="inlineStr">
        <is>
          <t>Bindu</t>
        </is>
      </c>
      <c r="F496" s="5" t="inlineStr">
        <is>
          <t>Jaikishan's Assistant</t>
        </is>
      </c>
      <c r="G496" s="5" t="inlineStr">
        <is>
          <t>Supporting</t>
        </is>
      </c>
      <c r="H496" s="5" t="inlineStr">
        <is>
          <t>Medium</t>
        </is>
      </c>
      <c r="I496" s="5" t="inlineStr">
        <is>
          <t>Not documented beyond her attachment to the antagonist.</t>
        </is>
      </c>
      <c r="J496" s="5" t="inlineStr">
        <is>
          <t>Not documented.</t>
        </is>
      </c>
      <c r="K496" s="19" t="inlineStr">
        <is>
          <t>Credited as the assistant to Ajit's Jaikishan, on the antagonist's side of a plot the article leaves undescribed.</t>
        </is>
      </c>
      <c r="L496" s="5" t="n"/>
      <c r="M496" s="5" t="inlineStr">
        <is>
          <t>SOURCE-084</t>
        </is>
      </c>
    </row>
    <row r="497" ht="79" customHeight="1">
      <c r="A497" s="15" t="inlineStr">
        <is>
          <t>CAST-483</t>
        </is>
      </c>
      <c r="B497" s="18" t="inlineStr">
        <is>
          <t>FILM-100</t>
        </is>
      </c>
      <c r="C497" s="5" t="inlineStr">
        <is>
          <t>Kalyug</t>
        </is>
      </c>
      <c r="D497" s="17" t="n">
        <v>1981</v>
      </c>
      <c r="E497" s="5" t="inlineStr">
        <is>
          <t>Rekha</t>
        </is>
      </c>
      <c r="F497" s="5" t="inlineStr">
        <is>
          <t>Supriya</t>
        </is>
      </c>
      <c r="G497" s="5" t="inlineStr">
        <is>
          <t>Supporting</t>
        </is>
      </c>
      <c r="H497" s="5" t="inlineStr">
        <is>
          <t>Major</t>
        </is>
      </c>
      <c r="I497" s="5" t="inlineStr">
        <is>
          <t>The Draupadi of the transposition, married into the family Kapoor's Karan serves against; the two are on opposite sides of the feud.</t>
        </is>
      </c>
      <c r="J497" s="5" t="inlineStr">
        <is>
          <t>Romance presence is recorded as Minor for the film and no pairing row was created: the Karna figure's isolation is the point, and Supriya belongs to the brothers.</t>
        </is>
      </c>
      <c r="K497" s="19" t="inlineStr">
        <is>
          <t>The Draupadi of Benegal's modern transposition, wife within the Puranchand family of industrialists, in a business feud that reproduces the Mahabharata's war between cousins.</t>
        </is>
      </c>
      <c r="L497" s="5" t="n"/>
      <c r="M497" s="5" t="inlineStr">
        <is>
          <t>SOURCE-081</t>
        </is>
      </c>
    </row>
    <row r="498" ht="49" customHeight="1">
      <c r="A498" s="15" t="inlineStr">
        <is>
          <t>CAST-484</t>
        </is>
      </c>
      <c r="B498" s="18" t="inlineStr">
        <is>
          <t>FILM-100</t>
        </is>
      </c>
      <c r="C498" s="5" t="inlineStr">
        <is>
          <t>Kalyug</t>
        </is>
      </c>
      <c r="D498" s="17" t="n">
        <v>1981</v>
      </c>
      <c r="E498" s="5" t="inlineStr">
        <is>
          <t>Victor Banerjee</t>
        </is>
      </c>
      <c r="F498" s="5" t="inlineStr">
        <is>
          <t>Dhan Raj</t>
        </is>
      </c>
      <c r="G498" s="5" t="inlineStr">
        <is>
          <t>Family</t>
        </is>
      </c>
      <c r="H498" s="5" t="inlineStr">
        <is>
          <t>Major</t>
        </is>
      </c>
      <c r="I498" s="5" t="inlineStr">
        <is>
          <t>The Duryodhana figure, the cousin whose side Karan takes and whose patronage defines him.</t>
        </is>
      </c>
      <c r="J498" s="5" t="inlineStr">
        <is>
          <t>No part in it.</t>
        </is>
      </c>
      <c r="K498" s="19" t="inlineStr">
        <is>
          <t>Khubchand's elder son and the Duryodhana of the transposition, whose men accidentally kill his cousin's young son and whose faction Karan serves.</t>
        </is>
      </c>
      <c r="L498" s="5" t="n"/>
      <c r="M498" s="5" t="inlineStr">
        <is>
          <t>SOURCE-081</t>
        </is>
      </c>
    </row>
    <row r="499" ht="49" customHeight="1">
      <c r="A499" s="15" t="inlineStr">
        <is>
          <t>CAST-485</t>
        </is>
      </c>
      <c r="B499" s="18" t="inlineStr">
        <is>
          <t>FILM-100</t>
        </is>
      </c>
      <c r="C499" s="5" t="inlineStr">
        <is>
          <t>Kalyug</t>
        </is>
      </c>
      <c r="D499" s="17" t="n">
        <v>1981</v>
      </c>
      <c r="E499" s="5" t="inlineStr">
        <is>
          <t>Anant Nag</t>
        </is>
      </c>
      <c r="F499" s="5" t="inlineStr">
        <is>
          <t>Bharat Raj</t>
        </is>
      </c>
      <c r="G499" s="5" t="inlineStr">
        <is>
          <t>Antagonist</t>
        </is>
      </c>
      <c r="H499" s="5" t="inlineStr">
        <is>
          <t>Major</t>
        </is>
      </c>
      <c r="I499" s="5" t="inlineStr">
        <is>
          <t>The Arjuna figure, and the man who murders Kapoor's Karan in revenge for the death of his brother's child.</t>
        </is>
      </c>
      <c r="J499" s="5" t="inlineStr">
        <is>
          <t>No part in it.</t>
        </is>
      </c>
      <c r="K499" s="19" t="inlineStr">
        <is>
          <t>The Arjuna of the transposition, one of Puranchand's three sons, who murders Karan in reprisal for the killing of Balraj's young son.</t>
        </is>
      </c>
      <c r="L499" s="5" t="n"/>
      <c r="M499" s="5" t="inlineStr">
        <is>
          <t>SOURCE-081</t>
        </is>
      </c>
    </row>
    <row r="500" ht="64" customHeight="1">
      <c r="A500" s="15" t="inlineStr">
        <is>
          <t>CAST-486</t>
        </is>
      </c>
      <c r="B500" s="18" t="inlineStr">
        <is>
          <t>FILM-100</t>
        </is>
      </c>
      <c r="C500" s="5" t="inlineStr">
        <is>
          <t>Kalyug</t>
        </is>
      </c>
      <c r="D500" s="17" t="n">
        <v>1981</v>
      </c>
      <c r="E500" s="5" t="inlineStr">
        <is>
          <t>A. K. Hangal</t>
        </is>
      </c>
      <c r="F500" s="5" t="inlineStr">
        <is>
          <t>Bhisham Chand</t>
        </is>
      </c>
      <c r="G500" s="5" t="inlineStr">
        <is>
          <t>Mentor</t>
        </is>
      </c>
      <c r="H500" s="5" t="inlineStr">
        <is>
          <t>Major</t>
        </is>
      </c>
      <c r="I500" s="5" t="inlineStr">
        <is>
          <t>The lifelong bachelor who brought Karan up as an orphan, and the one figure trying to hold both families together.</t>
        </is>
      </c>
      <c r="J500" s="5" t="inlineStr">
        <is>
          <t>No part in it.</t>
        </is>
      </c>
      <c r="K500" s="19" t="inlineStr">
        <is>
          <t>The Bhishma of the transposition, a lifelong bachelor who raised his late brother's sons and the orphan Karan, gave the family business its foundation, and fails to mediate the feud that destroys both houses.</t>
        </is>
      </c>
      <c r="L500" s="5" t="n"/>
      <c r="M500" s="5" t="inlineStr">
        <is>
          <t>SOURCE-081</t>
        </is>
      </c>
    </row>
    <row r="501" ht="49" customHeight="1">
      <c r="A501" s="15" t="inlineStr">
        <is>
          <t>CAST-487</t>
        </is>
      </c>
      <c r="B501" s="18" t="inlineStr">
        <is>
          <t>FILM-100</t>
        </is>
      </c>
      <c r="C501" s="5" t="inlineStr">
        <is>
          <t>Kalyug</t>
        </is>
      </c>
      <c r="D501" s="17" t="n">
        <v>1981</v>
      </c>
      <c r="E501" s="5" t="inlineStr">
        <is>
          <t>Amrish Puri</t>
        </is>
      </c>
      <c r="F501" s="5" t="inlineStr">
        <is>
          <t>Kishan Chand</t>
        </is>
      </c>
      <c r="G501" s="5" t="inlineStr">
        <is>
          <t>Supporting</t>
        </is>
      </c>
      <c r="H501" s="5" t="inlineStr">
        <is>
          <t>Major</t>
        </is>
      </c>
      <c r="I501" s="5" t="inlineStr">
        <is>
          <t>The Krishna figure, moving between the two houses as the feud runs its course.</t>
        </is>
      </c>
      <c r="J501" s="5" t="inlineStr">
        <is>
          <t>No part in it.</t>
        </is>
      </c>
      <c r="K501" s="19" t="inlineStr">
        <is>
          <t>The Krishna of the transposition, the figure whose interventions shape a commercial war between two branches of one industrial family.</t>
        </is>
      </c>
      <c r="L501" s="5" t="n"/>
      <c r="M501" s="5" t="inlineStr">
        <is>
          <t>SOURCE-081</t>
        </is>
      </c>
    </row>
    <row r="502" ht="49" customHeight="1">
      <c r="A502" s="15" t="inlineStr">
        <is>
          <t>CAST-488</t>
        </is>
      </c>
      <c r="B502" s="18" t="inlineStr">
        <is>
          <t>FILM-100</t>
        </is>
      </c>
      <c r="C502" s="5" t="inlineStr">
        <is>
          <t>Kalyug</t>
        </is>
      </c>
      <c r="D502" s="17" t="n">
        <v>1981</v>
      </c>
      <c r="E502" s="5" t="inlineStr">
        <is>
          <t>Raj Babbar</t>
        </is>
      </c>
      <c r="F502" s="5" t="inlineStr">
        <is>
          <t>Dharam Raj</t>
        </is>
      </c>
      <c r="G502" s="5" t="inlineStr">
        <is>
          <t>Supporting</t>
        </is>
      </c>
      <c r="H502" s="5" t="inlineStr">
        <is>
          <t>Major</t>
        </is>
      </c>
      <c r="I502" s="5" t="inlineStr">
        <is>
          <t>The Yudhishthira figure, eldest of the three brothers on the side opposing Karan's patrons.</t>
        </is>
      </c>
      <c r="J502" s="5" t="inlineStr">
        <is>
          <t>No part in it.</t>
        </is>
      </c>
      <c r="K502" s="19" t="inlineStr">
        <is>
          <t>The Yudhishthira of the transposition, eldest of Puranchand's sons, in the family whose rivalry with their cousins brings both houses down.</t>
        </is>
      </c>
      <c r="L502" s="5" t="n"/>
      <c r="M502" s="5" t="inlineStr">
        <is>
          <t>SOURCE-081</t>
        </is>
      </c>
    </row>
    <row r="503" ht="49" customHeight="1">
      <c r="A503" s="15" t="inlineStr">
        <is>
          <t>CAST-489</t>
        </is>
      </c>
      <c r="B503" s="18" t="inlineStr">
        <is>
          <t>FILM-100</t>
        </is>
      </c>
      <c r="C503" s="5" t="inlineStr">
        <is>
          <t>Kalyug</t>
        </is>
      </c>
      <c r="D503" s="17" t="n">
        <v>1981</v>
      </c>
      <c r="E503" s="5" t="inlineStr">
        <is>
          <t>Kulbhushan Kharbanda</t>
        </is>
      </c>
      <c r="F503" s="5" t="inlineStr">
        <is>
          <t>Bal Raj</t>
        </is>
      </c>
      <c r="G503" s="5" t="inlineStr">
        <is>
          <t>Supporting</t>
        </is>
      </c>
      <c r="H503" s="5" t="inlineStr">
        <is>
          <t>Major</t>
        </is>
      </c>
      <c r="I503" s="5" t="inlineStr">
        <is>
          <t>The Bhima figure, whose young son's death triggers the reprisal that kills Karan.</t>
        </is>
      </c>
      <c r="J503" s="5" t="inlineStr">
        <is>
          <t>No part in it.</t>
        </is>
      </c>
      <c r="K503" s="19" t="inlineStr">
        <is>
          <t>The Bhima of the transposition, credited with Reema Lagoo as his wife, whose small son is accidentally killed by Dhanraj's men.</t>
        </is>
      </c>
      <c r="L503" s="5" t="n"/>
      <c r="M503" s="5" t="inlineStr">
        <is>
          <t>SOURCE-081</t>
        </is>
      </c>
    </row>
    <row r="504" ht="79" customHeight="1">
      <c r="A504" s="15" t="inlineStr">
        <is>
          <t>CAST-490</t>
        </is>
      </c>
      <c r="B504" s="18" t="inlineStr">
        <is>
          <t>FILM-100</t>
        </is>
      </c>
      <c r="C504" s="5" t="inlineStr">
        <is>
          <t>Kalyug</t>
        </is>
      </c>
      <c r="D504" s="17" t="n">
        <v>1981</v>
      </c>
      <c r="E504" s="5" t="inlineStr">
        <is>
          <t>Sushma Seth</t>
        </is>
      </c>
      <c r="F504" s="5" t="inlineStr">
        <is>
          <t>Savitri</t>
        </is>
      </c>
      <c r="G504" s="5" t="inlineStr">
        <is>
          <t>Family</t>
        </is>
      </c>
      <c r="H504" s="5" t="inlineStr">
        <is>
          <t>Major</t>
        </is>
      </c>
      <c r="I504" s="5" t="inlineStr">
        <is>
          <t>The Kunti figure, and so in the source the mother of the man Karan is; the skeletons the film brings out of the family cupboard turn on such facts.</t>
        </is>
      </c>
      <c r="J504" s="5" t="inlineStr">
        <is>
          <t>No part in it.</t>
        </is>
      </c>
      <c r="K504" s="19" t="inlineStr">
        <is>
          <t>The Kunti of the transposition, in a film whose disclosures from within the family add to the hatred between the two houses.</t>
        </is>
      </c>
      <c r="L504" s="5" t="n"/>
      <c r="M504" s="5" t="inlineStr">
        <is>
          <t>SOURCE-081</t>
        </is>
      </c>
    </row>
    <row r="505" ht="64" customHeight="1">
      <c r="A505" s="15" t="inlineStr">
        <is>
          <t>CAST-491</t>
        </is>
      </c>
      <c r="B505" s="18" t="inlineStr">
        <is>
          <t>FILM-100</t>
        </is>
      </c>
      <c r="C505" s="5" t="inlineStr">
        <is>
          <t>Kalyug</t>
        </is>
      </c>
      <c r="D505" s="17" t="n">
        <v>1981</v>
      </c>
      <c r="E505" s="5" t="inlineStr">
        <is>
          <t>Om Puri</t>
        </is>
      </c>
      <c r="F505" s="5" t="inlineStr">
        <is>
          <t>Bhavani Pandey</t>
        </is>
      </c>
      <c r="G505" s="5" t="inlineStr">
        <is>
          <t>Supporting</t>
        </is>
      </c>
      <c r="H505" s="5" t="inlineStr">
        <is>
          <t>Medium</t>
        </is>
      </c>
      <c r="I505" s="5" t="inlineStr">
        <is>
          <t>One of the few characters without a named epic counterpart in the cast list, working inside the industrial world the feud is fought in.</t>
        </is>
      </c>
      <c r="J505" s="5" t="inlineStr">
        <is>
          <t>No part in it.</t>
        </is>
      </c>
      <c r="K505" s="19" t="inlineStr">
        <is>
          <t>Credited as Bhavani Pandey, and among the few parts the cast list does not pair with a Mahabharata name.</t>
        </is>
      </c>
      <c r="L505" s="5" t="n"/>
      <c r="M505" s="5" t="inlineStr">
        <is>
          <t>SOURCE-081</t>
        </is>
      </c>
    </row>
    <row r="506" ht="79" customHeight="1">
      <c r="A506" s="15" t="inlineStr">
        <is>
          <t>CAST-492</t>
        </is>
      </c>
      <c r="B506" s="18" t="inlineStr">
        <is>
          <t>FILM-101</t>
        </is>
      </c>
      <c r="C506" s="5" t="inlineStr">
        <is>
          <t>Silsila</t>
        </is>
      </c>
      <c r="D506" s="17" t="n">
        <v>1981</v>
      </c>
      <c r="E506" s="5" t="inlineStr">
        <is>
          <t>Amitabh Bachchan</t>
        </is>
      </c>
      <c r="F506" s="5" t="inlineStr">
        <is>
          <t>Amit Malhotra</t>
        </is>
      </c>
      <c r="G506" s="5" t="inlineStr">
        <is>
          <t>Family</t>
        </is>
      </c>
      <c r="H506" s="5" t="inlineStr">
        <is>
          <t>Major</t>
        </is>
      </c>
      <c r="I506" s="5" t="inlineStr">
        <is>
          <t>His younger brother, who marries his pregnant fiancee after his death to shield her, and then spends the film in love with someone else.</t>
        </is>
      </c>
      <c r="J506" s="5" t="inlineStr">
        <is>
          <t>Inherits Kapoor's relationship and cannot sustain it; the whole film is the cost of that substitution.</t>
        </is>
      </c>
      <c r="K506" s="19" t="inlineStr">
        <is>
          <t>A Delhi playwright, orphaned young and close to his older brother, who gives up Chandni to marry the pregnant Shobha after Shekhar's death, settles into a passionless marriage after her miscarriage, and resumes the affair with Chandni years later.</t>
        </is>
      </c>
      <c r="L506" s="5" t="n"/>
      <c r="M506" s="5" t="inlineStr">
        <is>
          <t>SOURCE-082</t>
        </is>
      </c>
    </row>
    <row r="507" ht="64" customHeight="1">
      <c r="A507" s="15" t="inlineStr">
        <is>
          <t>CAST-493</t>
        </is>
      </c>
      <c r="B507" s="18" t="inlineStr">
        <is>
          <t>FILM-101</t>
        </is>
      </c>
      <c r="C507" s="5" t="inlineStr">
        <is>
          <t>Silsila</t>
        </is>
      </c>
      <c r="D507" s="17" t="n">
        <v>1981</v>
      </c>
      <c r="E507" s="5" t="inlineStr">
        <is>
          <t>Jaya Bachchan</t>
        </is>
      </c>
      <c r="F507" s="5" t="inlineStr">
        <is>
          <t>Shobha Malhotra</t>
        </is>
      </c>
      <c r="G507" s="5" t="inlineStr">
        <is>
          <t>Co-lead</t>
        </is>
      </c>
      <c r="H507" s="5" t="inlineStr">
        <is>
          <t>Major</t>
        </is>
      </c>
      <c r="I507" s="5" t="inlineStr">
        <is>
          <t>His fiancee, carrying his child when he is killed in the 1971 war, and afterwards married to his brother out of obligation.</t>
        </is>
      </c>
      <c r="J507" s="5" t="inlineStr">
        <is>
          <t>The pairing recorded in the Romances sheet as tragic lovers, cut off by his death and then displaced into a second marriage she did not choose.</t>
        </is>
      </c>
      <c r="K507" s="19" t="inlineStr">
        <is>
          <t>Shekhar's fiancee, revealed to be pregnant after his death in the Indo-Pakistani war, married to his brother to spare her the stigma, who loses the child in a car accident and comes genuinely to love the husband she was given.</t>
        </is>
      </c>
      <c r="L507" s="5" t="n"/>
      <c r="M507" s="5" t="inlineStr">
        <is>
          <t>SOURCE-082</t>
        </is>
      </c>
    </row>
    <row r="508" ht="64" customHeight="1">
      <c r="A508" s="15" t="inlineStr">
        <is>
          <t>CAST-494</t>
        </is>
      </c>
      <c r="B508" s="18" t="inlineStr">
        <is>
          <t>FILM-101</t>
        </is>
      </c>
      <c r="C508" s="5" t="inlineStr">
        <is>
          <t>Silsila</t>
        </is>
      </c>
      <c r="D508" s="17" t="n">
        <v>1981</v>
      </c>
      <c r="E508" s="5" t="inlineStr">
        <is>
          <t>Rekha</t>
        </is>
      </c>
      <c r="F508" s="5" t="inlineStr">
        <is>
          <t>Chandni Anand</t>
        </is>
      </c>
      <c r="G508" s="5" t="inlineStr">
        <is>
          <t>Supporting</t>
        </is>
      </c>
      <c r="H508" s="5" t="inlineStr">
        <is>
          <t>Major</t>
        </is>
      </c>
      <c r="I508" s="5" t="inlineStr">
        <is>
          <t>No connection to Kapoor's Shekhar, who dies before the two are introduced; her existence is what his death costs his brother.</t>
        </is>
      </c>
      <c r="J508" s="5" t="inlineStr">
        <is>
          <t>The romance displaced by Shekhar's death and resumed as an affair years afterwards.</t>
        </is>
      </c>
      <c r="K508" s="19" t="inlineStr">
        <is>
          <t>The woman Amit loves and hopes to marry, ended by letter when he marries his brother's fiancee, later married to Dr. Anand, and drawn back into an affair with Amit.</t>
        </is>
      </c>
      <c r="L508" s="5" t="n"/>
      <c r="M508" s="5" t="inlineStr">
        <is>
          <t>SOURCE-082</t>
        </is>
      </c>
    </row>
    <row r="509" ht="49" customHeight="1">
      <c r="A509" s="15" t="inlineStr">
        <is>
          <t>CAST-495</t>
        </is>
      </c>
      <c r="B509" s="18" t="inlineStr">
        <is>
          <t>FILM-101</t>
        </is>
      </c>
      <c r="C509" s="5" t="inlineStr">
        <is>
          <t>Silsila</t>
        </is>
      </c>
      <c r="D509" s="17" t="n">
        <v>1981</v>
      </c>
      <c r="E509" s="5" t="inlineStr">
        <is>
          <t>Sanjeev Kumar</t>
        </is>
      </c>
      <c r="F509" s="5" t="inlineStr">
        <is>
          <t>Dr. V. K. Anand</t>
        </is>
      </c>
      <c r="G509" s="5" t="inlineStr">
        <is>
          <t>Supporting</t>
        </is>
      </c>
      <c r="H509" s="5" t="inlineStr">
        <is>
          <t>Major</t>
        </is>
      </c>
      <c r="I509" s="5" t="inlineStr">
        <is>
          <t>No connection to Kapoor's character; he belongs to the second generation of the story.</t>
        </is>
      </c>
      <c r="J509" s="5" t="inlineStr">
        <is>
          <t>The husband whose marriage the resumed affair betrays, and the doctor who treated Shobha's miscarriage.</t>
        </is>
      </c>
      <c r="K509" s="19" t="inlineStr">
        <is>
          <t>The doctor who treats Shobha after the accident and is revealed to have married Chandni, befriended by Amit as a route back to his wife.</t>
        </is>
      </c>
      <c r="L509" s="5" t="n"/>
      <c r="M509" s="5" t="inlineStr">
        <is>
          <t>SOURCE-082</t>
        </is>
      </c>
    </row>
    <row r="510" ht="49" customHeight="1">
      <c r="A510" s="15" t="inlineStr">
        <is>
          <t>CAST-496</t>
        </is>
      </c>
      <c r="B510" s="18" t="inlineStr">
        <is>
          <t>FILM-101</t>
        </is>
      </c>
      <c r="C510" s="5" t="inlineStr">
        <is>
          <t>Silsila</t>
        </is>
      </c>
      <c r="D510" s="17" t="n">
        <v>1981</v>
      </c>
      <c r="E510" s="5" t="inlineStr">
        <is>
          <t>Kulbhushan Kharbanda</t>
        </is>
      </c>
      <c r="F510" s="5" t="inlineStr">
        <is>
          <t>Police officer Kulbhushan</t>
        </is>
      </c>
      <c r="G510" s="5" t="inlineStr">
        <is>
          <t>Cameo</t>
        </is>
      </c>
      <c r="H510" s="5" t="inlineStr">
        <is>
          <t>Medium</t>
        </is>
      </c>
      <c r="I510" s="5" t="inlineStr">
        <is>
          <t>No connection to Shekhar; billed as a guest appearance.</t>
        </is>
      </c>
      <c r="J510" s="5" t="inlineStr">
        <is>
          <t>Threatens to expose the affair, being both the investigating officer and Shobha's protective cousin.</t>
        </is>
      </c>
      <c r="K510" s="19" t="inlineStr">
        <is>
          <t>Shobha's cousin and the policeman investigating the accident Amit and Chandni cause, protective of her and intending to expose the affair. A guest appearance.</t>
        </is>
      </c>
      <c r="L510" s="5" t="n"/>
      <c r="M510" s="5" t="inlineStr">
        <is>
          <t>SOURCE-082</t>
        </is>
      </c>
    </row>
    <row r="511" ht="49" customHeight="1">
      <c r="A511" s="15" t="inlineStr">
        <is>
          <t>CAST-497</t>
        </is>
      </c>
      <c r="B511" s="18" t="inlineStr">
        <is>
          <t>FILM-101</t>
        </is>
      </c>
      <c r="C511" s="5" t="inlineStr">
        <is>
          <t>Silsila</t>
        </is>
      </c>
      <c r="D511" s="17" t="n">
        <v>1981</v>
      </c>
      <c r="E511" s="5" t="inlineStr">
        <is>
          <t>Sudha Chopra</t>
        </is>
      </c>
      <c r="F511" s="5" t="inlineStr">
        <is>
          <t>Shobha's mother</t>
        </is>
      </c>
      <c r="G511" s="5" t="inlineStr">
        <is>
          <t>Family</t>
        </is>
      </c>
      <c r="H511" s="5" t="inlineStr">
        <is>
          <t>Minor</t>
        </is>
      </c>
      <c r="I511" s="5" t="inlineStr">
        <is>
          <t>Mother of his fiancee, and part of the social pressure that makes the substitute marriage necessary.</t>
        </is>
      </c>
      <c r="J511" s="5" t="inlineStr">
        <is>
          <t>The social claim that the unwed pregnancy would have fallen on.</t>
        </is>
      </c>
      <c r="K511" s="19" t="inlineStr">
        <is>
          <t>Credited as Shobha's mother, on the family side of the scandal Amit's marriage is designed to prevent.</t>
        </is>
      </c>
      <c r="L511" s="5" t="n"/>
      <c r="M511" s="5" t="inlineStr">
        <is>
          <t>SOURCE-082</t>
        </is>
      </c>
    </row>
    <row r="512" ht="79" customHeight="1">
      <c r="A512" s="15" t="inlineStr">
        <is>
          <t>CAST-498</t>
        </is>
      </c>
      <c r="B512" s="18" t="inlineStr">
        <is>
          <t>FILM-102</t>
        </is>
      </c>
      <c r="C512" s="5" t="inlineStr">
        <is>
          <t>Bezubaan</t>
        </is>
      </c>
      <c r="D512" s="17" t="n">
        <v>1982</v>
      </c>
      <c r="E512" s="5" t="inlineStr">
        <is>
          <t>Reena Roy</t>
        </is>
      </c>
      <c r="F512" s="5" t="inlineStr">
        <is>
          <t>Kalpana</t>
        </is>
      </c>
      <c r="G512" s="5" t="inlineStr">
        <is>
          <t>Co-lead</t>
        </is>
      </c>
      <c r="H512" s="5" t="inlineStr">
        <is>
          <t>Major</t>
        </is>
      </c>
      <c r="I512" s="5" t="inlineStr">
        <is>
          <t>His wife, married with a concealed past, and blackmailed over it through most of the marriage before telling him herself.</t>
        </is>
      </c>
      <c r="J512" s="5" t="inlineStr">
        <is>
          <t>The pairing recorded in the Romances sheet as a marriage under strain, with the strain wholly imported from before it.</t>
        </is>
      </c>
      <c r="K512" s="19" t="inlineStr">
        <is>
          <t>A hostel resident who falls in love with Raman, becomes pregnant, attempts suicide, is talked out of it by her roommate, marries the industrialist Kumar, is blackmailed by her friend's husband over photographs, and finally tells her husband everything.</t>
        </is>
      </c>
      <c r="L512" s="5" t="n"/>
      <c r="M512" s="5" t="inlineStr">
        <is>
          <t>SOURCE-089</t>
        </is>
      </c>
    </row>
    <row r="513" ht="64" customHeight="1">
      <c r="A513" s="15" t="inlineStr">
        <is>
          <t>CAST-499</t>
        </is>
      </c>
      <c r="B513" s="18" t="inlineStr">
        <is>
          <t>FILM-102</t>
        </is>
      </c>
      <c r="C513" s="5" t="inlineStr">
        <is>
          <t>Bezubaan</t>
        </is>
      </c>
      <c r="D513" s="17" t="n">
        <v>1982</v>
      </c>
      <c r="E513" s="5" t="inlineStr">
        <is>
          <t>Naseeruddin Shah</t>
        </is>
      </c>
      <c r="F513" s="5" t="inlineStr">
        <is>
          <t>Shivnath</t>
        </is>
      </c>
      <c r="G513" s="5" t="inlineStr">
        <is>
          <t>Antagonist</t>
        </is>
      </c>
      <c r="H513" s="5" t="inlineStr">
        <is>
          <t>Major</t>
        </is>
      </c>
      <c r="I513" s="5" t="inlineStr">
        <is>
          <t>The blackmailer of his wife, and the husband of her closest friend, which is what makes the extortion possible.</t>
        </is>
      </c>
      <c r="J513" s="5" t="inlineStr">
        <is>
          <t>The external pressure on the marriage, and the film's own moral problem, since he ends by feeling guilt rather than being punished.</t>
        </is>
      </c>
      <c r="K513" s="19" t="inlineStr">
        <is>
          <t>A struggling photographer who marries Kalpana's roommate Revati and then blackmails Kalpana with photographs of her and Raman, and who is left feeling guilty for it once the truth comes out.</t>
        </is>
      </c>
      <c r="L513" s="5" t="n"/>
      <c r="M513" s="5" t="inlineStr">
        <is>
          <t>SOURCE-089</t>
        </is>
      </c>
    </row>
    <row r="514" ht="64" customHeight="1">
      <c r="A514" s="15" t="inlineStr">
        <is>
          <t>CAST-500</t>
        </is>
      </c>
      <c r="B514" s="18" t="inlineStr">
        <is>
          <t>FILM-102</t>
        </is>
      </c>
      <c r="C514" s="5" t="inlineStr">
        <is>
          <t>Bezubaan</t>
        </is>
      </c>
      <c r="D514" s="17" t="n">
        <v>1982</v>
      </c>
      <c r="E514" s="5" t="inlineStr">
        <is>
          <t>Raj Kiran</t>
        </is>
      </c>
      <c r="F514" s="5" t="inlineStr">
        <is>
          <t>Raman</t>
        </is>
      </c>
      <c r="G514" s="5" t="inlineStr">
        <is>
          <t>Romantic rival</t>
        </is>
      </c>
      <c r="H514" s="5" t="inlineStr">
        <is>
          <t>Major</t>
        </is>
      </c>
      <c r="I514" s="5" t="inlineStr">
        <is>
          <t>The man from his wife's past, whose photographs are the blackmail material, and who later helps her after an accident as a taxi driver.</t>
        </is>
      </c>
      <c r="J514" s="5" t="inlineStr">
        <is>
          <t>The prior attachment, and by the end a reduced figure rather than a threat.</t>
        </is>
      </c>
      <c r="K514" s="19" t="inlineStr">
        <is>
          <t>The man Kalpana loved and was made pregnant by, son of Seth Kalidas, and years later a taxi driver who helps her when she is injured in an accident.</t>
        </is>
      </c>
      <c r="L514" s="5" t="n"/>
      <c r="M514" s="5" t="inlineStr">
        <is>
          <t>SOURCE-089</t>
        </is>
      </c>
    </row>
    <row r="515" ht="49" customHeight="1">
      <c r="A515" s="15" t="inlineStr">
        <is>
          <t>CAST-501</t>
        </is>
      </c>
      <c r="B515" s="18" t="inlineStr">
        <is>
          <t>FILM-102</t>
        </is>
      </c>
      <c r="C515" s="5" t="inlineStr">
        <is>
          <t>Bezubaan</t>
        </is>
      </c>
      <c r="D515" s="17" t="n">
        <v>1982</v>
      </c>
      <c r="E515" s="5" t="inlineStr">
        <is>
          <t>Rita Bhaduri</t>
        </is>
      </c>
      <c r="F515" s="5" t="inlineStr">
        <is>
          <t>Revati</t>
        </is>
      </c>
      <c r="G515" s="5" t="inlineStr">
        <is>
          <t>Friend</t>
        </is>
      </c>
      <c r="H515" s="5" t="inlineStr">
        <is>
          <t>Major</t>
        </is>
      </c>
      <c r="I515" s="5" t="inlineStr">
        <is>
          <t>His wife's closest friend, who saved her life, and who is married to the man blackmailing her.</t>
        </is>
      </c>
      <c r="J515" s="5" t="inlineStr">
        <is>
          <t>The bond that both rescues the marriage and exposes it to attack.</t>
        </is>
      </c>
      <c r="K515" s="19" t="inlineStr">
        <is>
          <t>Kalpana's hostel roommate, also called Meera Bai, who pulls her out of her despair after the failed suicide attempt and then marries the photographer Shivnath.</t>
        </is>
      </c>
      <c r="L515" s="5" t="n"/>
      <c r="M515" s="5" t="inlineStr">
        <is>
          <t>SOURCE-089</t>
        </is>
      </c>
    </row>
    <row r="516" ht="34" customHeight="1">
      <c r="A516" s="15" t="inlineStr">
        <is>
          <t>CAST-502</t>
        </is>
      </c>
      <c r="B516" s="18" t="inlineStr">
        <is>
          <t>FILM-102</t>
        </is>
      </c>
      <c r="C516" s="5" t="inlineStr">
        <is>
          <t>Bezubaan</t>
        </is>
      </c>
      <c r="D516" s="17" t="n">
        <v>1982</v>
      </c>
      <c r="E516" s="5" t="inlineStr">
        <is>
          <t>Iftekhar</t>
        </is>
      </c>
      <c r="F516" s="5" t="inlineStr">
        <is>
          <t>Amarnath</t>
        </is>
      </c>
      <c r="G516" s="5" t="inlineStr">
        <is>
          <t>Family</t>
        </is>
      </c>
      <c r="H516" s="5" t="inlineStr">
        <is>
          <t>Medium</t>
        </is>
      </c>
      <c r="I516" s="5" t="inlineStr">
        <is>
          <t>His father-in-law.</t>
        </is>
      </c>
      <c r="J516" s="5" t="inlineStr">
        <is>
          <t>The family behind the marriage.</t>
        </is>
      </c>
      <c r="K516" s="19" t="inlineStr">
        <is>
          <t>Credited as Amarnath, Kalpana's father, in a film whose crisis is a secret carried into her marriage.</t>
        </is>
      </c>
      <c r="L516" s="5" t="n"/>
      <c r="M516" s="5" t="inlineStr">
        <is>
          <t>SOURCE-089</t>
        </is>
      </c>
    </row>
    <row r="517" ht="34" customHeight="1">
      <c r="A517" s="15" t="inlineStr">
        <is>
          <t>CAST-503</t>
        </is>
      </c>
      <c r="B517" s="18" t="inlineStr">
        <is>
          <t>FILM-102</t>
        </is>
      </c>
      <c r="C517" s="5" t="inlineStr">
        <is>
          <t>Bezubaan</t>
        </is>
      </c>
      <c r="D517" s="17" t="n">
        <v>1982</v>
      </c>
      <c r="E517" s="5" t="inlineStr">
        <is>
          <t>Master Nadeem</t>
        </is>
      </c>
      <c r="F517" s="5" t="inlineStr">
        <is>
          <t>Son</t>
        </is>
      </c>
      <c r="G517" s="5" t="inlineStr">
        <is>
          <t>Family</t>
        </is>
      </c>
      <c r="H517" s="5" t="inlineStr">
        <is>
          <t>Medium</t>
        </is>
      </c>
      <c r="I517" s="5" t="inlineStr">
        <is>
          <t>His son with Kalpana, credited as such.</t>
        </is>
      </c>
      <c r="J517" s="5" t="inlineStr">
        <is>
          <t>The issue of the marriage the blackmail threatens.</t>
        </is>
      </c>
      <c r="K517" s="19" t="inlineStr">
        <is>
          <t>Credited as Kumar and Kalpana's son, the child of the marriage rather than of the relationship the blackmail concerns.</t>
        </is>
      </c>
      <c r="L517" s="5" t="n"/>
      <c r="M517" s="5" t="inlineStr">
        <is>
          <t>SOURCE-089</t>
        </is>
      </c>
    </row>
    <row r="518" ht="94" customHeight="1">
      <c r="A518" s="15" t="inlineStr">
        <is>
          <t>CAST-504</t>
        </is>
      </c>
      <c r="B518" s="18" t="inlineStr">
        <is>
          <t>FILM-103</t>
        </is>
      </c>
      <c r="C518" s="5" t="inlineStr">
        <is>
          <t>Vijeta</t>
        </is>
      </c>
      <c r="D518" s="17" t="n">
        <v>1982</v>
      </c>
      <c r="E518" s="5" t="inlineStr">
        <is>
          <t>Kunal Kapoor</t>
        </is>
      </c>
      <c r="F518" s="5" t="inlineStr">
        <is>
          <t>Angad</t>
        </is>
      </c>
      <c r="G518" s="5" t="inlineStr">
        <is>
          <t>Co-lead</t>
        </is>
      </c>
      <c r="H518" s="5" t="inlineStr">
        <is>
          <t>Major</t>
        </is>
      </c>
      <c r="I518" s="5" t="inlineStr">
        <is>
          <t>His son, and the film's actual centre: a boy caught between his parents' failing marriage who leaves to become a fighter pilot. Played by Kapoor's own son, in a film Kapoor produced.</t>
        </is>
      </c>
      <c r="J518" s="5" t="inlineStr">
        <is>
          <t>Stands outside his parents' marriage and holds the film's own romance, with Anna.</t>
        </is>
      </c>
      <c r="K518" s="19" t="inlineStr">
        <is>
          <t>A confused teenager caught between a Punjabi father and a Maharashtrian mother whose marriage is failing, who joins the Indian Air Force, learns to fly the MiG-21, courts his instructor's daughter, and comes into his own as a pilot in the 1971 war.</t>
        </is>
      </c>
      <c r="L518" s="5" t="n"/>
      <c r="M518" s="5" t="inlineStr">
        <is>
          <t>SOURCE-086</t>
        </is>
      </c>
    </row>
    <row r="519" ht="64" customHeight="1">
      <c r="A519" s="15" t="inlineStr">
        <is>
          <t>CAST-505</t>
        </is>
      </c>
      <c r="B519" s="18" t="inlineStr">
        <is>
          <t>FILM-103</t>
        </is>
      </c>
      <c r="C519" s="5" t="inlineStr">
        <is>
          <t>Vijeta</t>
        </is>
      </c>
      <c r="D519" s="17" t="n">
        <v>1982</v>
      </c>
      <c r="E519" s="5" t="inlineStr">
        <is>
          <t>Rekha</t>
        </is>
      </c>
      <c r="F519" s="5" t="inlineStr">
        <is>
          <t>Neelima Singh</t>
        </is>
      </c>
      <c r="G519" s="5" t="inlineStr">
        <is>
          <t>Co-lead</t>
        </is>
      </c>
      <c r="H519" s="5" t="inlineStr">
        <is>
          <t>Major</t>
        </is>
      </c>
      <c r="I519" s="5" t="inlineStr">
        <is>
          <t>His wife, in a marriage whose difficulty is the film's domestic subject and whose differences are drawn along region and religion.</t>
        </is>
      </c>
      <c r="J519" s="5" t="inlineStr">
        <is>
          <t>The pairing recorded in the Romances sheet as a marriage under strain, secondary to the son's coming of age.</t>
        </is>
      </c>
      <c r="K519" s="19" t="inlineStr">
        <is>
          <t>Angad's Maharashtrian Hindu mother, whose marital difficulties with her clean-shaven Sikh husband are the situation their son is trying to find his way out of.</t>
        </is>
      </c>
      <c r="L519" s="5" t="n"/>
      <c r="M519" s="5" t="inlineStr">
        <is>
          <t>SOURCE-086</t>
        </is>
      </c>
    </row>
    <row r="520" ht="49" customHeight="1">
      <c r="A520" s="15" t="inlineStr">
        <is>
          <t>CAST-506</t>
        </is>
      </c>
      <c r="B520" s="18" t="inlineStr">
        <is>
          <t>FILM-103</t>
        </is>
      </c>
      <c r="C520" s="5" t="inlineStr">
        <is>
          <t>Vijeta</t>
        </is>
      </c>
      <c r="D520" s="17" t="n">
        <v>1982</v>
      </c>
      <c r="E520" s="5" t="inlineStr">
        <is>
          <t>Supriya Pathak</t>
        </is>
      </c>
      <c r="F520" s="5" t="inlineStr">
        <is>
          <t>Anna Varghese</t>
        </is>
      </c>
      <c r="G520" s="5" t="inlineStr">
        <is>
          <t>Supporting</t>
        </is>
      </c>
      <c r="H520" s="5" t="inlineStr">
        <is>
          <t>Major</t>
        </is>
      </c>
      <c r="I520" s="5" t="inlineStr">
        <is>
          <t>No connection to Kapoor's Nihal; she belongs to his son's story.</t>
        </is>
      </c>
      <c r="J520" s="5" t="inlineStr">
        <is>
          <t>The film's younger romance, and the one that helps Angad overcome his fear of flying.</t>
        </is>
      </c>
      <c r="K520" s="19" t="inlineStr">
        <is>
          <t>The daughter of Angad's Malayali Syrian Christian flying instructor, attracted to him and instrumental in his overcoming his fears and realising his potential as a fighter pilot.</t>
        </is>
      </c>
      <c r="L520" s="5" t="n"/>
      <c r="M520" s="5" t="inlineStr">
        <is>
          <t>SOURCE-086</t>
        </is>
      </c>
    </row>
    <row r="521" ht="49" customHeight="1">
      <c r="A521" s="15" t="inlineStr">
        <is>
          <t>CAST-507</t>
        </is>
      </c>
      <c r="B521" s="18" t="inlineStr">
        <is>
          <t>FILM-103</t>
        </is>
      </c>
      <c r="C521" s="5" t="inlineStr">
        <is>
          <t>Vijeta</t>
        </is>
      </c>
      <c r="D521" s="17" t="n">
        <v>1982</v>
      </c>
      <c r="E521" s="5" t="inlineStr">
        <is>
          <t>Amrish Puri</t>
        </is>
      </c>
      <c r="F521" s="5" t="inlineStr">
        <is>
          <t>Group Captain Varghese</t>
        </is>
      </c>
      <c r="G521" s="5" t="inlineStr">
        <is>
          <t>Mentor</t>
        </is>
      </c>
      <c r="H521" s="5" t="inlineStr">
        <is>
          <t>Major</t>
        </is>
      </c>
      <c r="I521" s="5" t="inlineStr">
        <is>
          <t>No dealings with Nihal; he is the authority over the son's new life and the father of the girl.</t>
        </is>
      </c>
      <c r="J521" s="5" t="inlineStr">
        <is>
          <t>Governs the younger romance from the woman's side.</t>
        </is>
      </c>
      <c r="K521" s="19" t="inlineStr">
        <is>
          <t>The chief flying instructor, a Malayali Syrian Christian, who trains Angad and whose daughter he courts.</t>
        </is>
      </c>
      <c r="L521" s="5" t="n"/>
      <c r="M521" s="5" t="inlineStr">
        <is>
          <t>SOURCE-086</t>
        </is>
      </c>
    </row>
    <row r="522" ht="34" customHeight="1">
      <c r="A522" s="15" t="inlineStr">
        <is>
          <t>CAST-508</t>
        </is>
      </c>
      <c r="B522" s="18" t="inlineStr">
        <is>
          <t>FILM-103</t>
        </is>
      </c>
      <c r="C522" s="5" t="inlineStr">
        <is>
          <t>Vijeta</t>
        </is>
      </c>
      <c r="D522" s="17" t="n">
        <v>1982</v>
      </c>
      <c r="E522" s="5" t="inlineStr">
        <is>
          <t>Dina Pathak</t>
        </is>
      </c>
      <c r="F522" s="5" t="inlineStr">
        <is>
          <t>Angad's grandmother</t>
        </is>
      </c>
      <c r="G522" s="5" t="inlineStr">
        <is>
          <t>Family</t>
        </is>
      </c>
      <c r="H522" s="5" t="inlineStr">
        <is>
          <t>Medium</t>
        </is>
      </c>
      <c r="I522" s="5" t="inlineStr">
        <is>
          <t>A senior presence in the household whose tensions the film sets out.</t>
        </is>
      </c>
      <c r="J522" s="5" t="inlineStr">
        <is>
          <t>Part of the family the marriage strains run through.</t>
        </is>
      </c>
      <c r="K522" s="19" t="inlineStr">
        <is>
          <t>Credited as Angad's grandmother, in the mixed household the film uses to set Punjabi Sikh against Maharashtrian Hindu.</t>
        </is>
      </c>
      <c r="L522" s="5" t="n"/>
      <c r="M522" s="5" t="inlineStr">
        <is>
          <t>SOURCE-086</t>
        </is>
      </c>
    </row>
    <row r="523" ht="34" customHeight="1">
      <c r="A523" s="15" t="inlineStr">
        <is>
          <t>CAST-509</t>
        </is>
      </c>
      <c r="B523" s="18" t="inlineStr">
        <is>
          <t>FILM-103</t>
        </is>
      </c>
      <c r="C523" s="5" t="inlineStr">
        <is>
          <t>Vijeta</t>
        </is>
      </c>
      <c r="D523" s="17" t="n">
        <v>1982</v>
      </c>
      <c r="E523" s="5" t="inlineStr">
        <is>
          <t>Om Puri</t>
        </is>
      </c>
      <c r="F523" s="5" t="inlineStr">
        <is>
          <t>Arvind</t>
        </is>
      </c>
      <c r="G523" s="5" t="inlineStr">
        <is>
          <t>Supporting</t>
        </is>
      </c>
      <c r="H523" s="5" t="inlineStr">
        <is>
          <t>Medium</t>
        </is>
      </c>
      <c r="I523" s="5" t="inlineStr">
        <is>
          <t>Credited in the world around the family rather than the squadron.</t>
        </is>
      </c>
      <c r="J523" s="5" t="inlineStr">
        <is>
          <t>No documented part in it.</t>
        </is>
      </c>
      <c r="K523" s="19" t="inlineStr">
        <is>
          <t>Credited as Arvind, in an ensemble the film draws from across the parallel-cinema company Kapoor was then producing.</t>
        </is>
      </c>
      <c r="L523" s="5" t="n"/>
      <c r="M523" s="5" t="inlineStr">
        <is>
          <t>SOURCE-086</t>
        </is>
      </c>
    </row>
    <row r="524" ht="49" customHeight="1">
      <c r="A524" s="15" t="inlineStr">
        <is>
          <t>CAST-510</t>
        </is>
      </c>
      <c r="B524" s="18" t="inlineStr">
        <is>
          <t>FILM-103</t>
        </is>
      </c>
      <c r="C524" s="5" t="inlineStr">
        <is>
          <t>Vijeta</t>
        </is>
      </c>
      <c r="D524" s="17" t="n">
        <v>1982</v>
      </c>
      <c r="E524" s="5" t="inlineStr">
        <is>
          <t>Shafi Inamdar</t>
        </is>
      </c>
      <c r="F524" s="5" t="inlineStr">
        <is>
          <t>Wing Commander Parulkar</t>
        </is>
      </c>
      <c r="G524" s="5" t="inlineStr">
        <is>
          <t>Authority figure</t>
        </is>
      </c>
      <c r="H524" s="5" t="inlineStr">
        <is>
          <t>Medium</t>
        </is>
      </c>
      <c r="I524" s="5" t="inlineStr">
        <is>
          <t>Part of the Air Force structure the son enters and the father does not belong to.</t>
        </is>
      </c>
      <c r="J524" s="5" t="inlineStr">
        <is>
          <t>No part in it.</t>
        </is>
      </c>
      <c r="K524" s="19" t="inlineStr">
        <is>
          <t>A wing commander in the squadron Angad joins, one of the officers representing the range of religions the film deliberately assembles.</t>
        </is>
      </c>
      <c r="L524" s="5" t="n"/>
      <c r="M524" s="5" t="inlineStr">
        <is>
          <t>SOURCE-086</t>
        </is>
      </c>
    </row>
    <row r="525" ht="79" customHeight="1">
      <c r="A525" s="15" t="inlineStr">
        <is>
          <t>CAST-511</t>
        </is>
      </c>
      <c r="B525" s="18" t="inlineStr">
        <is>
          <t>FILM-104</t>
        </is>
      </c>
      <c r="C525" s="5" t="inlineStr">
        <is>
          <t>Vakil Babu</t>
        </is>
      </c>
      <c r="D525" s="17" t="n">
        <v>1982</v>
      </c>
      <c r="E525" s="5" t="inlineStr">
        <is>
          <t>Raj Kapoor</t>
        </is>
      </c>
      <c r="F525" s="5" t="inlineStr">
        <is>
          <t>Advocate Satyaprakash Mathur</t>
        </is>
      </c>
      <c r="G525" s="5" t="inlineStr">
        <is>
          <t>Co-lead</t>
        </is>
      </c>
      <c r="H525" s="5" t="inlineStr">
        <is>
          <t>Major</t>
        </is>
      </c>
      <c r="I525" s="5" t="inlineStr">
        <is>
          <t>His defence counsel, appointed to save him from a murder charge; the two brothers acting opposite each other, with the eldest playing the title role.</t>
        </is>
      </c>
      <c r="J525" s="5" t="inlineStr">
        <is>
          <t>Outside the marriage the murder charge threatens.</t>
        </is>
      </c>
      <c r="K525" s="19" t="inlineStr">
        <is>
          <t>An ordinary advocate engaged by the judge to defend a sculptor accused of murder, who investigates the case himself and establishes that the killing was done by a steward avenging his own fiancee's past.</t>
        </is>
      </c>
      <c r="L525" s="5" t="n"/>
      <c r="M525" s="5" t="inlineStr">
        <is>
          <t>SOURCE-085</t>
        </is>
      </c>
    </row>
    <row r="526" ht="49" customHeight="1">
      <c r="A526" s="15" t="inlineStr">
        <is>
          <t>CAST-512</t>
        </is>
      </c>
      <c r="B526" s="18" t="inlineStr">
        <is>
          <t>FILM-104</t>
        </is>
      </c>
      <c r="C526" s="5" t="inlineStr">
        <is>
          <t>Vakil Babu</t>
        </is>
      </c>
      <c r="D526" s="17" t="n">
        <v>1982</v>
      </c>
      <c r="E526" s="5" t="inlineStr">
        <is>
          <t>Zeenat Aman</t>
        </is>
      </c>
      <c r="F526" s="5" t="inlineStr">
        <is>
          <t>Kalpana Chaudhary</t>
        </is>
      </c>
      <c r="G526" s="5" t="inlineStr">
        <is>
          <t>Co-lead</t>
        </is>
      </c>
      <c r="H526" s="5" t="inlineStr">
        <is>
          <t>Major</t>
        </is>
      </c>
      <c r="I526" s="5" t="inlineStr">
        <is>
          <t>His wife, and the reason he is suspected: the dead man had been lustful towards her.</t>
        </is>
      </c>
      <c r="J526" s="5" t="inlineStr">
        <is>
          <t>The pairing recorded in the Romances sheet, and subordinate to the courtroom plot.</t>
        </is>
      </c>
      <c r="K526" s="19" t="inlineStr">
        <is>
          <t>The sculptor's wife, towards whom the murdered Prem Oberoi had behaved lustfully, which is what supplies her husband with a motive.</t>
        </is>
      </c>
      <c r="L526" s="5" t="n"/>
      <c r="M526" s="5" t="inlineStr">
        <is>
          <t>SOURCE-085</t>
        </is>
      </c>
    </row>
    <row r="527" ht="49" customHeight="1">
      <c r="A527" s="15" t="inlineStr">
        <is>
          <t>CAST-513</t>
        </is>
      </c>
      <c r="B527" s="18" t="inlineStr">
        <is>
          <t>FILM-104</t>
        </is>
      </c>
      <c r="C527" s="5" t="inlineStr">
        <is>
          <t>Vakil Babu</t>
        </is>
      </c>
      <c r="D527" s="17" t="n">
        <v>1982</v>
      </c>
      <c r="E527" s="5" t="inlineStr">
        <is>
          <t>Rakesh Roshan</t>
        </is>
      </c>
      <c r="F527" s="5" t="inlineStr">
        <is>
          <t>Prem Oberoi</t>
        </is>
      </c>
      <c r="G527" s="5" t="inlineStr">
        <is>
          <t>Antagonist</t>
        </is>
      </c>
      <c r="H527" s="5" t="inlineStr">
        <is>
          <t>Major</t>
        </is>
      </c>
      <c r="I527" s="5" t="inlineStr">
        <is>
          <t>The man whose murder he is tried for, and whose conduct towards his wife gave him the motive.</t>
        </is>
      </c>
      <c r="J527" s="5" t="inlineStr">
        <is>
          <t>The threat to the marriage, and the corpse the trial is about.</t>
        </is>
      </c>
      <c r="K527" s="19" t="inlineStr">
        <is>
          <t>A man lustful towards the sculptor's wife, murdered by the steward Suresh Talwar on discovering he had previously been involved with Talwar's fiancee.</t>
        </is>
      </c>
      <c r="L527" s="5" t="n"/>
      <c r="M527" s="5" t="inlineStr">
        <is>
          <t>SOURCE-085</t>
        </is>
      </c>
    </row>
    <row r="528" ht="49" customHeight="1">
      <c r="A528" s="15" t="inlineStr">
        <is>
          <t>CAST-514</t>
        </is>
      </c>
      <c r="B528" s="18" t="inlineStr">
        <is>
          <t>FILM-104</t>
        </is>
      </c>
      <c r="C528" s="5" t="inlineStr">
        <is>
          <t>Vakil Babu</t>
        </is>
      </c>
      <c r="D528" s="17" t="n">
        <v>1982</v>
      </c>
      <c r="E528" s="5" t="inlineStr">
        <is>
          <t>Anju Mahendru</t>
        </is>
      </c>
      <c r="F528" s="5" t="inlineStr">
        <is>
          <t>Shanti</t>
        </is>
      </c>
      <c r="G528" s="5" t="inlineStr">
        <is>
          <t>Supporting</t>
        </is>
      </c>
      <c r="H528" s="5" t="inlineStr">
        <is>
          <t>Medium</t>
        </is>
      </c>
      <c r="I528" s="5" t="inlineStr">
        <is>
          <t>Not connected to him directly; her past is the actual motive for the killing he is charged with.</t>
        </is>
      </c>
      <c r="J528" s="5" t="inlineStr">
        <is>
          <t>No part in his marriage.</t>
        </is>
      </c>
      <c r="K528" s="19" t="inlineStr">
        <is>
          <t>The steward Suresh Talwar's fiancee, previously involved with Prem Oberoi, and murdered in turn for having witnessed Talwar's crime.</t>
        </is>
      </c>
      <c r="L528" s="5" t="n"/>
      <c r="M528" s="5" t="inlineStr">
        <is>
          <t>SOURCE-085</t>
        </is>
      </c>
    </row>
    <row r="529" ht="49" customHeight="1">
      <c r="A529" s="15" t="inlineStr">
        <is>
          <t>CAST-515</t>
        </is>
      </c>
      <c r="B529" s="18" t="inlineStr">
        <is>
          <t>FILM-104</t>
        </is>
      </c>
      <c r="C529" s="5" t="inlineStr">
        <is>
          <t>Vakil Babu</t>
        </is>
      </c>
      <c r="D529" s="17" t="n">
        <v>1982</v>
      </c>
      <c r="E529" s="5" t="inlineStr">
        <is>
          <t>Kishore Sahu</t>
        </is>
      </c>
      <c r="F529" s="5" t="inlineStr">
        <is>
          <t>Judge Rajvansh</t>
        </is>
      </c>
      <c r="G529" s="5" t="inlineStr">
        <is>
          <t>Authority figure</t>
        </is>
      </c>
      <c r="H529" s="5" t="inlineStr">
        <is>
          <t>Medium</t>
        </is>
      </c>
      <c r="I529" s="5" t="inlineStr">
        <is>
          <t>The judge who appoints his defence counsel, which is the act that saves him.</t>
        </is>
      </c>
      <c r="J529" s="5" t="inlineStr">
        <is>
          <t>No part in it.</t>
        </is>
      </c>
      <c r="K529" s="19" t="inlineStr">
        <is>
          <t>The judge who engages an ordinary advocate as defence lawyer for the accused sculptor, and before whom the acquittal is obtained.</t>
        </is>
      </c>
      <c r="L529" s="5" t="n"/>
      <c r="M529" s="5" t="inlineStr">
        <is>
          <t>SOURCE-085</t>
        </is>
      </c>
    </row>
    <row r="530" ht="34" customHeight="1">
      <c r="A530" s="15" t="inlineStr">
        <is>
          <t>CAST-516</t>
        </is>
      </c>
      <c r="B530" s="18" t="inlineStr">
        <is>
          <t>FILM-104</t>
        </is>
      </c>
      <c r="C530" s="5" t="inlineStr">
        <is>
          <t>Vakil Babu</t>
        </is>
      </c>
      <c r="D530" s="17" t="n">
        <v>1982</v>
      </c>
      <c r="E530" s="5" t="inlineStr">
        <is>
          <t>Rehman</t>
        </is>
      </c>
      <c r="F530" s="5" t="inlineStr">
        <is>
          <t>Public Prosecutor Khan</t>
        </is>
      </c>
      <c r="G530" s="5" t="inlineStr">
        <is>
          <t>Supporting</t>
        </is>
      </c>
      <c r="H530" s="5" t="inlineStr">
        <is>
          <t>Medium</t>
        </is>
      </c>
      <c r="I530" s="5" t="inlineStr">
        <is>
          <t>The prosecutor pressing the murder charge against him.</t>
        </is>
      </c>
      <c r="J530" s="5" t="inlineStr">
        <is>
          <t>No part in it.</t>
        </is>
      </c>
      <c r="K530" s="19" t="inlineStr">
        <is>
          <t>Credited as the public prosecutor in the trial of the sculptor Shekhar Kumar.</t>
        </is>
      </c>
      <c r="L530" s="5" t="n"/>
      <c r="M530" s="5" t="inlineStr">
        <is>
          <t>SOURCE-085</t>
        </is>
      </c>
    </row>
    <row r="531" ht="49" customHeight="1">
      <c r="A531" s="15" t="inlineStr">
        <is>
          <t>CAST-517</t>
        </is>
      </c>
      <c r="B531" s="18" t="inlineStr">
        <is>
          <t>FILM-104</t>
        </is>
      </c>
      <c r="C531" s="5" t="inlineStr">
        <is>
          <t>Vakil Babu</t>
        </is>
      </c>
      <c r="D531" s="17" t="n">
        <v>1982</v>
      </c>
      <c r="E531" s="5" t="inlineStr">
        <is>
          <t>Pinchoo Kapoor</t>
        </is>
      </c>
      <c r="F531" s="5" t="inlineStr">
        <is>
          <t>Captain Chaudhary</t>
        </is>
      </c>
      <c r="G531" s="5" t="inlineStr">
        <is>
          <t>Family</t>
        </is>
      </c>
      <c r="H531" s="5" t="inlineStr">
        <is>
          <t>Medium</t>
        </is>
      </c>
      <c r="I531" s="5" t="inlineStr">
        <is>
          <t>Shares his wife's surname, so presumably her father, though the article does not state it.</t>
        </is>
      </c>
      <c r="J531" s="5" t="inlineStr">
        <is>
          <t>The family on the wife's side of the marriage.</t>
        </is>
      </c>
      <c r="K531" s="19" t="inlineStr">
        <is>
          <t>Credited as Captain Chaudhary, sharing the surname of Kalpana Chaudhary; the article's short synopsis does not set out the relation.</t>
        </is>
      </c>
      <c r="L531" s="5" t="n"/>
      <c r="M531" s="5" t="inlineStr">
        <is>
          <t>SOURCE-085</t>
        </is>
      </c>
    </row>
    <row r="532" ht="79" customHeight="1">
      <c r="A532" s="15" t="inlineStr">
        <is>
          <t>CAST-518</t>
        </is>
      </c>
      <c r="B532" s="18" t="inlineStr">
        <is>
          <t>FILM-105</t>
        </is>
      </c>
      <c r="C532" s="5" t="inlineStr">
        <is>
          <t>Namak Halaal</t>
        </is>
      </c>
      <c r="D532" s="17" t="n">
        <v>1982</v>
      </c>
      <c r="E532" s="5" t="inlineStr">
        <is>
          <t>Amitabh Bachchan</t>
        </is>
      </c>
      <c r="F532" s="5" t="inlineStr">
        <is>
          <t>Arjun Singh</t>
        </is>
      </c>
      <c r="G532" s="5" t="inlineStr">
        <is>
          <t>Co-lead</t>
        </is>
      </c>
      <c r="H532" s="5" t="inlineStr">
        <is>
          <t>Major</t>
        </is>
      </c>
      <c r="I532" s="5" t="inlineStr">
        <is>
          <t>The bellboy at his hotel, who turns out to be the son of the man who died protecting his father, and who swears to protect him as his father did.</t>
        </is>
      </c>
      <c r="J532" s="5" t="inlineStr">
        <is>
          <t>Outside Raja's romance; his own is with Poonam.</t>
        </is>
      </c>
      <c r="K532" s="19" t="inlineStr">
        <is>
          <t>The son of Bhim Singh and Savitri, raised by his grandfather in the village believing himself unwanted, who comes to the city as a bellboy in the hotel his mother runs, learns she is his mother and not Raja's, and takes up his father's charge of protecting Raja.</t>
        </is>
      </c>
      <c r="L532" s="5" t="n"/>
      <c r="M532" s="5" t="inlineStr">
        <is>
          <t>SOURCE-087</t>
        </is>
      </c>
    </row>
    <row r="533" ht="64" customHeight="1">
      <c r="A533" s="15" t="inlineStr">
        <is>
          <t>CAST-519</t>
        </is>
      </c>
      <c r="B533" s="18" t="inlineStr">
        <is>
          <t>FILM-105</t>
        </is>
      </c>
      <c r="C533" s="5" t="inlineStr">
        <is>
          <t>Namak Halaal</t>
        </is>
      </c>
      <c r="D533" s="17" t="n">
        <v>1982</v>
      </c>
      <c r="E533" s="5" t="inlineStr">
        <is>
          <t>Parveen Babi</t>
        </is>
      </c>
      <c r="F533" s="5" t="inlineStr">
        <is>
          <t>Nisha</t>
        </is>
      </c>
      <c r="G533" s="5" t="inlineStr">
        <is>
          <t>Co-lead</t>
        </is>
      </c>
      <c r="H533" s="5" t="inlineStr">
        <is>
          <t>Major</t>
        </is>
      </c>
      <c r="I533" s="5" t="inlineStr">
        <is>
          <t>The dancer he is attracted to, hired to kill him, who cannot do it and marries him instead.</t>
        </is>
      </c>
      <c r="J533" s="5" t="inlineStr">
        <is>
          <t>The pairing recorded in the Romances sheet as damaged by mistrust: the attachment is founded on a commission to murder him.</t>
        </is>
      </c>
      <c r="K533" s="19" t="inlineStr">
        <is>
          <t>A young dancer engaged by Ranjit Singh to kill Raja, who falls in love with him and cannot carry it out, arranges the boat party meant to finish it, and marries him after the plot is foiled.</t>
        </is>
      </c>
      <c r="L533" s="5" t="n"/>
      <c r="M533" s="5" t="inlineStr">
        <is>
          <t>SOURCE-087</t>
        </is>
      </c>
    </row>
    <row r="534" ht="64" customHeight="1">
      <c r="A534" s="15" t="inlineStr">
        <is>
          <t>CAST-520</t>
        </is>
      </c>
      <c r="B534" s="18" t="inlineStr">
        <is>
          <t>FILM-105</t>
        </is>
      </c>
      <c r="C534" s="5" t="inlineStr">
        <is>
          <t>Namak Halaal</t>
        </is>
      </c>
      <c r="D534" s="17" t="n">
        <v>1982</v>
      </c>
      <c r="E534" s="5" t="inlineStr">
        <is>
          <t>Waheeda Rehman</t>
        </is>
      </c>
      <c r="F534" s="5" t="inlineStr">
        <is>
          <t>Savitri Singh</t>
        </is>
      </c>
      <c r="G534" s="5" t="inlineStr">
        <is>
          <t>Family</t>
        </is>
      </c>
      <c r="H534" s="5" t="inlineStr">
        <is>
          <t>Major</t>
        </is>
      </c>
      <c r="I534" s="5" t="inlineStr">
        <is>
          <t>The woman he has always taken for his mother, who is in fact Arjun's, and who gave up her own son to keep her promise to protect him.</t>
        </is>
      </c>
      <c r="J534" s="5" t="inlineStr">
        <is>
          <t>No part in it.</t>
        </is>
      </c>
      <c r="K534" s="19" t="inlineStr">
        <is>
          <t>Bhim Singh's wife, made trustee of the Singh property and guardian of the infant Raja, blamed by everyone for the deaths of her husband and employer, who hands her own son to his grandfather and passes as Raja's mother to keep him safe.</t>
        </is>
      </c>
      <c r="L534" s="5" t="n"/>
      <c r="M534" s="5" t="inlineStr">
        <is>
          <t>SOURCE-087</t>
        </is>
      </c>
    </row>
    <row r="535" ht="34" customHeight="1">
      <c r="A535" s="15" t="inlineStr">
        <is>
          <t>CAST-521</t>
        </is>
      </c>
      <c r="B535" s="18" t="inlineStr">
        <is>
          <t>FILM-105</t>
        </is>
      </c>
      <c r="C535" s="5" t="inlineStr">
        <is>
          <t>Namak Halaal</t>
        </is>
      </c>
      <c r="D535" s="17" t="n">
        <v>1982</v>
      </c>
      <c r="E535" s="5" t="inlineStr">
        <is>
          <t>Smita Patil</t>
        </is>
      </c>
      <c r="F535" s="5" t="inlineStr">
        <is>
          <t>Poonam</t>
        </is>
      </c>
      <c r="G535" s="5" t="inlineStr">
        <is>
          <t>Supporting</t>
        </is>
      </c>
      <c r="H535" s="5" t="inlineStr">
        <is>
          <t>Major</t>
        </is>
      </c>
      <c r="I535" s="5" t="inlineStr">
        <is>
          <t>No connection to Raja; she belongs to Arjun's side of the film.</t>
        </is>
      </c>
      <c r="J535" s="5" t="inlineStr">
        <is>
          <t>The parallel romance, married off with Raja's at the close.</t>
        </is>
      </c>
      <c r="K535" s="19" t="inlineStr">
        <is>
          <t>The woman Arjun meets and loves in the city, married to him in the double wedding that closes the film.</t>
        </is>
      </c>
      <c r="L535" s="5" t="n"/>
      <c r="M535" s="5" t="inlineStr">
        <is>
          <t>SOURCE-087</t>
        </is>
      </c>
    </row>
    <row r="536" ht="49" customHeight="1">
      <c r="A536" s="15" t="inlineStr">
        <is>
          <t>CAST-522</t>
        </is>
      </c>
      <c r="B536" s="18" t="inlineStr">
        <is>
          <t>FILM-105</t>
        </is>
      </c>
      <c r="C536" s="5" t="inlineStr">
        <is>
          <t>Namak Halaal</t>
        </is>
      </c>
      <c r="D536" s="17" t="n">
        <v>1982</v>
      </c>
      <c r="E536" s="5" t="inlineStr">
        <is>
          <t>Ranjeet</t>
        </is>
      </c>
      <c r="F536" s="5" t="inlineStr">
        <is>
          <t>Ranjeet Singh</t>
        </is>
      </c>
      <c r="G536" s="5" t="inlineStr">
        <is>
          <t>Antagonist</t>
        </is>
      </c>
      <c r="H536" s="5" t="inlineStr">
        <is>
          <t>Major</t>
        </is>
      </c>
      <c r="I536" s="5" t="inlineStr">
        <is>
          <t>The manager of his own hotel, plotting his death and turning him against the woman who raised him.</t>
        </is>
      </c>
      <c r="J536" s="5" t="inlineStr">
        <is>
          <t>Creates it and corrupts it: he is the one who hires Nisha to kill Raja.</t>
        </is>
      </c>
      <c r="K536" s="19" t="inlineStr">
        <is>
          <t>Girdhar Singh's son and manager of Raja's hotel, who plots to kill him, frames Savitri so that Raja will suspect her, and hires the dancer Nisha as the instrument.</t>
        </is>
      </c>
      <c r="L536" s="5" t="n"/>
      <c r="M536" s="5" t="inlineStr">
        <is>
          <t>SOURCE-087</t>
        </is>
      </c>
    </row>
    <row r="537" ht="49" customHeight="1">
      <c r="A537" s="15" t="inlineStr">
        <is>
          <t>CAST-523</t>
        </is>
      </c>
      <c r="B537" s="18" t="inlineStr">
        <is>
          <t>FILM-105</t>
        </is>
      </c>
      <c r="C537" s="5" t="inlineStr">
        <is>
          <t>Namak Halaal</t>
        </is>
      </c>
      <c r="D537" s="17" t="n">
        <v>1982</v>
      </c>
      <c r="E537" s="5" t="inlineStr">
        <is>
          <t>Satyen Kappu</t>
        </is>
      </c>
      <c r="F537" s="5" t="inlineStr">
        <is>
          <t>Girdhar Singh</t>
        </is>
      </c>
      <c r="G537" s="5" t="inlineStr">
        <is>
          <t>Antagonist</t>
        </is>
      </c>
      <c r="H537" s="5" t="inlineStr">
        <is>
          <t>Major</t>
        </is>
      </c>
      <c r="I537" s="5" t="inlineStr">
        <is>
          <t>His father's step-brother and killer, and the origin of the whole conspiracy against him.</t>
        </is>
      </c>
      <c r="J537" s="5" t="inlineStr">
        <is>
          <t>No part in it.</t>
        </is>
      </c>
      <c r="K537" s="19" t="inlineStr">
        <is>
          <t>Raja Singh's step-brother, who made repeated attempts on his life and finally killed both him and his bodyguard Bhim Singh on the day the trust was settled.</t>
        </is>
      </c>
      <c r="L537" s="5" t="n"/>
      <c r="M537" s="5" t="inlineStr">
        <is>
          <t>SOURCE-087</t>
        </is>
      </c>
    </row>
    <row r="538" ht="64" customHeight="1">
      <c r="A538" s="15" t="inlineStr">
        <is>
          <t>CAST-524</t>
        </is>
      </c>
      <c r="B538" s="18" t="inlineStr">
        <is>
          <t>FILM-105</t>
        </is>
      </c>
      <c r="C538" s="5" t="inlineStr">
        <is>
          <t>Namak Halaal</t>
        </is>
      </c>
      <c r="D538" s="17" t="n">
        <v>1982</v>
      </c>
      <c r="E538" s="5" t="inlineStr">
        <is>
          <t>Suresh Oberoi</t>
        </is>
      </c>
      <c r="F538" s="5" t="inlineStr">
        <is>
          <t>Bheem Singh</t>
        </is>
      </c>
      <c r="G538" s="5" t="inlineStr">
        <is>
          <t>Supporting</t>
        </is>
      </c>
      <c r="H538" s="5" t="inlineStr">
        <is>
          <t>Medium</t>
        </is>
      </c>
      <c r="I538" s="5" t="inlineStr">
        <is>
          <t>His father's manager and bodyguard, who died alongside him; the charge he laid on his wife is what protected Raja's childhood.</t>
        </is>
      </c>
      <c r="J538" s="5" t="inlineStr">
        <is>
          <t>No part in it.</t>
        </is>
      </c>
      <c r="K538" s="19" t="inlineStr">
        <is>
          <t>Manager and personal bodyguard to Seth Raja Singh, who saved him from many attempts on his life and died with him, extracting from his wife the promise to look after the infant heir.</t>
        </is>
      </c>
      <c r="L538" s="5" t="n"/>
      <c r="M538" s="5" t="inlineStr">
        <is>
          <t>SOURCE-087</t>
        </is>
      </c>
    </row>
    <row r="539" ht="64" customHeight="1">
      <c r="A539" s="15" t="inlineStr">
        <is>
          <t>CAST-525</t>
        </is>
      </c>
      <c r="B539" s="18" t="inlineStr">
        <is>
          <t>FILM-105</t>
        </is>
      </c>
      <c r="C539" s="5" t="inlineStr">
        <is>
          <t>Namak Halaal</t>
        </is>
      </c>
      <c r="D539" s="17" t="n">
        <v>1982</v>
      </c>
      <c r="E539" s="5" t="inlineStr">
        <is>
          <t>Kamal Kapoor</t>
        </is>
      </c>
      <c r="F539" s="5" t="inlineStr">
        <is>
          <t>Raja Sahib</t>
        </is>
      </c>
      <c r="G539" s="5" t="inlineStr">
        <is>
          <t>Family</t>
        </is>
      </c>
      <c r="H539" s="5" t="inlineStr">
        <is>
          <t>Medium</t>
        </is>
      </c>
      <c r="I539" s="5" t="inlineStr">
        <is>
          <t>His father, killed at the start, whose property and guardianship arrangements the rest of the film is a fight over.</t>
        </is>
      </c>
      <c r="J539" s="5" t="inlineStr">
        <is>
          <t>No part in it.</t>
        </is>
      </c>
      <c r="K539" s="19" t="inlineStr">
        <is>
          <t>Seth Raja Singh, Raja Kumar's father, who appoints Savitri trustee and guardian and is killed the same day by his step-brother.</t>
        </is>
      </c>
      <c r="L539" s="5" t="n"/>
      <c r="M539" s="5" t="inlineStr">
        <is>
          <t>SOURCE-087</t>
        </is>
      </c>
    </row>
    <row r="540" ht="64" customHeight="1">
      <c r="A540" s="15" t="inlineStr">
        <is>
          <t>CAST-526</t>
        </is>
      </c>
      <c r="B540" s="18" t="inlineStr">
        <is>
          <t>FILM-106</t>
        </is>
      </c>
      <c r="C540" s="5" t="inlineStr">
        <is>
          <t>Sawaal</t>
        </is>
      </c>
      <c r="D540" s="17" t="n">
        <v>1982</v>
      </c>
      <c r="E540" s="5" t="inlineStr">
        <is>
          <t>Sanjeev Kumar</t>
        </is>
      </c>
      <c r="F540" s="5" t="inlineStr">
        <is>
          <t>Dhanpat Rai Mehta</t>
        </is>
      </c>
      <c r="G540" s="5" t="inlineStr">
        <is>
          <t>Co-lead</t>
        </is>
      </c>
      <c r="H540" s="5" t="inlineStr">
        <is>
          <t>Major</t>
        </is>
      </c>
      <c r="I540" s="5" t="inlineStr">
        <is>
          <t>The smuggler whose daughter wants to marry him, and so the film's question in person: the police officer is the test of what the man values.</t>
        </is>
      </c>
      <c r="J540" s="5" t="inlineStr">
        <is>
          <t>The obstacle, and the one the film is actually about resolving.</t>
        </is>
      </c>
      <c r="K540" s="19" t="inlineStr">
        <is>
          <t>The country's most powerful smuggler, fortified by money and influence, who finds his daughter in love with a police officer and his son engaged to a poor girl, and must decide between his children's happiness and his own power.</t>
        </is>
      </c>
      <c r="L540" s="5" t="n"/>
      <c r="M540" s="5" t="inlineStr">
        <is>
          <t>SOURCE-088</t>
        </is>
      </c>
    </row>
    <row r="541" ht="64" customHeight="1">
      <c r="A541" s="15" t="inlineStr">
        <is>
          <t>CAST-527</t>
        </is>
      </c>
      <c r="B541" s="18" t="inlineStr">
        <is>
          <t>FILM-106</t>
        </is>
      </c>
      <c r="C541" s="5" t="inlineStr">
        <is>
          <t>Sawaal</t>
        </is>
      </c>
      <c r="D541" s="17" t="n">
        <v>1982</v>
      </c>
      <c r="E541" s="5" t="inlineStr">
        <is>
          <t>Poonam Dhillon</t>
        </is>
      </c>
      <c r="F541" s="5" t="inlineStr">
        <is>
          <t>Sonia Mehta</t>
        </is>
      </c>
      <c r="G541" s="5" t="inlineStr">
        <is>
          <t>Co-lead</t>
        </is>
      </c>
      <c r="H541" s="5" t="inlineStr">
        <is>
          <t>Major</t>
        </is>
      </c>
      <c r="I541" s="5" t="inlineStr">
        <is>
          <t>The smuggler's daughter, in love with him and wanting to marry him across the whole of her father's world.</t>
        </is>
      </c>
      <c r="J541" s="5" t="inlineStr">
        <is>
          <t>The pairing recorded in the Romances sheet as a couple united against the external world, the world being her family's business.</t>
        </is>
      </c>
      <c r="K541" s="19" t="inlineStr">
        <is>
          <t>Dhanpat Rai Mehta's daughter, who falls in love with the police officer Ravi Malhotra and wants to marry him, putting her father's power against his children's happiness.</t>
        </is>
      </c>
      <c r="L541" s="5" t="n"/>
      <c r="M541" s="5" t="inlineStr">
        <is>
          <t>SOURCE-088</t>
        </is>
      </c>
    </row>
    <row r="542" ht="64" customHeight="1">
      <c r="A542" s="15" t="inlineStr">
        <is>
          <t>CAST-528</t>
        </is>
      </c>
      <c r="B542" s="18" t="inlineStr">
        <is>
          <t>FILM-106</t>
        </is>
      </c>
      <c r="C542" s="5" t="inlineStr">
        <is>
          <t>Sawaal</t>
        </is>
      </c>
      <c r="D542" s="17" t="n">
        <v>1982</v>
      </c>
      <c r="E542" s="5" t="inlineStr">
        <is>
          <t>Randhir Kapoor</t>
        </is>
      </c>
      <c r="F542" s="5" t="inlineStr">
        <is>
          <t>Vikram Mehta</t>
        </is>
      </c>
      <c r="G542" s="5" t="inlineStr">
        <is>
          <t>Supporting</t>
        </is>
      </c>
      <c r="H542" s="5" t="inlineStr">
        <is>
          <t>Major</t>
        </is>
      </c>
      <c r="I542" s="5" t="inlineStr">
        <is>
          <t>His prospective brother-in-law, defying the same father on the same principle from the other direction; played by Kapoor's nephew.</t>
        </is>
      </c>
      <c r="J542" s="5" t="inlineStr">
        <is>
          <t>The parallel defiance: he is engaged to a poor girl as his sister is to a policeman.</t>
        </is>
      </c>
      <c r="K542" s="19" t="inlineStr">
        <is>
          <t>Mehta's son, who has taken a path opposed to his father's and is engaged to the poor Reshmi, doubling the challenge his sister's romance presents.</t>
        </is>
      </c>
      <c r="L542" s="5" t="n"/>
      <c r="M542" s="5" t="inlineStr">
        <is>
          <t>SOURCE-088</t>
        </is>
      </c>
    </row>
    <row r="543" ht="34" customHeight="1">
      <c r="A543" s="15" t="inlineStr">
        <is>
          <t>CAST-529</t>
        </is>
      </c>
      <c r="B543" s="18" t="inlineStr">
        <is>
          <t>FILM-106</t>
        </is>
      </c>
      <c r="C543" s="5" t="inlineStr">
        <is>
          <t>Sawaal</t>
        </is>
      </c>
      <c r="D543" s="17" t="n">
        <v>1982</v>
      </c>
      <c r="E543" s="5" t="inlineStr">
        <is>
          <t>Waheeda Rehman</t>
        </is>
      </c>
      <c r="F543" s="5" t="inlineStr">
        <is>
          <t>Anju Mehta</t>
        </is>
      </c>
      <c r="G543" s="5" t="inlineStr">
        <is>
          <t>Family</t>
        </is>
      </c>
      <c r="H543" s="5" t="inlineStr">
        <is>
          <t>Major</t>
        </is>
      </c>
      <c r="I543" s="5" t="inlineStr">
        <is>
          <t>The smuggler's wife, inside the household both children are defying.</t>
        </is>
      </c>
      <c r="J543" s="5" t="inlineStr">
        <is>
          <t>Part of the family the marriage would have to be accepted by.</t>
        </is>
      </c>
      <c r="K543" s="19" t="inlineStr">
        <is>
          <t>Credited as Anju Mehta, wife of the smuggler whose children have both chosen against his world.</t>
        </is>
      </c>
      <c r="L543" s="5" t="n"/>
      <c r="M543" s="5" t="inlineStr">
        <is>
          <t>SOURCE-088</t>
        </is>
      </c>
    </row>
    <row r="544" ht="49" customHeight="1">
      <c r="A544" s="15" t="inlineStr">
        <is>
          <t>CAST-530</t>
        </is>
      </c>
      <c r="B544" s="18" t="inlineStr">
        <is>
          <t>FILM-106</t>
        </is>
      </c>
      <c r="C544" s="5" t="inlineStr">
        <is>
          <t>Sawaal</t>
        </is>
      </c>
      <c r="D544" s="17" t="n">
        <v>1982</v>
      </c>
      <c r="E544" s="5" t="inlineStr">
        <is>
          <t>Swaroop Sampat</t>
        </is>
      </c>
      <c r="F544" s="5" t="inlineStr">
        <is>
          <t>Reshmi Singh</t>
        </is>
      </c>
      <c r="G544" s="5" t="inlineStr">
        <is>
          <t>Supporting</t>
        </is>
      </c>
      <c r="H544" s="5" t="inlineStr">
        <is>
          <t>Medium</t>
        </is>
      </c>
      <c r="I544" s="5" t="inlineStr">
        <is>
          <t>No direct connection; she is his prospective brother-in-law's fiancee.</t>
        </is>
      </c>
      <c r="J544" s="5" t="inlineStr">
        <is>
          <t>The mirror of his own position: poor where he is honest, and equally unacceptable.</t>
        </is>
      </c>
      <c r="K544" s="19" t="inlineStr">
        <is>
          <t>A pretty but poor young woman engaged to Vikram Mehta, the second match Dhanpat Rai's money and standing object to.</t>
        </is>
      </c>
      <c r="L544" s="5" t="n"/>
      <c r="M544" s="5" t="inlineStr">
        <is>
          <t>SOURCE-088</t>
        </is>
      </c>
    </row>
    <row r="545" ht="49" customHeight="1">
      <c r="A545" s="15" t="inlineStr">
        <is>
          <t>CAST-531</t>
        </is>
      </c>
      <c r="B545" s="18" t="inlineStr">
        <is>
          <t>FILM-106</t>
        </is>
      </c>
      <c r="C545" s="5" t="inlineStr">
        <is>
          <t>Sawaal</t>
        </is>
      </c>
      <c r="D545" s="17" t="n">
        <v>1982</v>
      </c>
      <c r="E545" s="5" t="inlineStr">
        <is>
          <t>Manmohan Krishna</t>
        </is>
      </c>
      <c r="F545" s="5" t="inlineStr">
        <is>
          <t>Lala Dinanath Malhotra</t>
        </is>
      </c>
      <c r="G545" s="5" t="inlineStr">
        <is>
          <t>Family</t>
        </is>
      </c>
      <c r="H545" s="5" t="inlineStr">
        <is>
          <t>Medium</t>
        </is>
      </c>
      <c r="I545" s="5" t="inlineStr">
        <is>
          <t>His father, and the household on the honest side of the film's opposition.</t>
        </is>
      </c>
      <c r="J545" s="5" t="inlineStr">
        <is>
          <t>The family the smuggler's daughter would be marrying into.</t>
        </is>
      </c>
      <c r="K545" s="19" t="inlineStr">
        <is>
          <t>Credited as Lala Dinanath Malhotra, father of the police officer, on the modest side of a match with the country's most powerful smuggler.</t>
        </is>
      </c>
      <c r="L545" s="5" t="n"/>
      <c r="M545" s="5" t="inlineStr">
        <is>
          <t>SOURCE-088</t>
        </is>
      </c>
    </row>
    <row r="546" ht="34" customHeight="1">
      <c r="A546" s="15" t="inlineStr">
        <is>
          <t>CAST-532</t>
        </is>
      </c>
      <c r="B546" s="18" t="inlineStr">
        <is>
          <t>FILM-106</t>
        </is>
      </c>
      <c r="C546" s="5" t="inlineStr">
        <is>
          <t>Sawaal</t>
        </is>
      </c>
      <c r="D546" s="17" t="n">
        <v>1982</v>
      </c>
      <c r="E546" s="5" t="inlineStr">
        <is>
          <t>Prem Chopra</t>
        </is>
      </c>
      <c r="F546" s="5" t="inlineStr">
        <is>
          <t>Shamsher Singh</t>
        </is>
      </c>
      <c r="G546" s="5" t="inlineStr">
        <is>
          <t>Antagonist</t>
        </is>
      </c>
      <c r="H546" s="5" t="inlineStr">
        <is>
          <t>Major</t>
        </is>
      </c>
      <c r="I546" s="5" t="inlineStr">
        <is>
          <t>The criminal interest against him inside the smuggler's world.</t>
        </is>
      </c>
      <c r="J546" s="5" t="inlineStr">
        <is>
          <t>A threat to the couple rather than an objection to them.</t>
        </is>
      </c>
      <c r="K546" s="19" t="inlineStr">
        <is>
          <t>Credited as Shamsher Singh, among the criminal apparatus surrounding Dhanpat Rai Mehta's operation.</t>
        </is>
      </c>
      <c r="L546" s="5" t="n"/>
      <c r="M546" s="5" t="inlineStr">
        <is>
          <t>SOURCE-088</t>
        </is>
      </c>
    </row>
    <row r="547" ht="64" customHeight="1">
      <c r="A547" s="15" t="inlineStr">
        <is>
          <t>CAST-533</t>
        </is>
      </c>
      <c r="B547" s="18" t="inlineStr">
        <is>
          <t>FILM-108</t>
        </is>
      </c>
      <c r="C547" s="5" t="inlineStr">
        <is>
          <t>Bandhan Kuchchey Dhaagon Ka</t>
        </is>
      </c>
      <c r="D547" s="17" t="n">
        <v>1983</v>
      </c>
      <c r="E547" s="5" t="inlineStr">
        <is>
          <t>Raakhee</t>
        </is>
      </c>
      <c r="F547" s="5" t="inlineStr">
        <is>
          <t>Bhavna</t>
        </is>
      </c>
      <c r="G547" s="5" t="inlineStr">
        <is>
          <t>Co-lead</t>
        </is>
      </c>
      <c r="H547" s="5" t="inlineStr">
        <is>
          <t>Major</t>
        </is>
      </c>
      <c r="I547" s="5" t="inlineStr">
        <is>
          <t>His wife, and a judge, which is what makes the disclosure of a seven-year-old son by another woman a matter of standing as well as of marriage.</t>
        </is>
      </c>
      <c r="J547" s="5" t="inlineStr">
        <is>
          <t>The pairing recorded in the Romances sheet as a marriage under strain, and the party the blackmail is aimed at.</t>
        </is>
      </c>
      <c r="K547" s="19" t="inlineStr">
        <is>
          <t>Prem Kapoor's wife, a judge, mother of Sunil and Babli, who must be faced with a child brought home from Bombay and with the affair a blackmailer is threatening to disclose.</t>
        </is>
      </c>
      <c r="L547" s="5" t="n"/>
      <c r="M547" s="5" t="inlineStr">
        <is>
          <t>SOURCE-092</t>
        </is>
      </c>
    </row>
    <row r="548" ht="64" customHeight="1">
      <c r="A548" s="15" t="inlineStr">
        <is>
          <t>CAST-534</t>
        </is>
      </c>
      <c r="B548" s="18" t="inlineStr">
        <is>
          <t>FILM-108</t>
        </is>
      </c>
      <c r="C548" s="5" t="inlineStr">
        <is>
          <t>Bandhan Kuchchey Dhaagon Ka</t>
        </is>
      </c>
      <c r="D548" s="17" t="n">
        <v>1983</v>
      </c>
      <c r="E548" s="5" t="inlineStr">
        <is>
          <t>Zeenat Aman</t>
        </is>
      </c>
      <c r="F548" s="5" t="inlineStr">
        <is>
          <t>Sneh</t>
        </is>
      </c>
      <c r="G548" s="5" t="inlineStr">
        <is>
          <t>Co-lead</t>
        </is>
      </c>
      <c r="H548" s="5" t="inlineStr">
        <is>
          <t>Major</t>
        </is>
      </c>
      <c r="I548" s="5" t="inlineStr">
        <is>
          <t>The woman he was intimate with seven years earlier, dying of cancer, who summons him to hand over the son he did not know he had.</t>
        </is>
      </c>
      <c r="J548" s="5" t="inlineStr">
        <is>
          <t>The pairing recorded in the Romances sheet as forbidden love, and by the time the film opens already over.</t>
        </is>
      </c>
      <c r="K548" s="19" t="inlineStr">
        <is>
          <t>A woman in Bombay who has known Prem for seven years, mother of his son Bittu, diagnosed with cancer and not expected to live, who asks him to take the boy and leaves for treatment in America.</t>
        </is>
      </c>
      <c r="L548" s="5" t="n"/>
      <c r="M548" s="5" t="inlineStr">
        <is>
          <t>SOURCE-092</t>
        </is>
      </c>
    </row>
    <row r="549" ht="79" customHeight="1">
      <c r="A549" s="15" t="inlineStr">
        <is>
          <t>CAST-535</t>
        </is>
      </c>
      <c r="B549" s="18" t="inlineStr">
        <is>
          <t>FILM-108</t>
        </is>
      </c>
      <c r="C549" s="5" t="inlineStr">
        <is>
          <t>Bandhan Kuchchey Dhaagon Ka</t>
        </is>
      </c>
      <c r="D549" s="17" t="n">
        <v>1983</v>
      </c>
      <c r="E549" s="5" t="inlineStr">
        <is>
          <t>Prem Chopra</t>
        </is>
      </c>
      <c r="F549" s="5" t="inlineStr">
        <is>
          <t>Prakash Dutt</t>
        </is>
      </c>
      <c r="G549" s="5" t="inlineStr">
        <is>
          <t>Antagonist</t>
        </is>
      </c>
      <c r="H549" s="5" t="inlineStr">
        <is>
          <t>Major</t>
        </is>
      </c>
      <c r="I549" s="5" t="inlineStr">
        <is>
          <t>The visitor who brings the letter that begins the film, and then the blackmailer who wants a large sum to keep the affair from his wife and children.</t>
        </is>
      </c>
      <c r="J549" s="5" t="inlineStr">
        <is>
          <t>The external pressure on both relationships at once.</t>
        </is>
      </c>
      <c r="K549" s="19" t="inlineStr">
        <is>
          <t>The man who delivers Sneh's letter to Prem's small-town house, and who later demands a huge sum to keep the truth about Sneh and Bittu from Bhavna and the children.</t>
        </is>
      </c>
      <c r="L549" s="5" t="n"/>
      <c r="M549" s="5" t="inlineStr">
        <is>
          <t>SOURCE-092</t>
        </is>
      </c>
    </row>
    <row r="550" ht="49" customHeight="1">
      <c r="A550" s="15" t="inlineStr">
        <is>
          <t>CAST-536</t>
        </is>
      </c>
      <c r="B550" s="18" t="inlineStr">
        <is>
          <t>FILM-108</t>
        </is>
      </c>
      <c r="C550" s="5" t="inlineStr">
        <is>
          <t>Bandhan Kuchchey Dhaagon Ka</t>
        </is>
      </c>
      <c r="D550" s="17" t="n">
        <v>1983</v>
      </c>
      <c r="E550" s="5" t="inlineStr">
        <is>
          <t>Master Bittoo</t>
        </is>
      </c>
      <c r="F550" s="5" t="inlineStr">
        <is>
          <t>Bittu P. Kapoor</t>
        </is>
      </c>
      <c r="G550" s="5" t="inlineStr">
        <is>
          <t>Family</t>
        </is>
      </c>
      <c r="H550" s="5" t="inlineStr">
        <is>
          <t>Major</t>
        </is>
      </c>
      <c r="I550" s="5" t="inlineStr">
        <is>
          <t>The seven-year-old son he did not know existed, and whom he brings into his own household.</t>
        </is>
      </c>
      <c r="J550" s="5" t="inlineStr">
        <is>
          <t>The living consequence of the earlier relationship, and the thing the marriage must absorb.</t>
        </is>
      </c>
      <c r="K550" s="19" t="inlineStr">
        <is>
          <t>Sneh's seven-year-old son by Prem, taken home by his father to be raised alongside the two children of the marriage.</t>
        </is>
      </c>
      <c r="L550" s="5" t="n"/>
      <c r="M550" s="5" t="inlineStr">
        <is>
          <t>SOURCE-092</t>
        </is>
      </c>
    </row>
    <row r="551" ht="49" customHeight="1">
      <c r="A551" s="15" t="inlineStr">
        <is>
          <t>CAST-537</t>
        </is>
      </c>
      <c r="B551" s="18" t="inlineStr">
        <is>
          <t>FILM-108</t>
        </is>
      </c>
      <c r="C551" s="5" t="inlineStr">
        <is>
          <t>Bandhan Kuchchey Dhaagon Ka</t>
        </is>
      </c>
      <c r="D551" s="17" t="n">
        <v>1983</v>
      </c>
      <c r="E551" s="5" t="inlineStr">
        <is>
          <t>Master Ravi</t>
        </is>
      </c>
      <c r="F551" s="5" t="inlineStr">
        <is>
          <t>Sunil P. Kapoor</t>
        </is>
      </c>
      <c r="G551" s="5" t="inlineStr">
        <is>
          <t>Family</t>
        </is>
      </c>
      <c r="H551" s="5" t="inlineStr">
        <is>
          <t>Medium</t>
        </is>
      </c>
      <c r="I551" s="5" t="inlineStr">
        <is>
          <t>His son by Bhavna, one of the children the blackmailer threatens to tell.</t>
        </is>
      </c>
      <c r="J551" s="5" t="inlineStr">
        <is>
          <t>Part of the household the disclosure would break.</t>
        </is>
      </c>
      <c r="K551" s="19" t="inlineStr">
        <is>
          <t>Prem and Bhavna's son, credited with a Babli in the household that the arrival of a half-brother unsettles.</t>
        </is>
      </c>
      <c r="L551" s="5" t="n"/>
      <c r="M551" s="5" t="inlineStr">
        <is>
          <t>SOURCE-092</t>
        </is>
      </c>
    </row>
    <row r="552" ht="49" customHeight="1">
      <c r="A552" s="15" t="inlineStr">
        <is>
          <t>CAST-538</t>
        </is>
      </c>
      <c r="B552" s="18" t="inlineStr">
        <is>
          <t>FILM-108</t>
        </is>
      </c>
      <c r="C552" s="5" t="inlineStr">
        <is>
          <t>Bandhan Kuchchey Dhaagon Ka</t>
        </is>
      </c>
      <c r="D552" s="17" t="n">
        <v>1983</v>
      </c>
      <c r="E552" s="5" t="inlineStr">
        <is>
          <t>Bindu</t>
        </is>
      </c>
      <c r="F552" s="5" t="inlineStr">
        <is>
          <t>Dr. Shobha</t>
        </is>
      </c>
      <c r="G552" s="5" t="inlineStr">
        <is>
          <t>Supporting</t>
        </is>
      </c>
      <c r="H552" s="5" t="inlineStr">
        <is>
          <t>Medium</t>
        </is>
      </c>
      <c r="I552" s="5" t="inlineStr">
        <is>
          <t>A medical presence around Sneh's illness and the arrangements for the child.</t>
        </is>
      </c>
      <c r="J552" s="5" t="inlineStr">
        <is>
          <t>Peripheral to both relationships.</t>
        </is>
      </c>
      <c r="K552" s="19" t="inlineStr">
        <is>
          <t>Credited as Dr. Shobha, in the Bombay part of a story that turns on a terminal diagnosis.</t>
        </is>
      </c>
      <c r="L552" s="5" t="n"/>
      <c r="M552" s="5" t="inlineStr">
        <is>
          <t>SOURCE-092</t>
        </is>
      </c>
    </row>
    <row r="553" ht="34" customHeight="1">
      <c r="A553" s="15" t="inlineStr">
        <is>
          <t>CAST-539</t>
        </is>
      </c>
      <c r="B553" s="18" t="inlineStr">
        <is>
          <t>FILM-108</t>
        </is>
      </c>
      <c r="C553" s="5" t="inlineStr">
        <is>
          <t>Bandhan Kuchchey Dhaagon Ka</t>
        </is>
      </c>
      <c r="D553" s="17" t="n">
        <v>1983</v>
      </c>
      <c r="E553" s="5" t="inlineStr">
        <is>
          <t>Deven Verma</t>
        </is>
      </c>
      <c r="F553" s="5" t="inlineStr">
        <is>
          <t>Ratanpal Singh</t>
        </is>
      </c>
      <c r="G553" s="5" t="inlineStr">
        <is>
          <t>Friend</t>
        </is>
      </c>
      <c r="H553" s="5" t="inlineStr">
        <is>
          <t>Medium</t>
        </is>
      </c>
      <c r="I553" s="5" t="inlineStr">
        <is>
          <t>A friend in the small-town world the film opens in.</t>
        </is>
      </c>
      <c r="J553" s="5" t="inlineStr">
        <is>
          <t>No part in the blackmail plot.</t>
        </is>
      </c>
      <c r="K553" s="19" t="inlineStr">
        <is>
          <t>Credited as Ratanpal Singh, in the comic register of a domestic drama about a concealed child.</t>
        </is>
      </c>
      <c r="L553" s="5" t="n"/>
      <c r="M553" s="5" t="inlineStr">
        <is>
          <t>SOURCE-092</t>
        </is>
      </c>
    </row>
    <row r="554" ht="79" customHeight="1">
      <c r="A554" s="15" t="inlineStr">
        <is>
          <t>CAST-540</t>
        </is>
      </c>
      <c r="B554" s="18" t="inlineStr">
        <is>
          <t>FILM-109</t>
        </is>
      </c>
      <c r="C554" s="5" t="inlineStr">
        <is>
          <t>Heat and Dust</t>
        </is>
      </c>
      <c r="D554" s="17" t="n">
        <v>1983</v>
      </c>
      <c r="E554" s="5" t="inlineStr">
        <is>
          <t>Greta Scacchi</t>
        </is>
      </c>
      <c r="F554" s="5" t="inlineStr">
        <is>
          <t>Olivia Rivers</t>
        </is>
      </c>
      <c r="G554" s="5" t="inlineStr">
        <is>
          <t>Co-lead</t>
        </is>
      </c>
      <c r="H554" s="5" t="inlineStr">
        <is>
          <t>Major</t>
        </is>
      </c>
      <c r="I554" s="5" t="inlineStr">
        <is>
          <t>The young Englishwoman who leaves her civil-servant husband for the Nawab, in the 1923 half of the film.</t>
        </is>
      </c>
      <c r="J554" s="5" t="inlineStr">
        <is>
          <t>The pairing recorded in the Romances sheet as forbidden love, and forbidden by empire: the scandal is racial and political before it is personal.</t>
        </is>
      </c>
      <c r="K554" s="19" t="inlineStr">
        <is>
          <t>Newly married to an assistant collector in Satipur, bored by the narrow society of the memsahibs, warned by the doctor's wife that all Indian men are potential rapists, increasingly enthralled by India itself, and drawn to the Nawab of Khatm.</t>
        </is>
      </c>
      <c r="L554" s="5" t="n"/>
      <c r="M554" s="5" t="inlineStr">
        <is>
          <t>SOURCE-090</t>
        </is>
      </c>
    </row>
    <row r="555" ht="49" customHeight="1">
      <c r="A555" s="15" t="inlineStr">
        <is>
          <t>CAST-541</t>
        </is>
      </c>
      <c r="B555" s="18" t="inlineStr">
        <is>
          <t>FILM-109</t>
        </is>
      </c>
      <c r="C555" s="5" t="inlineStr">
        <is>
          <t>Heat and Dust</t>
        </is>
      </c>
      <c r="D555" s="17" t="n">
        <v>1983</v>
      </c>
      <c r="E555" s="5" t="inlineStr">
        <is>
          <t>Julie Christie</t>
        </is>
      </c>
      <c r="F555" s="5" t="inlineStr">
        <is>
          <t>Anne</t>
        </is>
      </c>
      <c r="G555" s="5" t="inlineStr">
        <is>
          <t>Co-lead</t>
        </is>
      </c>
      <c r="H555" s="5" t="inlineStr">
        <is>
          <t>Major</t>
        </is>
      </c>
      <c r="I555" s="5" t="inlineStr">
        <is>
          <t>No scenes with the Nawab, who belongs to the 1923 story; she investigates it from 1982.</t>
        </is>
      </c>
      <c r="J555" s="5" t="inlineStr">
        <is>
          <t>The frame that reconstructs it, and the second woman whose Indian involvement rhymes with Olivia's.</t>
        </is>
      </c>
      <c r="K555" s="19" t="inlineStr">
        <is>
          <t>An Englishwoman who inherits her great-aunt Olivia's letters and diary, interviews the elderly Harry Hamilton-Paul, and travels to India in 1982 to trace what became of her.</t>
        </is>
      </c>
      <c r="L555" s="5" t="n"/>
      <c r="M555" s="5" t="inlineStr">
        <is>
          <t>SOURCE-090</t>
        </is>
      </c>
    </row>
    <row r="556" ht="64" customHeight="1">
      <c r="A556" s="15" t="inlineStr">
        <is>
          <t>CAST-542</t>
        </is>
      </c>
      <c r="B556" s="18" t="inlineStr">
        <is>
          <t>FILM-109</t>
        </is>
      </c>
      <c r="C556" s="5" t="inlineStr">
        <is>
          <t>Heat and Dust</t>
        </is>
      </c>
      <c r="D556" s="17" t="n">
        <v>1983</v>
      </c>
      <c r="E556" s="5" t="inlineStr">
        <is>
          <t>Christopher Cazenove</t>
        </is>
      </c>
      <c r="F556" s="5" t="inlineStr">
        <is>
          <t>Douglas Rivers</t>
        </is>
      </c>
      <c r="G556" s="5" t="inlineStr">
        <is>
          <t>Family</t>
        </is>
      </c>
      <c r="H556" s="5" t="inlineStr">
        <is>
          <t>Major</t>
        </is>
      </c>
      <c r="I556" s="5" t="inlineStr">
        <is>
          <t>The husband whose wife the Nawab takes, and a functionary of the administration that suspects the Nawab of protecting bandits.</t>
        </is>
      </c>
      <c r="J556" s="5" t="inlineStr">
        <is>
          <t>The marriage the affair breaks, and an attentive one rather than a cruel one.</t>
        </is>
      </c>
      <c r="K556" s="19" t="inlineStr">
        <is>
          <t>An assistant collector in the colonial administration at Satipur, an attentive husband apparently much in love with his wife, who urges her to spend the hot summer in Simla and is refused.</t>
        </is>
      </c>
      <c r="L556" s="5" t="n"/>
      <c r="M556" s="5" t="inlineStr">
        <is>
          <t>SOURCE-090</t>
        </is>
      </c>
    </row>
    <row r="557" ht="64" customHeight="1">
      <c r="A557" s="15" t="inlineStr">
        <is>
          <t>CAST-543</t>
        </is>
      </c>
      <c r="B557" s="18" t="inlineStr">
        <is>
          <t>FILM-109</t>
        </is>
      </c>
      <c r="C557" s="5" t="inlineStr">
        <is>
          <t>Heat and Dust</t>
        </is>
      </c>
      <c r="D557" s="17" t="n">
        <v>1983</v>
      </c>
      <c r="E557" s="5" t="inlineStr">
        <is>
          <t>Madhur Jaffrey</t>
        </is>
      </c>
      <c r="F557" s="5" t="inlineStr">
        <is>
          <t>Begum Mussarat Jahan</t>
        </is>
      </c>
      <c r="G557" s="5" t="inlineStr">
        <is>
          <t>Family</t>
        </is>
      </c>
      <c r="H557" s="5" t="inlineStr">
        <is>
          <t>Major</t>
        </is>
      </c>
      <c r="I557" s="5" t="inlineStr">
        <is>
          <t>The Nawab's mother, inside the palace the Englishwoman is drawn into; her second film with Kapoor, eighteen years after Shakespeare Wallah.</t>
        </is>
      </c>
      <c r="J557" s="5" t="inlineStr">
        <is>
          <t>The family presence against which the affair is conducted.</t>
        </is>
      </c>
      <c r="K557" s="19" t="inlineStr">
        <is>
          <t>The Nawab's mother, in the household at Khatm whose hospitality and pomp the British guests are received with while their administration is moving against her son.</t>
        </is>
      </c>
      <c r="L557" s="5" t="n"/>
      <c r="M557" s="5" t="inlineStr">
        <is>
          <t>SOURCE-090</t>
        </is>
      </c>
    </row>
    <row r="558" ht="64" customHeight="1">
      <c r="A558" s="15" t="inlineStr">
        <is>
          <t>CAST-544</t>
        </is>
      </c>
      <c r="B558" s="18" t="inlineStr">
        <is>
          <t>FILM-109</t>
        </is>
      </c>
      <c r="C558" s="5" t="inlineStr">
        <is>
          <t>Heat and Dust</t>
        </is>
      </c>
      <c r="D558" s="17" t="n">
        <v>1983</v>
      </c>
      <c r="E558" s="5" t="inlineStr">
        <is>
          <t>Nickolas Grace</t>
        </is>
      </c>
      <c r="F558" s="5" t="inlineStr">
        <is>
          <t>Harry Hamilton-Paul</t>
        </is>
      </c>
      <c r="G558" s="5" t="inlineStr">
        <is>
          <t>Friend</t>
        </is>
      </c>
      <c r="H558" s="5" t="inlineStr">
        <is>
          <t>Major</t>
        </is>
      </c>
      <c r="I558" s="5" t="inlineStr">
        <is>
          <t>The Englishman resident in the Nawab's circle, and Olivia's close friend; in old age he is the witness the 1982 story begins with.</t>
        </is>
      </c>
      <c r="J558" s="5" t="inlineStr">
        <is>
          <t>The connecting figure, at home in both the Nawab's palace and Olivia's confidence.</t>
        </is>
      </c>
      <c r="K558" s="19" t="inlineStr">
        <is>
          <t>Olivia's close friend during their years in India and a guest in the Nawab's household, interviewed as an old man by Anne at the start of her investigation.</t>
        </is>
      </c>
      <c r="L558" s="5" t="n"/>
      <c r="M558" s="5" t="inlineStr">
        <is>
          <t>SOURCE-090</t>
        </is>
      </c>
    </row>
    <row r="559" ht="64" customHeight="1">
      <c r="A559" s="15" t="inlineStr">
        <is>
          <t>CAST-545</t>
        </is>
      </c>
      <c r="B559" s="18" t="inlineStr">
        <is>
          <t>FILM-109</t>
        </is>
      </c>
      <c r="C559" s="5" t="inlineStr">
        <is>
          <t>Heat and Dust</t>
        </is>
      </c>
      <c r="D559" s="17" t="n">
        <v>1983</v>
      </c>
      <c r="E559" s="5" t="inlineStr">
        <is>
          <t>Barry Foster</t>
        </is>
      </c>
      <c r="F559" s="5" t="inlineStr">
        <is>
          <t>Major Minnies</t>
        </is>
      </c>
      <c r="G559" s="5" t="inlineStr">
        <is>
          <t>Authority figure</t>
        </is>
      </c>
      <c r="H559" s="5" t="inlineStr">
        <is>
          <t>Medium</t>
        </is>
      </c>
      <c r="I559" s="5" t="inlineStr">
        <is>
          <t>The political agent leading the British case against him, on the suspicion that he shelters bandits for a share of the loot.</t>
        </is>
      </c>
      <c r="J559" s="5" t="inlineStr">
        <is>
          <t>The political pressure that makes the affair ruinous.</t>
        </is>
      </c>
      <c r="K559" s="19" t="inlineStr">
        <is>
          <t>The political agent who with Mr. Crawford leads the British community's manoeuvres against the Nawab of Khatm, suspecting him of colluding with the bandits ransacking the region.</t>
        </is>
      </c>
      <c r="L559" s="5" t="n"/>
      <c r="M559" s="5" t="inlineStr">
        <is>
          <t>SOURCE-090</t>
        </is>
      </c>
    </row>
    <row r="560" ht="94" customHeight="1">
      <c r="A560" s="15" t="inlineStr">
        <is>
          <t>CAST-546</t>
        </is>
      </c>
      <c r="B560" s="18" t="inlineStr">
        <is>
          <t>FILM-109</t>
        </is>
      </c>
      <c r="C560" s="5" t="inlineStr">
        <is>
          <t>Heat and Dust</t>
        </is>
      </c>
      <c r="D560" s="17" t="n">
        <v>1983</v>
      </c>
      <c r="E560" s="5" t="inlineStr">
        <is>
          <t>Jennifer Kendal</t>
        </is>
      </c>
      <c r="F560" s="5" t="inlineStr">
        <is>
          <t>Mrs. Joan Saunders</t>
        </is>
      </c>
      <c r="G560" s="5" t="inlineStr">
        <is>
          <t>Supporting</t>
        </is>
      </c>
      <c r="H560" s="5" t="inlineStr">
        <is>
          <t>Medium</t>
        </is>
      </c>
      <c r="I560" s="5" t="inlineStr">
        <is>
          <t>No scenes with the Nawab, but she supplies the film's plainest statement of the prejudice he is on the wrong side of; Kapoor's own wife, warning the heroine against Indian men in the film where Kapoor plays one.</t>
        </is>
      </c>
      <c r="J560" s="5" t="inlineStr">
        <is>
          <t>The voice of the memsahib society that makes the affair unthinkable.</t>
        </is>
      </c>
      <c r="K560" s="19" t="inlineStr">
        <is>
          <t>The morbid wife of the racist local doctor, who warns Olivia that all Indian men are potential rapists, in the narrow English society that bores her.</t>
        </is>
      </c>
      <c r="L560" s="5" t="n"/>
      <c r="M560" s="5" t="inlineStr">
        <is>
          <t>SOURCE-090</t>
        </is>
      </c>
    </row>
    <row r="561" ht="64" customHeight="1">
      <c r="A561" s="15" t="inlineStr">
        <is>
          <t>CAST-547</t>
        </is>
      </c>
      <c r="B561" s="18" t="inlineStr">
        <is>
          <t>FILM-109</t>
        </is>
      </c>
      <c r="C561" s="5" t="inlineStr">
        <is>
          <t>Heat and Dust</t>
        </is>
      </c>
      <c r="D561" s="17" t="n">
        <v>1983</v>
      </c>
      <c r="E561" s="5" t="inlineStr">
        <is>
          <t>Zakir Hussain</t>
        </is>
      </c>
      <c r="F561" s="5" t="inlineStr">
        <is>
          <t>Inder Lal</t>
        </is>
      </c>
      <c r="G561" s="5" t="inlineStr">
        <is>
          <t>Supporting</t>
        </is>
      </c>
      <c r="H561" s="5" t="inlineStr">
        <is>
          <t>Medium</t>
        </is>
      </c>
      <c r="I561" s="5" t="inlineStr">
        <is>
          <t>No connection to the Nawab; he belongs to Anne's 1982 story, where her involvement with him parallels Olivia's.</t>
        </is>
      </c>
      <c r="J561" s="5" t="inlineStr">
        <is>
          <t>The modern echo of it, in the film's other era.</t>
        </is>
      </c>
      <c r="K561" s="19" t="inlineStr">
        <is>
          <t>Anne's landlord in 1982 India, credited with Ratna Pathak as his wife Ritu and Tarla Mehta as his mother; played by the tabla player Zakir Hussain.</t>
        </is>
      </c>
      <c r="L561" s="5" t="n"/>
      <c r="M561" s="5" t="inlineStr">
        <is>
          <t>SOURCE-090</t>
        </is>
      </c>
    </row>
    <row r="562" ht="79" customHeight="1">
      <c r="A562" s="15" t="inlineStr">
        <is>
          <t>CAST-548</t>
        </is>
      </c>
      <c r="B562" s="18" t="inlineStr">
        <is>
          <t>FILM-110</t>
        </is>
      </c>
      <c r="C562" s="5" t="inlineStr">
        <is>
          <t>Gehri Chot - Urf: Durdesh</t>
        </is>
      </c>
      <c r="D562" s="17" t="n">
        <v>1983</v>
      </c>
      <c r="E562" s="5" t="inlineStr">
        <is>
          <t>Sharmila Tagore</t>
        </is>
      </c>
      <c r="F562" s="5" t="inlineStr">
        <is>
          <t>Shobha</t>
        </is>
      </c>
      <c r="G562" s="5" t="inlineStr">
        <is>
          <t>Co-lead</t>
        </is>
      </c>
      <c r="H562" s="5" t="inlineStr">
        <is>
          <t>Major</t>
        </is>
      </c>
      <c r="I562" s="5" t="inlineStr">
        <is>
          <t>His wife, who cannot settle in Canada, suspects him of an affair with his secretary, and takes their son back to India, dividing the family for twenty years.</t>
        </is>
      </c>
      <c r="J562" s="5" t="inlineStr">
        <is>
          <t>The pairing recorded in the Romances sheet as a marriage under strain: an emigration failure and a suspicion, rather than a villain.</t>
        </is>
      </c>
      <c r="K562" s="19" t="inlineStr">
        <is>
          <t>A traditional Indian woman married to a Toronto businessman, unable to fit into the Western life, who separates from him on suspecting an affair with his secretary and returns to India with their son, leaving him the daughter.</t>
        </is>
      </c>
      <c r="L562" s="5" t="n"/>
      <c r="M562" s="5" t="inlineStr">
        <is>
          <t>SOURCE-091</t>
        </is>
      </c>
    </row>
    <row r="563" ht="79" customHeight="1">
      <c r="A563" s="15" t="inlineStr">
        <is>
          <t>CAST-549</t>
        </is>
      </c>
      <c r="B563" s="18" t="inlineStr">
        <is>
          <t>FILM-110</t>
        </is>
      </c>
      <c r="C563" s="5" t="inlineStr">
        <is>
          <t>Gehri Chot - Urf: Durdesh</t>
        </is>
      </c>
      <c r="D563" s="17" t="n">
        <v>1983</v>
      </c>
      <c r="E563" s="5" t="inlineStr">
        <is>
          <t>Raj Babbar</t>
        </is>
      </c>
      <c r="F563" s="5" t="inlineStr">
        <is>
          <t>Raju</t>
        </is>
      </c>
      <c r="G563" s="5" t="inlineStr">
        <is>
          <t>Family</t>
        </is>
      </c>
      <c r="H563" s="5" t="inlineStr">
        <is>
          <t>Major</t>
        </is>
      </c>
      <c r="I563" s="5" t="inlineStr">
        <is>
          <t>His son, raised in India not knowing him, brought back to Canada on the pretext that his own father is a family friend needing help.</t>
        </is>
      </c>
      <c r="J563" s="5" t="inlineStr">
        <is>
          <t>The consequence of the marriage's failure, and the agent of the family's reassembly.</t>
        </is>
      </c>
      <c r="K563" s="19" t="inlineStr">
        <is>
          <t>Arun and Shobha's son, taken to India as a boy and told twenty years later that the man whose daughter has been kidnapped is an old family friend, who enlists Renu's help, discovers Arun is his father and Pinky his sister, and delivers the ransom.</t>
        </is>
      </c>
      <c r="L563" s="5" t="n"/>
      <c r="M563" s="5" t="inlineStr">
        <is>
          <t>SOURCE-091</t>
        </is>
      </c>
    </row>
    <row r="564" ht="64" customHeight="1">
      <c r="A564" s="15" t="inlineStr">
        <is>
          <t>CAST-550</t>
        </is>
      </c>
      <c r="B564" s="18" t="inlineStr">
        <is>
          <t>FILM-110</t>
        </is>
      </c>
      <c r="C564" s="5" t="inlineStr">
        <is>
          <t>Gehri Chot - Urf: Durdesh</t>
        </is>
      </c>
      <c r="D564" s="17" t="n">
        <v>1983</v>
      </c>
      <c r="E564" s="5" t="inlineStr">
        <is>
          <t>Bobita</t>
        </is>
      </c>
      <c r="F564" s="5" t="inlineStr">
        <is>
          <t>Pinky</t>
        </is>
      </c>
      <c r="G564" s="5" t="inlineStr">
        <is>
          <t>Family</t>
        </is>
      </c>
      <c r="H564" s="5" t="inlineStr">
        <is>
          <t>Major</t>
        </is>
      </c>
      <c r="I564" s="5" t="inlineStr">
        <is>
          <t>His daughter, raised by him in Canada, whose kidnapping reunites the divided family.</t>
        </is>
      </c>
      <c r="J564" s="5" t="inlineStr">
        <is>
          <t>Holds the film's other and stranger romance, with her own kidnapper.</t>
        </is>
      </c>
      <c r="K564" s="19" t="inlineStr">
        <is>
          <t>Arun's daughter, kept with him in Canada after the separation, kidnapped by a gang whose psychopathic leader becomes obsessed with her, and who comes to love him before he is shot dead saving her.</t>
        </is>
      </c>
      <c r="L564" s="5" t="n"/>
      <c r="M564" s="5" t="inlineStr">
        <is>
          <t>SOURCE-091</t>
        </is>
      </c>
    </row>
    <row r="565" ht="64" customHeight="1">
      <c r="A565" s="15" t="inlineStr">
        <is>
          <t>CAST-551</t>
        </is>
      </c>
      <c r="B565" s="18" t="inlineStr">
        <is>
          <t>FILM-110</t>
        </is>
      </c>
      <c r="C565" s="5" t="inlineStr">
        <is>
          <t>Gehri Chot - Urf: Durdesh</t>
        </is>
      </c>
      <c r="D565" s="17" t="n">
        <v>1983</v>
      </c>
      <c r="E565" s="5" t="inlineStr">
        <is>
          <t>Nadeem Baig</t>
        </is>
      </c>
      <c r="F565" s="5" t="inlineStr">
        <is>
          <t>Tony</t>
        </is>
      </c>
      <c r="G565" s="5" t="inlineStr">
        <is>
          <t>Antagonist</t>
        </is>
      </c>
      <c r="H565" s="5" t="inlineStr">
        <is>
          <t>Major</t>
        </is>
      </c>
      <c r="I565" s="5" t="inlineStr">
        <is>
          <t>The kidnapper of his daughter, and by the end the man who dies protecting her.</t>
        </is>
      </c>
      <c r="J565" s="5" t="inlineStr">
        <is>
          <t>The film's second romance, between captor and captive, which it ends by treating as genuine.</t>
        </is>
      </c>
      <c r="K565" s="19" t="inlineStr">
        <is>
          <t>The psychopathic killer who leads the gang that kidnaps Pinky, develops an obsession that becomes mutual, kills his own boss rather than let her be murdered, and is shot several times shielding her from gunfire.</t>
        </is>
      </c>
      <c r="L565" s="5" t="n"/>
      <c r="M565" s="5" t="inlineStr">
        <is>
          <t>SOURCE-091</t>
        </is>
      </c>
    </row>
    <row r="566" ht="34" customHeight="1">
      <c r="A566" s="15" t="inlineStr">
        <is>
          <t>CAST-552</t>
        </is>
      </c>
      <c r="B566" s="18" t="inlineStr">
        <is>
          <t>FILM-110</t>
        </is>
      </c>
      <c r="C566" s="5" t="inlineStr">
        <is>
          <t>Gehri Chot - Urf: Durdesh</t>
        </is>
      </c>
      <c r="D566" s="17" t="n">
        <v>1983</v>
      </c>
      <c r="E566" s="5" t="inlineStr">
        <is>
          <t>Parveen Babi</t>
        </is>
      </c>
      <c r="F566" s="5" t="inlineStr">
        <is>
          <t>Renu</t>
        </is>
      </c>
      <c r="G566" s="5" t="inlineStr">
        <is>
          <t>Supporting</t>
        </is>
      </c>
      <c r="H566" s="5" t="inlineStr">
        <is>
          <t>Medium</t>
        </is>
      </c>
      <c r="I566" s="5" t="inlineStr">
        <is>
          <t>Attached to his son's search rather than to him.</t>
        </is>
      </c>
      <c r="J566" s="5" t="inlineStr">
        <is>
          <t>Outside the marriage and the kidnapping romance alike.</t>
        </is>
      </c>
      <c r="K566" s="19" t="inlineStr">
        <is>
          <t>The woman Raju enlists to help find the gang that has taken Pinky, and who fights off the henchmen with him at the end.</t>
        </is>
      </c>
      <c r="L566" s="5" t="n"/>
      <c r="M566" s="5" t="inlineStr">
        <is>
          <t>SOURCE-091</t>
        </is>
      </c>
    </row>
    <row r="567" ht="49" customHeight="1">
      <c r="A567" s="15" t="inlineStr">
        <is>
          <t>CAST-553</t>
        </is>
      </c>
      <c r="B567" s="18" t="inlineStr">
        <is>
          <t>FILM-110</t>
        </is>
      </c>
      <c r="C567" s="5" t="inlineStr">
        <is>
          <t>Gehri Chot - Urf: Durdesh</t>
        </is>
      </c>
      <c r="D567" s="17" t="n">
        <v>1983</v>
      </c>
      <c r="E567" s="5" t="inlineStr">
        <is>
          <t>David Abraham</t>
        </is>
      </c>
      <c r="F567" s="5" t="inlineStr">
        <is>
          <t>Gang leader</t>
        </is>
      </c>
      <c r="G567" s="5" t="inlineStr">
        <is>
          <t>Antagonist</t>
        </is>
      </c>
      <c r="H567" s="5" t="inlineStr">
        <is>
          <t>Medium</t>
        </is>
      </c>
      <c r="I567" s="5" t="inlineStr">
        <is>
          <t>The head of the gang that took his daughter, and the one who orders her killed.</t>
        </is>
      </c>
      <c r="J567" s="5" t="inlineStr">
        <is>
          <t>The obstacle to the kidnapper's own romance, and killed by him for it.</t>
        </is>
      </c>
      <c r="K567" s="19" t="inlineStr">
        <is>
          <t>The head of the kidnapping gang, who decides Pinky must be killed once Tony gets too close to her, and is killed by Tony instead.</t>
        </is>
      </c>
      <c r="L567" s="5" t="n"/>
      <c r="M567" s="5" t="inlineStr">
        <is>
          <t>SOURCE-091</t>
        </is>
      </c>
    </row>
    <row r="568" ht="64" customHeight="1">
      <c r="A568" s="15" t="inlineStr">
        <is>
          <t>CAST-554</t>
        </is>
      </c>
      <c r="B568" s="18" t="inlineStr">
        <is>
          <t>FILM-112</t>
        </is>
      </c>
      <c r="C568" s="5" t="inlineStr">
        <is>
          <t>Ghar Ek Mandir</t>
        </is>
      </c>
      <c r="D568" s="17" t="n">
        <v>1984</v>
      </c>
      <c r="E568" s="5" t="inlineStr">
        <is>
          <t>Moushumi Chatterjee</t>
        </is>
      </c>
      <c r="F568" s="5" t="inlineStr">
        <is>
          <t>Laxmi</t>
        </is>
      </c>
      <c r="G568" s="5" t="inlineStr">
        <is>
          <t>Co-lead</t>
        </is>
      </c>
      <c r="H568" s="5" t="inlineStr">
        <is>
          <t>Major</t>
        </is>
      </c>
      <c r="I568" s="5" t="inlineStr">
        <is>
          <t>His wife, and after his death the person left to hold the joint household together against a swindler.</t>
        </is>
      </c>
      <c r="J568" s="5" t="inlineStr">
        <is>
          <t>The pairing recorded in the Romances sheet as an established relationship, and ended early by his death.</t>
        </is>
      </c>
      <c r="K568" s="19" t="inlineStr">
        <is>
          <t>Prem's wife in a joint household of three brothers who call their home a temple of love, widowed when Prem is killed, and left with her brother-in-law to defend the house against Seth Dharampal's designs.</t>
        </is>
      </c>
      <c r="L568" s="5" t="n"/>
      <c r="M568" s="5" t="inlineStr">
        <is>
          <t>SOURCE-093</t>
        </is>
      </c>
    </row>
    <row r="569" ht="49" customHeight="1">
      <c r="A569" s="15" t="inlineStr">
        <is>
          <t>CAST-555</t>
        </is>
      </c>
      <c r="B569" s="18" t="inlineStr">
        <is>
          <t>FILM-112</t>
        </is>
      </c>
      <c r="C569" s="5" t="inlineStr">
        <is>
          <t>Ghar Ek Mandir</t>
        </is>
      </c>
      <c r="D569" s="17" t="n">
        <v>1984</v>
      </c>
      <c r="E569" s="5" t="inlineStr">
        <is>
          <t>Mithun Chakraborty</t>
        </is>
      </c>
      <c r="F569" s="5" t="inlineStr">
        <is>
          <t>Ravi</t>
        </is>
      </c>
      <c r="G569" s="5" t="inlineStr">
        <is>
          <t>Co-lead</t>
        </is>
      </c>
      <c r="H569" s="5" t="inlineStr">
        <is>
          <t>Major</t>
        </is>
      </c>
      <c r="I569" s="5" t="inlineStr">
        <is>
          <t>His youngest brother, and the one who takes up the defence of the house after he is killed.</t>
        </is>
      </c>
      <c r="J569" s="5" t="inlineStr">
        <is>
          <t>Holds one of the film's younger romances, with Sunita.</t>
        </is>
      </c>
      <c r="K569" s="19" t="inlineStr">
        <is>
          <t>The youngest of the three brothers, in love with Sunita, who with his widowed sister-in-law takes on the moneylender trying to cheat the family out of their home.</t>
        </is>
      </c>
      <c r="L569" s="5" t="n"/>
      <c r="M569" s="5" t="inlineStr">
        <is>
          <t>SOURCE-093</t>
        </is>
      </c>
    </row>
    <row r="570" ht="34" customHeight="1">
      <c r="A570" s="15" t="inlineStr">
        <is>
          <t>CAST-556</t>
        </is>
      </c>
      <c r="B570" s="18" t="inlineStr">
        <is>
          <t>FILM-112</t>
        </is>
      </c>
      <c r="C570" s="5" t="inlineStr">
        <is>
          <t>Ghar Ek Mandir</t>
        </is>
      </c>
      <c r="D570" s="17" t="n">
        <v>1984</v>
      </c>
      <c r="E570" s="5" t="inlineStr">
        <is>
          <t>Raj Kiran</t>
        </is>
      </c>
      <c r="F570" s="5" t="inlineStr">
        <is>
          <t>Vijay</t>
        </is>
      </c>
      <c r="G570" s="5" t="inlineStr">
        <is>
          <t>Family</t>
        </is>
      </c>
      <c r="H570" s="5" t="inlineStr">
        <is>
          <t>Major</t>
        </is>
      </c>
      <c r="I570" s="5" t="inlineStr">
        <is>
          <t>His other brother in the joint family.</t>
        </is>
      </c>
      <c r="J570" s="5" t="inlineStr">
        <is>
          <t>Holds the film's second younger romance, with Sapna.</t>
        </is>
      </c>
      <c r="K570" s="19" t="inlineStr">
        <is>
          <t>The middle of the three brothers, in love with Sapna, in the joint household the film sets against a scheming creditor.</t>
        </is>
      </c>
      <c r="L570" s="5" t="n"/>
      <c r="M570" s="5" t="inlineStr">
        <is>
          <t>SOURCE-093</t>
        </is>
      </c>
    </row>
    <row r="571" ht="49" customHeight="1">
      <c r="A571" s="15" t="inlineStr">
        <is>
          <t>CAST-557</t>
        </is>
      </c>
      <c r="B571" s="18" t="inlineStr">
        <is>
          <t>FILM-112</t>
        </is>
      </c>
      <c r="C571" s="5" t="inlineStr">
        <is>
          <t>Ghar Ek Mandir</t>
        </is>
      </c>
      <c r="D571" s="17" t="n">
        <v>1984</v>
      </c>
      <c r="E571" s="5" t="inlineStr">
        <is>
          <t>Kader Khan</t>
        </is>
      </c>
      <c r="F571" s="5" t="inlineStr">
        <is>
          <t>Seth Dharamdas</t>
        </is>
      </c>
      <c r="G571" s="5" t="inlineStr">
        <is>
          <t>Antagonist</t>
        </is>
      </c>
      <c r="H571" s="5" t="inlineStr">
        <is>
          <t>Major</t>
        </is>
      </c>
      <c r="I571" s="5" t="inlineStr">
        <is>
          <t>The creditor who moves against the family as soon as he is dead.</t>
        </is>
      </c>
      <c r="J571" s="5" t="inlineStr">
        <is>
          <t>The external threat to the household all three romances belong to.</t>
        </is>
      </c>
      <c r="K571" s="19" t="inlineStr">
        <is>
          <t>A seth who goes all out to cheat the three brothers' family of their home after Prem's death, and whose designs the widow and the youngest brother set out to thwart.</t>
        </is>
      </c>
      <c r="L571" s="5" t="n"/>
      <c r="M571" s="5" t="inlineStr">
        <is>
          <t>SOURCE-093</t>
        </is>
      </c>
    </row>
    <row r="572" ht="49" customHeight="1">
      <c r="A572" s="15" t="inlineStr">
        <is>
          <t>CAST-558</t>
        </is>
      </c>
      <c r="B572" s="18" t="inlineStr">
        <is>
          <t>FILM-112</t>
        </is>
      </c>
      <c r="C572" s="5" t="inlineStr">
        <is>
          <t>Ghar Ek Mandir</t>
        </is>
      </c>
      <c r="D572" s="17" t="n">
        <v>1984</v>
      </c>
      <c r="E572" s="5" t="inlineStr">
        <is>
          <t>Ranjeeta Kaur</t>
        </is>
      </c>
      <c r="F572" s="5" t="inlineStr">
        <is>
          <t>Sunita</t>
        </is>
      </c>
      <c r="G572" s="5" t="inlineStr">
        <is>
          <t>Supporting</t>
        </is>
      </c>
      <c r="H572" s="5" t="inlineStr">
        <is>
          <t>Medium</t>
        </is>
      </c>
      <c r="I572" s="5" t="inlineStr">
        <is>
          <t>His youngest brother's attachment, and the daughter of one of the film's antagonists.</t>
        </is>
      </c>
      <c r="J572" s="5" t="inlineStr">
        <is>
          <t>A younger romance complicated by her father's position.</t>
        </is>
      </c>
      <c r="K572" s="19" t="inlineStr">
        <is>
          <t>Ravi's love interest, daughter of Prem Chopra's Sahu, one of the two younger couples in the household.</t>
        </is>
      </c>
      <c r="L572" s="5" t="n"/>
      <c r="M572" s="5" t="inlineStr">
        <is>
          <t>SOURCE-093</t>
        </is>
      </c>
    </row>
    <row r="573" ht="34" customHeight="1">
      <c r="A573" s="15" t="inlineStr">
        <is>
          <t>CAST-559</t>
        </is>
      </c>
      <c r="B573" s="18" t="inlineStr">
        <is>
          <t>FILM-112</t>
        </is>
      </c>
      <c r="C573" s="5" t="inlineStr">
        <is>
          <t>Ghar Ek Mandir</t>
        </is>
      </c>
      <c r="D573" s="17" t="n">
        <v>1984</v>
      </c>
      <c r="E573" s="5" t="inlineStr">
        <is>
          <t>Suresh Oberoi</t>
        </is>
      </c>
      <c r="F573" s="5" t="inlineStr">
        <is>
          <t>Rahim</t>
        </is>
      </c>
      <c r="G573" s="5" t="inlineStr">
        <is>
          <t>Friend</t>
        </is>
      </c>
      <c r="H573" s="5" t="inlineStr">
        <is>
          <t>Medium</t>
        </is>
      </c>
      <c r="I573" s="5" t="inlineStr">
        <is>
          <t>A friend of the family, credited as such.</t>
        </is>
      </c>
      <c r="J573" s="5" t="inlineStr">
        <is>
          <t>No part in it.</t>
        </is>
      </c>
      <c r="K573" s="19" t="inlineStr">
        <is>
          <t>Credited as Prem's family friend, on the household's side of its fight with the seth.</t>
        </is>
      </c>
      <c r="L573" s="5" t="n"/>
      <c r="M573" s="5" t="inlineStr">
        <is>
          <t>SOURCE-093</t>
        </is>
      </c>
    </row>
    <row r="574" ht="34" customHeight="1">
      <c r="A574" s="15" t="inlineStr">
        <is>
          <t>CAST-560</t>
        </is>
      </c>
      <c r="B574" s="18" t="inlineStr">
        <is>
          <t>FILM-112</t>
        </is>
      </c>
      <c r="C574" s="5" t="inlineStr">
        <is>
          <t>Ghar Ek Mandir</t>
        </is>
      </c>
      <c r="D574" s="17" t="n">
        <v>1984</v>
      </c>
      <c r="E574" s="5" t="inlineStr">
        <is>
          <t>Prem Chopra</t>
        </is>
      </c>
      <c r="F574" s="5" t="inlineStr">
        <is>
          <t>Sahu</t>
        </is>
      </c>
      <c r="G574" s="5" t="inlineStr">
        <is>
          <t>Antagonist</t>
        </is>
      </c>
      <c r="H574" s="5" t="inlineStr">
        <is>
          <t>Medium</t>
        </is>
      </c>
      <c r="I574" s="5" t="inlineStr">
        <is>
          <t>Sunita's father, and part of the interest ranged against the family.</t>
        </is>
      </c>
      <c r="J574" s="5" t="inlineStr">
        <is>
          <t>The obstacle to his brother's romance.</t>
        </is>
      </c>
      <c r="K574" s="19" t="inlineStr">
        <is>
          <t>Credited as Sahu, Sunita's father, on the opposing side of the property conflict his daughter's romance crosses.</t>
        </is>
      </c>
      <c r="L574" s="5" t="n"/>
      <c r="M574" s="5" t="inlineStr">
        <is>
          <t>SOURCE-093</t>
        </is>
      </c>
    </row>
    <row r="575" ht="64" customHeight="1">
      <c r="A575" s="15" t="inlineStr">
        <is>
          <t>CAST-561</t>
        </is>
      </c>
      <c r="B575" s="18" t="inlineStr">
        <is>
          <t>FILM-113</t>
        </is>
      </c>
      <c r="C575" s="5" t="inlineStr">
        <is>
          <t>Zameen Aasmaan</t>
        </is>
      </c>
      <c r="D575" s="17" t="n">
        <v>1984</v>
      </c>
      <c r="E575" s="5" t="inlineStr">
        <is>
          <t>Raakhee</t>
        </is>
      </c>
      <c r="F575" s="5" t="inlineStr">
        <is>
          <t>Kavita</t>
        </is>
      </c>
      <c r="G575" s="5" t="inlineStr">
        <is>
          <t>Co-lead</t>
        </is>
      </c>
      <c r="H575" s="5" t="inlineStr">
        <is>
          <t>Major</t>
        </is>
      </c>
      <c r="I575" s="5" t="inlineStr">
        <is>
          <t>Kapoor's part is a cameo as a doctor; the article's one-sentence description of the film does not connect them.</t>
        </is>
      </c>
      <c r="J575" s="5" t="inlineStr">
        <is>
          <t>Not documented, and romance presence is recorded as None for Kapoor's character.</t>
        </is>
      </c>
      <c r="K575" s="19" t="inlineStr">
        <is>
          <t>Credited as Kavita, first among the women in a film the article summarises in a single sentence about a widower, a run of luck, and a new bride who resembles his late wife and may not mean him well.</t>
        </is>
      </c>
      <c r="L575" s="5" t="n"/>
      <c r="M575" s="5" t="inlineStr">
        <is>
          <t>SOURCE-094</t>
        </is>
      </c>
    </row>
    <row r="576" ht="64" customHeight="1">
      <c r="A576" s="15" t="inlineStr">
        <is>
          <t>CAST-562</t>
        </is>
      </c>
      <c r="B576" s="18" t="inlineStr">
        <is>
          <t>FILM-113</t>
        </is>
      </c>
      <c r="C576" s="5" t="inlineStr">
        <is>
          <t>Zameen Aasmaan</t>
        </is>
      </c>
      <c r="D576" s="17" t="n">
        <v>1984</v>
      </c>
      <c r="E576" s="5" t="inlineStr">
        <is>
          <t>Rekha</t>
        </is>
      </c>
      <c r="F576" s="5" t="inlineStr">
        <is>
          <t>Dr. Kanchan</t>
        </is>
      </c>
      <c r="G576" s="5" t="inlineStr">
        <is>
          <t>Co-lead</t>
        </is>
      </c>
      <c r="H576" s="5" t="inlineStr">
        <is>
          <t>Major</t>
        </is>
      </c>
      <c r="I576" s="5" t="inlineStr">
        <is>
          <t>Shares the medical profession of Kapoor's Dr. Kailash; with only one sentence of plot in the article the connection is undocumented.</t>
        </is>
      </c>
      <c r="J576" s="5" t="inlineStr">
        <is>
          <t>Not documented.</t>
        </is>
      </c>
      <c r="K576" s="19" t="inlineStr">
        <is>
          <t>Credited as Dr. Kanchan, the second doctor in a cast where Kapoor's cameo is also a physician. The article gives no plot beyond its one-line premise.</t>
        </is>
      </c>
      <c r="L576" s="5" t="n"/>
      <c r="M576" s="5" t="inlineStr">
        <is>
          <t>SOURCE-094</t>
        </is>
      </c>
    </row>
    <row r="577" ht="49" customHeight="1">
      <c r="A577" s="15" t="inlineStr">
        <is>
          <t>CAST-563</t>
        </is>
      </c>
      <c r="B577" s="18" t="inlineStr">
        <is>
          <t>FILM-113</t>
        </is>
      </c>
      <c r="C577" s="5" t="inlineStr">
        <is>
          <t>Zameen Aasmaan</t>
        </is>
      </c>
      <c r="D577" s="17" t="n">
        <v>1984</v>
      </c>
      <c r="E577" s="5" t="inlineStr">
        <is>
          <t>Sanjay Dutt</t>
        </is>
      </c>
      <c r="F577" s="5" t="inlineStr">
        <is>
          <t>Sanjay</t>
        </is>
      </c>
      <c r="G577" s="5" t="inlineStr">
        <is>
          <t>Co-lead</t>
        </is>
      </c>
      <c r="H577" s="5" t="inlineStr">
        <is>
          <t>Major</t>
        </is>
      </c>
      <c r="I577" s="5" t="inlineStr">
        <is>
          <t>Not documented; the article's single sentence of plot names no character.</t>
        </is>
      </c>
      <c r="J577" s="5" t="inlineStr">
        <is>
          <t>Not documented.</t>
        </is>
      </c>
      <c r="K577" s="19" t="inlineStr">
        <is>
          <t>Credited as Sanjay, in one of his earliest films. The article carries a one-sentence premise and no further plot.</t>
        </is>
      </c>
      <c r="L577" s="5" t="n"/>
      <c r="M577" s="5" t="inlineStr">
        <is>
          <t>SOURCE-094</t>
        </is>
      </c>
    </row>
    <row r="578" ht="79" customHeight="1">
      <c r="A578" s="15" t="inlineStr">
        <is>
          <t>CAST-564</t>
        </is>
      </c>
      <c r="B578" s="18" t="inlineStr">
        <is>
          <t>FILM-114</t>
        </is>
      </c>
      <c r="C578" s="5" t="inlineStr">
        <is>
          <t>Utsav</t>
        </is>
      </c>
      <c r="D578" s="17" t="n">
        <v>1984</v>
      </c>
      <c r="E578" s="5" t="inlineStr">
        <is>
          <t>Rekha</t>
        </is>
      </c>
      <c r="F578" s="5" t="inlineStr">
        <is>
          <t>Vasantsena</t>
        </is>
      </c>
      <c r="G578" s="5" t="inlineStr">
        <is>
          <t>Co-lead</t>
        </is>
      </c>
      <c r="H578" s="5" t="inlineStr">
        <is>
          <t>Major</t>
        </is>
      </c>
      <c r="I578" s="5" t="inlineStr">
        <is>
          <t>The courtesan Kapoor's Samsthanak pursues and cannot have, in a film Kapoor produced and in which he plays the obstacle rather than the lover.</t>
        </is>
      </c>
      <c r="J578" s="5" t="inlineStr">
        <is>
          <t>The film's romance belongs to her and Charudutt; Kapoor's character is the pursuer outside it, which is why romance presence is left blank for him and no pairing row was created.</t>
        </is>
      </c>
      <c r="K578" s="19" t="inlineStr">
        <is>
          <t>A celebrated courtesan of Ujjain whose chance meeting with a poor Brahmin becomes the film's love story, and who is the object of the king's brother-in-law's unwanted attention.</t>
        </is>
      </c>
      <c r="L578" s="5" t="n"/>
      <c r="M578" s="5" t="inlineStr">
        <is>
          <t>SOURCE-095</t>
        </is>
      </c>
    </row>
    <row r="579" ht="49" customHeight="1">
      <c r="A579" s="15" t="inlineStr">
        <is>
          <t>CAST-565</t>
        </is>
      </c>
      <c r="B579" s="18" t="inlineStr">
        <is>
          <t>FILM-114</t>
        </is>
      </c>
      <c r="C579" s="5" t="inlineStr">
        <is>
          <t>Utsav</t>
        </is>
      </c>
      <c r="D579" s="17" t="n">
        <v>1984</v>
      </c>
      <c r="E579" s="5" t="inlineStr">
        <is>
          <t>Shekhar Suman</t>
        </is>
      </c>
      <c r="F579" s="5" t="inlineStr">
        <is>
          <t>Charudutt</t>
        </is>
      </c>
      <c r="G579" s="5" t="inlineStr">
        <is>
          <t>Co-lead</t>
        </is>
      </c>
      <c r="H579" s="5" t="inlineStr">
        <is>
          <t>Major</t>
        </is>
      </c>
      <c r="I579" s="5" t="inlineStr">
        <is>
          <t>The poor Brahmin who has what Kapoor's Samsthanak wants, which makes him the rival at the film's centre.</t>
        </is>
      </c>
      <c r="J579" s="5" t="inlineStr">
        <is>
          <t>The romance itself, opposite Vasantsena.</t>
        </is>
      </c>
      <c r="K579" s="19" t="inlineStr">
        <is>
          <t>A poor Brahmin of Ujjain whose chance meeting with the courtesan Vasantsena becomes a love affair, set against the pursuit of her by a powerful man.</t>
        </is>
      </c>
      <c r="L579" s="5" t="n"/>
      <c r="M579" s="5" t="inlineStr">
        <is>
          <t>SOURCE-095</t>
        </is>
      </c>
    </row>
    <row r="580" ht="49" customHeight="1">
      <c r="A580" s="15" t="inlineStr">
        <is>
          <t>CAST-566</t>
        </is>
      </c>
      <c r="B580" s="18" t="inlineStr">
        <is>
          <t>FILM-114</t>
        </is>
      </c>
      <c r="C580" s="5" t="inlineStr">
        <is>
          <t>Utsav</t>
        </is>
      </c>
      <c r="D580" s="17" t="n">
        <v>1984</v>
      </c>
      <c r="E580" s="5" t="inlineStr">
        <is>
          <t>Amjad Khan</t>
        </is>
      </c>
      <c r="F580" s="5" t="inlineStr">
        <is>
          <t>Vatsayana</t>
        </is>
      </c>
      <c r="G580" s="5" t="inlineStr">
        <is>
          <t>Supporting</t>
        </is>
      </c>
      <c r="H580" s="5" t="inlineStr">
        <is>
          <t>Major</t>
        </is>
      </c>
      <c r="I580" s="5" t="inlineStr">
        <is>
          <t>Outside the pursuit, and doubling as the film's narrator.</t>
        </is>
      </c>
      <c r="J580" s="5" t="inlineStr">
        <is>
          <t>Frames it: the author of the Kamasutra observing a story of courtesans and lovers.</t>
        </is>
      </c>
      <c r="K580" s="19" t="inlineStr">
        <is>
          <t>Vatsayana, author of the Kamasutra, who also narrates the film, watching the Ujjain of courtesans, thieves and lovers that the story is set in.</t>
        </is>
      </c>
      <c r="L580" s="5" t="n"/>
      <c r="M580" s="5" t="inlineStr">
        <is>
          <t>SOURCE-095</t>
        </is>
      </c>
    </row>
    <row r="581" ht="34" customHeight="1">
      <c r="A581" s="15" t="inlineStr">
        <is>
          <t>CAST-567</t>
        </is>
      </c>
      <c r="B581" s="18" t="inlineStr">
        <is>
          <t>FILM-114</t>
        </is>
      </c>
      <c r="C581" s="5" t="inlineStr">
        <is>
          <t>Utsav</t>
        </is>
      </c>
      <c r="D581" s="17" t="n">
        <v>1984</v>
      </c>
      <c r="E581" s="5" t="inlineStr">
        <is>
          <t>Anuradha Patel</t>
        </is>
      </c>
      <c r="F581" s="5" t="inlineStr">
        <is>
          <t>Aditi</t>
        </is>
      </c>
      <c r="G581" s="5" t="inlineStr">
        <is>
          <t>Supporting</t>
        </is>
      </c>
      <c r="H581" s="5" t="inlineStr">
        <is>
          <t>Medium</t>
        </is>
      </c>
      <c r="I581" s="5" t="inlineStr">
        <is>
          <t>No part in Samsthanak's pursuit; she belongs to the Brahmin's household.</t>
        </is>
      </c>
      <c r="J581" s="5" t="inlineStr">
        <is>
          <t>The wife the romance is conducted against.</t>
        </is>
      </c>
      <c r="K581" s="19" t="inlineStr">
        <is>
          <t>Credited as Aditi, in the household of the poor Brahmin whose affair with a courtesan the film follows.</t>
        </is>
      </c>
      <c r="L581" s="5" t="n"/>
      <c r="M581" s="5" t="inlineStr">
        <is>
          <t>SOURCE-095</t>
        </is>
      </c>
    </row>
    <row r="582" ht="34" customHeight="1">
      <c r="A582" s="15" t="inlineStr">
        <is>
          <t>CAST-568</t>
        </is>
      </c>
      <c r="B582" s="18" t="inlineStr">
        <is>
          <t>FILM-114</t>
        </is>
      </c>
      <c r="C582" s="5" t="inlineStr">
        <is>
          <t>Utsav</t>
        </is>
      </c>
      <c r="D582" s="17" t="n">
        <v>1984</v>
      </c>
      <c r="E582" s="5" t="inlineStr">
        <is>
          <t>Neena Gupta</t>
        </is>
      </c>
      <c r="F582" s="5" t="inlineStr">
        <is>
          <t>Madanika</t>
        </is>
      </c>
      <c r="G582" s="5" t="inlineStr">
        <is>
          <t>Supporting</t>
        </is>
      </c>
      <c r="H582" s="5" t="inlineStr">
        <is>
          <t>Medium</t>
        </is>
      </c>
      <c r="I582" s="5" t="inlineStr">
        <is>
          <t>Belongs to the courtesan's household rather than to Samsthanak's.</t>
        </is>
      </c>
      <c r="J582" s="5" t="inlineStr">
        <is>
          <t>Part of the world the central romance moves through.</t>
        </is>
      </c>
      <c r="K582" s="19" t="inlineStr">
        <is>
          <t>Credited as Madanika, among the women of the courtesan's establishment in Ujjain.</t>
        </is>
      </c>
      <c r="L582" s="5" t="n"/>
      <c r="M582" s="5" t="inlineStr">
        <is>
          <t>SOURCE-095</t>
        </is>
      </c>
    </row>
    <row r="583" ht="34" customHeight="1">
      <c r="A583" s="15" t="inlineStr">
        <is>
          <t>CAST-569</t>
        </is>
      </c>
      <c r="B583" s="18" t="inlineStr">
        <is>
          <t>FILM-114</t>
        </is>
      </c>
      <c r="C583" s="5" t="inlineStr">
        <is>
          <t>Utsav</t>
        </is>
      </c>
      <c r="D583" s="17" t="n">
        <v>1984</v>
      </c>
      <c r="E583" s="5" t="inlineStr">
        <is>
          <t>Shankar Nag</t>
        </is>
      </c>
      <c r="F583" s="5" t="inlineStr">
        <is>
          <t>Sajjal</t>
        </is>
      </c>
      <c r="G583" s="5" t="inlineStr">
        <is>
          <t>Supporting</t>
        </is>
      </c>
      <c r="H583" s="5" t="inlineStr">
        <is>
          <t>Medium</t>
        </is>
      </c>
      <c r="I583" s="5" t="inlineStr">
        <is>
          <t>Credited in Samsthanak's orbit, as the instrument of his will.</t>
        </is>
      </c>
      <c r="J583" s="5" t="inlineStr">
        <is>
          <t>A threat to the couple on the pursuer's behalf.</t>
        </is>
      </c>
      <c r="K583" s="19" t="inlineStr">
        <is>
          <t>Credited as Sajjal, attached to the powerful Samsthanak in his pursuit of the courtesan.</t>
        </is>
      </c>
      <c r="L583" s="5" t="n"/>
      <c r="M583" s="5" t="inlineStr">
        <is>
          <t>SOURCE-095</t>
        </is>
      </c>
    </row>
    <row r="584" ht="64" customHeight="1">
      <c r="A584" s="15" t="inlineStr">
        <is>
          <t>CAST-570</t>
        </is>
      </c>
      <c r="B584" s="18" t="inlineStr">
        <is>
          <t>FILM-114</t>
        </is>
      </c>
      <c r="C584" s="5" t="inlineStr">
        <is>
          <t>Utsav</t>
        </is>
      </c>
      <c r="D584" s="17" t="n">
        <v>1984</v>
      </c>
      <c r="E584" s="5" t="inlineStr">
        <is>
          <t>Kunal Kapoor</t>
        </is>
      </c>
      <c r="F584" s="5" t="inlineStr">
        <is>
          <t>Aryak</t>
        </is>
      </c>
      <c r="G584" s="5" t="inlineStr">
        <is>
          <t>Supporting</t>
        </is>
      </c>
      <c r="H584" s="5" t="inlineStr">
        <is>
          <t>Medium</t>
        </is>
      </c>
      <c r="I584" s="5" t="inlineStr">
        <is>
          <t>Outside the pursuit; Kapoor's son again, in a film Kapoor produced, with Kulbhushan Kharbanda credited as Aryak's teacher.</t>
        </is>
      </c>
      <c r="J584" s="5" t="inlineStr">
        <is>
          <t>No part in it.</t>
        </is>
      </c>
      <c r="K584" s="19" t="inlineStr">
        <is>
          <t>Credited as Aryak, with a teacher of his own in the cast list, played by Kapoor's elder son in his father's own production.</t>
        </is>
      </c>
      <c r="L584" s="5" t="n"/>
      <c r="M584" s="5" t="inlineStr">
        <is>
          <t>SOURCE-095</t>
        </is>
      </c>
    </row>
    <row r="585" ht="64" customHeight="1">
      <c r="A585" s="15" t="inlineStr">
        <is>
          <t>CAST-571</t>
        </is>
      </c>
      <c r="B585" s="18" t="inlineStr">
        <is>
          <t>FILM-114</t>
        </is>
      </c>
      <c r="C585" s="5" t="inlineStr">
        <is>
          <t>Utsav</t>
        </is>
      </c>
      <c r="D585" s="17" t="n">
        <v>1984</v>
      </c>
      <c r="E585" s="5" t="inlineStr">
        <is>
          <t>Sanjana Kapoor</t>
        </is>
      </c>
      <c r="F585" s="5" t="inlineStr">
        <is>
          <t>Courtesan slave</t>
        </is>
      </c>
      <c r="G585" s="5" t="inlineStr">
        <is>
          <t>Supporting</t>
        </is>
      </c>
      <c r="H585" s="5" t="inlineStr">
        <is>
          <t>Minor</t>
        </is>
      </c>
      <c r="I585" s="5" t="inlineStr">
        <is>
          <t>No documented part in the pursuit; Kapoor's daughter, making this the second of her father's productions she appears in after Junoon.</t>
        </is>
      </c>
      <c r="J585" s="5" t="inlineStr">
        <is>
          <t>Part of the courtesan household the romance belongs to.</t>
        </is>
      </c>
      <c r="K585" s="19" t="inlineStr">
        <is>
          <t>Credited as a courtesan's slave, played by Kapoor's daughter, who had appeared as a child in his production of Junoon five years earlier.</t>
        </is>
      </c>
      <c r="L585" s="5" t="n"/>
      <c r="M585" s="5" t="inlineStr">
        <is>
          <t>SOURCE-095</t>
        </is>
      </c>
    </row>
    <row r="586" ht="79" customHeight="1">
      <c r="A586" s="15" t="inlineStr">
        <is>
          <t>CAST-572</t>
        </is>
      </c>
      <c r="B586" s="18" t="inlineStr">
        <is>
          <t>FILM-115</t>
        </is>
      </c>
      <c r="C586" s="5" t="inlineStr">
        <is>
          <t>Pighalta Aasman</t>
        </is>
      </c>
      <c r="D586" s="17" t="n">
        <v>1985</v>
      </c>
      <c r="E586" s="5" t="inlineStr">
        <is>
          <t>Raakhee</t>
        </is>
      </c>
      <c r="F586" s="5" t="inlineStr">
        <is>
          <t>Aarti Singh Rathod</t>
        </is>
      </c>
      <c r="G586" s="5" t="inlineStr">
        <is>
          <t>Co-lead</t>
        </is>
      </c>
      <c r="H586" s="5" t="inlineStr">
        <is>
          <t>Major</t>
        </is>
      </c>
      <c r="I586" s="5" t="inlineStr">
        <is>
          <t>The businesswoman who travels to Kashmir to evict him from her land and falls in love with him instead.</t>
        </is>
      </c>
      <c r="J586" s="5" t="inlineStr">
        <is>
          <t>The pairing recorded in the Romances sheet as rivals to lovers: the relationship begins as a property dispute between families with a history.</t>
        </is>
      </c>
      <c r="K586" s="19" t="inlineStr">
        <is>
          <t>A wealthy Delhi businesswoman who goes to Kashmir to take possession of land occupied by Suraj Arora, learns from her nanny that the Aroras raised her before her father grew rich and cut them off, falls in love with him, and finds her friend and employee in love with him too.</t>
        </is>
      </c>
      <c r="L586" s="5" t="n"/>
      <c r="M586" s="5" t="inlineStr">
        <is>
          <t>SOURCE-096</t>
        </is>
      </c>
    </row>
    <row r="587" ht="49" customHeight="1">
      <c r="A587" s="15" t="inlineStr">
        <is>
          <t>CAST-573</t>
        </is>
      </c>
      <c r="B587" s="18" t="inlineStr">
        <is>
          <t>FILM-115</t>
        </is>
      </c>
      <c r="C587" s="5" t="inlineStr">
        <is>
          <t>Pighalta Aasman</t>
        </is>
      </c>
      <c r="D587" s="17" t="n">
        <v>1985</v>
      </c>
      <c r="E587" s="5" t="inlineStr">
        <is>
          <t>Rati Agnihotri</t>
        </is>
      </c>
      <c r="F587" s="5" t="inlineStr">
        <is>
          <t>Anuradha</t>
        </is>
      </c>
      <c r="G587" s="5" t="inlineStr">
        <is>
          <t>Romantic rival</t>
        </is>
      </c>
      <c r="H587" s="5" t="inlineStr">
        <is>
          <t>Major</t>
        </is>
      </c>
      <c r="I587" s="5" t="inlineStr">
        <is>
          <t>The other woman in love with him, and her rival's own friend and employee.</t>
        </is>
      </c>
      <c r="J587" s="5" t="inlineStr">
        <is>
          <t>The competing claim, and the source of the competitiveness the article says changes everyone's lives.</t>
        </is>
      </c>
      <c r="K587" s="19" t="inlineStr">
        <is>
          <t>Aarti's friend and employee, who also falls in love with Suraj, creating the complications and competition between the two women that the film turns on.</t>
        </is>
      </c>
      <c r="L587" s="5" t="n"/>
      <c r="M587" s="5" t="inlineStr">
        <is>
          <t>SOURCE-096</t>
        </is>
      </c>
    </row>
    <row r="588" ht="64" customHeight="1">
      <c r="A588" s="15" t="inlineStr">
        <is>
          <t>CAST-574</t>
        </is>
      </c>
      <c r="B588" s="18" t="inlineStr">
        <is>
          <t>FILM-115</t>
        </is>
      </c>
      <c r="C588" s="5" t="inlineStr">
        <is>
          <t>Pighalta Aasman</t>
        </is>
      </c>
      <c r="D588" s="17" t="n">
        <v>1985</v>
      </c>
      <c r="E588" s="5" t="inlineStr">
        <is>
          <t>Leela Mishra</t>
        </is>
      </c>
      <c r="F588" s="5" t="inlineStr">
        <is>
          <t>Suku</t>
        </is>
      </c>
      <c r="G588" s="5" t="inlineStr">
        <is>
          <t>Family</t>
        </is>
      </c>
      <c r="H588" s="5" t="inlineStr">
        <is>
          <t>Medium</t>
        </is>
      </c>
      <c r="I588" s="5" t="inlineStr">
        <is>
          <t>The nanny who tells Aarti that his family raised her, which is what turns the eviction into a reconciliation.</t>
        </is>
      </c>
      <c r="J588" s="5" t="inlineStr">
        <is>
          <t>Supplies the history that makes the romance possible.</t>
        </is>
      </c>
      <c r="K588" s="19" t="inlineStr">
        <is>
          <t>Aarti's nanny, who tells her she was brought up by the Arora family until her father grew wealthy and broke off all relations with them.</t>
        </is>
      </c>
      <c r="L588" s="5" t="n"/>
      <c r="M588" s="5" t="inlineStr">
        <is>
          <t>SOURCE-096</t>
        </is>
      </c>
    </row>
    <row r="589" ht="49" customHeight="1">
      <c r="A589" s="15" t="inlineStr">
        <is>
          <t>CAST-575</t>
        </is>
      </c>
      <c r="B589" s="18" t="inlineStr">
        <is>
          <t>FILM-115</t>
        </is>
      </c>
      <c r="C589" s="5" t="inlineStr">
        <is>
          <t>Pighalta Aasman</t>
        </is>
      </c>
      <c r="D589" s="17" t="n">
        <v>1985</v>
      </c>
      <c r="E589" s="5" t="inlineStr">
        <is>
          <t>Sudhir Pandey</t>
        </is>
      </c>
      <c r="F589" s="5" t="inlineStr">
        <is>
          <t>Lala Karan Singh Rathod</t>
        </is>
      </c>
      <c r="G589" s="5" t="inlineStr">
        <is>
          <t>Family</t>
        </is>
      </c>
      <c r="H589" s="5" t="inlineStr">
        <is>
          <t>Medium</t>
        </is>
      </c>
      <c r="I589" s="5" t="inlineStr">
        <is>
          <t>Aarti's father, who cut off the family that raised his daughter once he became rich.</t>
        </is>
      </c>
      <c r="J589" s="5" t="inlineStr">
        <is>
          <t>The original rupture between the two families that the romance repairs.</t>
        </is>
      </c>
      <c r="K589" s="19" t="inlineStr">
        <is>
          <t>Aarti's father, who became wealthy and severed all relations with the Arora family that had brought his daughter up.</t>
        </is>
      </c>
      <c r="L589" s="5" t="n"/>
      <c r="M589" s="5" t="inlineStr">
        <is>
          <t>SOURCE-096</t>
        </is>
      </c>
    </row>
    <row r="590" ht="49" customHeight="1">
      <c r="A590" s="15" t="inlineStr">
        <is>
          <t>CAST-576</t>
        </is>
      </c>
      <c r="B590" s="18" t="inlineStr">
        <is>
          <t>FILM-115</t>
        </is>
      </c>
      <c r="C590" s="5" t="inlineStr">
        <is>
          <t>Pighalta Aasman</t>
        </is>
      </c>
      <c r="D590" s="17" t="n">
        <v>1985</v>
      </c>
      <c r="E590" s="5" t="inlineStr">
        <is>
          <t>Sushma Seth</t>
        </is>
      </c>
      <c r="F590" s="5" t="inlineStr">
        <is>
          <t>Karuna Arora</t>
        </is>
      </c>
      <c r="G590" s="5" t="inlineStr">
        <is>
          <t>Family</t>
        </is>
      </c>
      <c r="H590" s="5" t="inlineStr">
        <is>
          <t>Medium</t>
        </is>
      </c>
      <c r="I590" s="5" t="inlineStr">
        <is>
          <t>Of his own family, the Aroras who raised the woman now come to evict them.</t>
        </is>
      </c>
      <c r="J590" s="5" t="inlineStr">
        <is>
          <t>The household on his side of the reconciliation.</t>
        </is>
      </c>
      <c r="K590" s="19" t="inlineStr">
        <is>
          <t>Credited as Karuna Arora, of the family that raised Aarti before her father's wealth separated them.</t>
        </is>
      </c>
      <c r="L590" s="5" t="n"/>
      <c r="M590" s="5" t="inlineStr">
        <is>
          <t>SOURCE-096</t>
        </is>
      </c>
    </row>
    <row r="591" ht="49" customHeight="1">
      <c r="A591" s="15" t="inlineStr">
        <is>
          <t>CAST-577</t>
        </is>
      </c>
      <c r="B591" s="18" t="inlineStr">
        <is>
          <t>FILM-115</t>
        </is>
      </c>
      <c r="C591" s="5" t="inlineStr">
        <is>
          <t>Pighalta Aasman</t>
        </is>
      </c>
      <c r="D591" s="17" t="n">
        <v>1985</v>
      </c>
      <c r="E591" s="5" t="inlineStr">
        <is>
          <t>Deven Verma</t>
        </is>
      </c>
      <c r="F591" s="5" t="inlineStr">
        <is>
          <t>Badal</t>
        </is>
      </c>
      <c r="G591" s="5" t="inlineStr">
        <is>
          <t>Comic support</t>
        </is>
      </c>
      <c r="H591" s="5" t="inlineStr">
        <is>
          <t>Medium</t>
        </is>
      </c>
      <c r="I591" s="5" t="inlineStr">
        <is>
          <t>Comic support in the Kashmir setting where the land dispute becomes a courtship.</t>
        </is>
      </c>
      <c r="J591" s="5" t="inlineStr">
        <is>
          <t>No part in the rivalry between the two women.</t>
        </is>
      </c>
      <c r="K591" s="19" t="inlineStr">
        <is>
          <t>Credited as Badal, in the comic register of a film about a disputed piece of Kashmiri land.</t>
        </is>
      </c>
      <c r="L591" s="5" t="n"/>
      <c r="M591" s="5" t="inlineStr">
        <is>
          <t>SOURCE-096</t>
        </is>
      </c>
    </row>
    <row r="592" ht="34" customHeight="1">
      <c r="A592" s="15" t="inlineStr">
        <is>
          <t>CAST-578</t>
        </is>
      </c>
      <c r="B592" s="18" t="inlineStr">
        <is>
          <t>FILM-115</t>
        </is>
      </c>
      <c r="C592" s="5" t="inlineStr">
        <is>
          <t>Pighalta Aasman</t>
        </is>
      </c>
      <c r="D592" s="17" t="n">
        <v>1985</v>
      </c>
      <c r="E592" s="5" t="inlineStr">
        <is>
          <t>A. K. Hangal</t>
        </is>
      </c>
      <c r="F592" s="5" t="inlineStr">
        <is>
          <t>Masterji</t>
        </is>
      </c>
      <c r="G592" s="5" t="inlineStr">
        <is>
          <t>Supporting</t>
        </is>
      </c>
      <c r="H592" s="5" t="inlineStr">
        <is>
          <t>Medium</t>
        </is>
      </c>
      <c r="I592" s="5" t="inlineStr">
        <is>
          <t>A senior figure in the Kashmir community around him.</t>
        </is>
      </c>
      <c r="J592" s="5" t="inlineStr">
        <is>
          <t>No documented part in it.</t>
        </is>
      </c>
      <c r="K592" s="19" t="inlineStr">
        <is>
          <t>Credited as Masterji, in the Kashmiri world Suraj Arora occupies and Aarti arrives into.</t>
        </is>
      </c>
      <c r="L592" s="5" t="n"/>
      <c r="M592" s="5" t="inlineStr">
        <is>
          <t>SOURCE-096</t>
        </is>
      </c>
    </row>
    <row r="593" ht="64" customHeight="1">
      <c r="A593" s="15" t="inlineStr">
        <is>
          <t>CAST-579</t>
        </is>
      </c>
      <c r="B593" s="18" t="inlineStr">
        <is>
          <t>FILM-116</t>
        </is>
      </c>
      <c r="C593" s="5" t="inlineStr">
        <is>
          <t>Aandhi-Toofan</t>
        </is>
      </c>
      <c r="D593" s="17" t="n">
        <v>1985</v>
      </c>
      <c r="E593" s="5" t="inlineStr">
        <is>
          <t>Hema Malini</t>
        </is>
      </c>
      <c r="F593" s="5" t="inlineStr">
        <is>
          <t>Sheela R. Singh</t>
        </is>
      </c>
      <c r="G593" s="5" t="inlineStr">
        <is>
          <t>Co-lead</t>
        </is>
      </c>
      <c r="H593" s="5" t="inlineStr">
        <is>
          <t>Major</t>
        </is>
      </c>
      <c r="I593" s="5" t="inlineStr">
        <is>
          <t>His wife, widowed in the opening movement and raped by his killer, who then drives the whole of the rest of the film.</t>
        </is>
      </c>
      <c r="J593" s="5" t="inlineStr">
        <is>
          <t>The pairing recorded in the Romances sheet as tragic lovers, ended in the first minutes and avenged for the remaining length of the film.</t>
        </is>
      </c>
      <c r="K593" s="19" t="inlineStr">
        <is>
          <t>The wife of the inspector Balvir kills, brutally raped by him afterwards, who is left with the single purpose of revenge and hires two men to bring Balvir to her alive.</t>
        </is>
      </c>
      <c r="L593" s="5" t="n"/>
      <c r="M593" s="5" t="inlineStr">
        <is>
          <t>SOURCE-097</t>
        </is>
      </c>
    </row>
    <row r="594" ht="49" customHeight="1">
      <c r="A594" s="15" t="inlineStr">
        <is>
          <t>CAST-580</t>
        </is>
      </c>
      <c r="B594" s="18" t="inlineStr">
        <is>
          <t>FILM-116</t>
        </is>
      </c>
      <c r="C594" s="5" t="inlineStr">
        <is>
          <t>Aandhi-Toofan</t>
        </is>
      </c>
      <c r="D594" s="17" t="n">
        <v>1985</v>
      </c>
      <c r="E594" s="5" t="inlineStr">
        <is>
          <t>Danny Denzongpa</t>
        </is>
      </c>
      <c r="F594" s="5" t="inlineStr">
        <is>
          <t>Balvir</t>
        </is>
      </c>
      <c r="G594" s="5" t="inlineStr">
        <is>
          <t>Antagonist</t>
        </is>
      </c>
      <c r="H594" s="5" t="inlineStr">
        <is>
          <t>Major</t>
        </is>
      </c>
      <c r="I594" s="5" t="inlineStr">
        <is>
          <t>The biker-gangster he arrests and who kills him for it, in the sequence that ends Kapoor's part.</t>
        </is>
      </c>
      <c r="J594" s="5" t="inlineStr">
        <is>
          <t>Destroys it, and then assaults the widow.</t>
        </is>
      </c>
      <c r="K594" s="19" t="inlineStr">
        <is>
          <t>A notorious biker-gangster arrested by Inspector Ranjit Singh, who kills him and then rapes his wife, and whom she spends the film having hunted.</t>
        </is>
      </c>
      <c r="L594" s="5" t="n"/>
      <c r="M594" s="5" t="inlineStr">
        <is>
          <t>SOURCE-097</t>
        </is>
      </c>
    </row>
    <row r="595" ht="49" customHeight="1">
      <c r="A595" s="15" t="inlineStr">
        <is>
          <t>CAST-581</t>
        </is>
      </c>
      <c r="B595" s="18" t="inlineStr">
        <is>
          <t>FILM-116</t>
        </is>
      </c>
      <c r="C595" s="5" t="inlineStr">
        <is>
          <t>Aandhi-Toofan</t>
        </is>
      </c>
      <c r="D595" s="17" t="n">
        <v>1985</v>
      </c>
      <c r="E595" s="5" t="inlineStr">
        <is>
          <t>Shatrughan Sinha</t>
        </is>
      </c>
      <c r="F595" s="5" t="inlineStr">
        <is>
          <t>Raghunath Shastri</t>
        </is>
      </c>
      <c r="G595" s="5" t="inlineStr">
        <is>
          <t>Co-lead</t>
        </is>
      </c>
      <c r="H595" s="5" t="inlineStr">
        <is>
          <t>Major</t>
        </is>
      </c>
      <c r="I595" s="5" t="inlineStr">
        <is>
          <t>No scenes with Kapoor's inspector, who is dead before he is hired; he is the instrument of the revenge.</t>
        </is>
      </c>
      <c r="J595" s="5" t="inlineStr">
        <is>
          <t>Acts on the widow's behalf.</t>
        </is>
      </c>
      <c r="K595" s="19" t="inlineStr">
        <is>
          <t>One of the two men Sheela hires to capture Balvir alive and deliver him to her, called Raghu.</t>
        </is>
      </c>
      <c r="L595" s="5" t="n"/>
      <c r="M595" s="5" t="inlineStr">
        <is>
          <t>SOURCE-097</t>
        </is>
      </c>
    </row>
    <row r="596" ht="34" customHeight="1">
      <c r="A596" s="15" t="inlineStr">
        <is>
          <t>CAST-582</t>
        </is>
      </c>
      <c r="B596" s="18" t="inlineStr">
        <is>
          <t>FILM-116</t>
        </is>
      </c>
      <c r="C596" s="5" t="inlineStr">
        <is>
          <t>Aandhi-Toofan</t>
        </is>
      </c>
      <c r="D596" s="17" t="n">
        <v>1985</v>
      </c>
      <c r="E596" s="5" t="inlineStr">
        <is>
          <t>Mithun Chakraborty</t>
        </is>
      </c>
      <c r="F596" s="5" t="inlineStr">
        <is>
          <t>Balwant Yadav</t>
        </is>
      </c>
      <c r="G596" s="5" t="inlineStr">
        <is>
          <t>Co-lead</t>
        </is>
      </c>
      <c r="H596" s="5" t="inlineStr">
        <is>
          <t>Major</t>
        </is>
      </c>
      <c r="I596" s="5" t="inlineStr">
        <is>
          <t>As with Raghu, engaged after Kapoor's character is killed.</t>
        </is>
      </c>
      <c r="J596" s="5" t="inlineStr">
        <is>
          <t>Acts on the widow's behalf.</t>
        </is>
      </c>
      <c r="K596" s="19" t="inlineStr">
        <is>
          <t>The second of the two men Sheela hires to take Balvir alive, called Ballu, credited with Paintal as his friend Nandu.</t>
        </is>
      </c>
      <c r="L596" s="5" t="n"/>
      <c r="M596" s="5" t="inlineStr">
        <is>
          <t>SOURCE-097</t>
        </is>
      </c>
    </row>
    <row r="597" ht="49" customHeight="1">
      <c r="A597" s="15" t="inlineStr">
        <is>
          <t>CAST-583</t>
        </is>
      </c>
      <c r="B597" s="18" t="inlineStr">
        <is>
          <t>FILM-116</t>
        </is>
      </c>
      <c r="C597" s="5" t="inlineStr">
        <is>
          <t>Aandhi-Toofan</t>
        </is>
      </c>
      <c r="D597" s="17" t="n">
        <v>1985</v>
      </c>
      <c r="E597" s="5" t="inlineStr">
        <is>
          <t>Meenakshi Sheshadri</t>
        </is>
      </c>
      <c r="F597" s="5" t="inlineStr">
        <is>
          <t>Meena Kapoor</t>
        </is>
      </c>
      <c r="G597" s="5" t="inlineStr">
        <is>
          <t>Supporting</t>
        </is>
      </c>
      <c r="H597" s="5" t="inlineStr">
        <is>
          <t>Medium</t>
        </is>
      </c>
      <c r="I597" s="5" t="inlineStr">
        <is>
          <t>No documented connection to Kapoor's inspector; she is credited with Om Shivpuri as her father.</t>
        </is>
      </c>
      <c r="J597" s="5" t="inlineStr">
        <is>
          <t>Belongs to the younger strand rather than to the marriage the film opens with.</t>
        </is>
      </c>
      <c r="K597" s="19" t="inlineStr">
        <is>
          <t>Credited as Meena Kapoor, with Om Shivpuri as Mr. Kapoor, in the part of the film that follows the two hired men.</t>
        </is>
      </c>
      <c r="L597" s="5" t="n"/>
      <c r="M597" s="5" t="inlineStr">
        <is>
          <t>SOURCE-097</t>
        </is>
      </c>
    </row>
    <row r="598" ht="49" customHeight="1">
      <c r="A598" s="15" t="inlineStr">
        <is>
          <t>CAST-584</t>
        </is>
      </c>
      <c r="B598" s="18" t="inlineStr">
        <is>
          <t>FILM-116</t>
        </is>
      </c>
      <c r="C598" s="5" t="inlineStr">
        <is>
          <t>Aandhi-Toofan</t>
        </is>
      </c>
      <c r="D598" s="17" t="n">
        <v>1985</v>
      </c>
      <c r="E598" s="5" t="inlineStr">
        <is>
          <t>Raj Kiran</t>
        </is>
      </c>
      <c r="F598" s="5" t="inlineStr">
        <is>
          <t>Jaanu</t>
        </is>
      </c>
      <c r="G598" s="5" t="inlineStr">
        <is>
          <t>Supporting</t>
        </is>
      </c>
      <c r="H598" s="5" t="inlineStr">
        <is>
          <t>Medium</t>
        </is>
      </c>
      <c r="I598" s="5" t="inlineStr">
        <is>
          <t>No documented connection; credited with Sulochana Latkar as his mother Salma.</t>
        </is>
      </c>
      <c r="J598" s="5" t="inlineStr">
        <is>
          <t>Outside it.</t>
        </is>
      </c>
      <c r="K598" s="19" t="inlineStr">
        <is>
          <t>Credited as Jaanu, with Kaajal Kiran as Banu and Sulochana Latkar as his mother, in the film's younger strand.</t>
        </is>
      </c>
      <c r="L598" s="5" t="n"/>
      <c r="M598" s="5" t="inlineStr">
        <is>
          <t>SOURCE-097</t>
        </is>
      </c>
    </row>
    <row r="599" ht="64" customHeight="1">
      <c r="A599" s="15" t="inlineStr">
        <is>
          <t>CAST-585</t>
        </is>
      </c>
      <c r="B599" s="18" t="inlineStr">
        <is>
          <t>FILM-117</t>
        </is>
      </c>
      <c r="C599" s="5" t="inlineStr">
        <is>
          <t>Bepanaah</t>
        </is>
      </c>
      <c r="D599" s="17" t="n">
        <v>1985</v>
      </c>
      <c r="E599" s="5" t="inlineStr">
        <is>
          <t>Rati Agnihotri</t>
        </is>
      </c>
      <c r="F599" s="5" t="inlineStr">
        <is>
          <t>Bhavna Bharadwaj</t>
        </is>
      </c>
      <c r="G599" s="5" t="inlineStr">
        <is>
          <t>Co-lead</t>
        </is>
      </c>
      <c r="H599" s="5" t="inlineStr">
        <is>
          <t>Major</t>
        </is>
      </c>
      <c r="I599" s="5" t="inlineStr">
        <is>
          <t>Paired with Kapoor's CID inspector. The article has no plot section, so the course of the relationship is undocumented.</t>
        </is>
      </c>
      <c r="J599" s="5" t="inlineStr">
        <is>
          <t>The pairing recorded in the Romances sheet as manipulated by outsiders; the article supplies no account of it.</t>
        </is>
      </c>
      <c r="K599" s="19" t="inlineStr">
        <is>
          <t>Credited as Advocate Bhavna Bharadwaj, with Gajanan Jagirdar as her father Brahmprakash, in a cast full of advocates. The article carries a long cast list and no synopsis.</t>
        </is>
      </c>
      <c r="L599" s="5" t="n"/>
      <c r="M599" s="5" t="inlineStr">
        <is>
          <t>SOURCE-098</t>
        </is>
      </c>
    </row>
    <row r="600" ht="49" customHeight="1">
      <c r="A600" s="15" t="inlineStr">
        <is>
          <t>CAST-586</t>
        </is>
      </c>
      <c r="B600" s="18" t="inlineStr">
        <is>
          <t>FILM-117</t>
        </is>
      </c>
      <c r="C600" s="5" t="inlineStr">
        <is>
          <t>Bepanaah</t>
        </is>
      </c>
      <c r="D600" s="17" t="n">
        <v>1985</v>
      </c>
      <c r="E600" s="5" t="inlineStr">
        <is>
          <t>Mithun Chakraborty</t>
        </is>
      </c>
      <c r="F600" s="5" t="inlineStr">
        <is>
          <t>Bajrang</t>
        </is>
      </c>
      <c r="G600" s="5" t="inlineStr">
        <is>
          <t>Co-lead</t>
        </is>
      </c>
      <c r="H600" s="5" t="inlineStr">
        <is>
          <t>Major</t>
        </is>
      </c>
      <c r="I600" s="5" t="inlineStr">
        <is>
          <t>Second-billed opposite Kapoor's inspector; the relation is not documented.</t>
        </is>
      </c>
      <c r="J600" s="5" t="inlineStr">
        <is>
          <t>Not documented.</t>
        </is>
      </c>
      <c r="K600" s="19" t="inlineStr">
        <is>
          <t>Credited as Bajrang, also called Babua. The article has no plot section.</t>
        </is>
      </c>
      <c r="L600" s="5" t="n"/>
      <c r="M600" s="5" t="inlineStr">
        <is>
          <t>SOURCE-098</t>
        </is>
      </c>
    </row>
    <row r="601" ht="64" customHeight="1">
      <c r="A601" s="15" t="inlineStr">
        <is>
          <t>CAST-587</t>
        </is>
      </c>
      <c r="B601" s="18" t="inlineStr">
        <is>
          <t>FILM-117</t>
        </is>
      </c>
      <c r="C601" s="5" t="inlineStr">
        <is>
          <t>Bepanaah</t>
        </is>
      </c>
      <c r="D601" s="17" t="n">
        <v>1985</v>
      </c>
      <c r="E601" s="5" t="inlineStr">
        <is>
          <t>Poonam Dhillon</t>
        </is>
      </c>
      <c r="F601" s="5" t="inlineStr">
        <is>
          <t>Kalpana Malhotra</t>
        </is>
      </c>
      <c r="G601" s="5" t="inlineStr">
        <is>
          <t>Family</t>
        </is>
      </c>
      <c r="H601" s="5" t="inlineStr">
        <is>
          <t>Major</t>
        </is>
      </c>
      <c r="I601" s="5" t="inlineStr">
        <is>
          <t>Shares the surname of Kapoor's Ravi Malhotra, which indicates a family relation the article does not confirm.</t>
        </is>
      </c>
      <c r="J601" s="5" t="inlineStr">
        <is>
          <t>Not documented.</t>
        </is>
      </c>
      <c r="K601" s="19" t="inlineStr">
        <is>
          <t>Credited as Kalpana Malhotra, the surname shared with Kapoor's CID inspector. With no synopsis the article leaves the relation unstated.</t>
        </is>
      </c>
      <c r="L601" s="5" t="n"/>
      <c r="M601" s="5" t="inlineStr">
        <is>
          <t>SOURCE-098</t>
        </is>
      </c>
    </row>
    <row r="602" ht="49" customHeight="1">
      <c r="A602" s="15" t="inlineStr">
        <is>
          <t>CAST-588</t>
        </is>
      </c>
      <c r="B602" s="18" t="inlineStr">
        <is>
          <t>FILM-117</t>
        </is>
      </c>
      <c r="C602" s="5" t="inlineStr">
        <is>
          <t>Bepanaah</t>
        </is>
      </c>
      <c r="D602" s="17" t="n">
        <v>1985</v>
      </c>
      <c r="E602" s="5" t="inlineStr">
        <is>
          <t>Madan Puri</t>
        </is>
      </c>
      <c r="F602" s="5" t="inlineStr">
        <is>
          <t>Advocate Devilal</t>
        </is>
      </c>
      <c r="G602" s="5" t="inlineStr">
        <is>
          <t>Antagonist</t>
        </is>
      </c>
      <c r="H602" s="5" t="inlineStr">
        <is>
          <t>Major</t>
        </is>
      </c>
      <c r="I602" s="5" t="inlineStr">
        <is>
          <t>Not documented; one of several advocates in a cast built around a courtroom.</t>
        </is>
      </c>
      <c r="J602" s="5" t="inlineStr">
        <is>
          <t>Not documented.</t>
        </is>
      </c>
      <c r="K602" s="19" t="inlineStr">
        <is>
          <t>Credited as Advocate Devilal, the performance voiced by Amrish Puri, in one of Madan Puri's last films. The article gives no plot.</t>
        </is>
      </c>
      <c r="L602" s="5" t="n"/>
      <c r="M602" s="5" t="inlineStr">
        <is>
          <t>SOURCE-098</t>
        </is>
      </c>
    </row>
    <row r="603" ht="34" customHeight="1">
      <c r="A603" s="15" t="inlineStr">
        <is>
          <t>CAST-589</t>
        </is>
      </c>
      <c r="B603" s="18" t="inlineStr">
        <is>
          <t>FILM-117</t>
        </is>
      </c>
      <c r="C603" s="5" t="inlineStr">
        <is>
          <t>Bepanaah</t>
        </is>
      </c>
      <c r="D603" s="17" t="n">
        <v>1985</v>
      </c>
      <c r="E603" s="5" t="inlineStr">
        <is>
          <t>Kader Khan</t>
        </is>
      </c>
      <c r="F603" s="5" t="inlineStr">
        <is>
          <t>Dayashankar</t>
        </is>
      </c>
      <c r="G603" s="5" t="inlineStr">
        <is>
          <t>Supporting</t>
        </is>
      </c>
      <c r="H603" s="5" t="inlineStr">
        <is>
          <t>Medium</t>
        </is>
      </c>
      <c r="I603" s="5" t="inlineStr">
        <is>
          <t>Not documented.</t>
        </is>
      </c>
      <c r="J603" s="5" t="inlineStr">
        <is>
          <t>Not documented.</t>
        </is>
      </c>
      <c r="K603" s="19" t="inlineStr">
        <is>
          <t>Credited as Dayashankar, called Daddu. The article has no plot section.</t>
        </is>
      </c>
      <c r="L603" s="5" t="n"/>
      <c r="M603" s="5" t="inlineStr">
        <is>
          <t>SOURCE-098</t>
        </is>
      </c>
    </row>
    <row r="604" ht="34" customHeight="1">
      <c r="A604" s="15" t="inlineStr">
        <is>
          <t>CAST-590</t>
        </is>
      </c>
      <c r="B604" s="18" t="inlineStr">
        <is>
          <t>FILM-117</t>
        </is>
      </c>
      <c r="C604" s="5" t="inlineStr">
        <is>
          <t>Bepanaah</t>
        </is>
      </c>
      <c r="D604" s="17" t="n">
        <v>1985</v>
      </c>
      <c r="E604" s="5" t="inlineStr">
        <is>
          <t>Gajanan Jagirdar</t>
        </is>
      </c>
      <c r="F604" s="5" t="inlineStr">
        <is>
          <t>Brahmprakash Bharadwaj</t>
        </is>
      </c>
      <c r="G604" s="5" t="inlineStr">
        <is>
          <t>Family</t>
        </is>
      </c>
      <c r="H604" s="5" t="inlineStr">
        <is>
          <t>Medium</t>
        </is>
      </c>
      <c r="I604" s="5" t="inlineStr">
        <is>
          <t>Father of the advocate paired with Kapoor's character, by the credit.</t>
        </is>
      </c>
      <c r="J604" s="5" t="inlineStr">
        <is>
          <t>Not documented.</t>
        </is>
      </c>
      <c r="K604" s="19" t="inlineStr">
        <is>
          <t>Credited as Brahmprakash Bharadwaj, father of Advocate Bhavna Bharadwaj, in a film the article does not summarise.</t>
        </is>
      </c>
      <c r="L604" s="5" t="n"/>
      <c r="M604" s="5" t="inlineStr">
        <is>
          <t>SOURCE-098</t>
        </is>
      </c>
    </row>
    <row r="605" ht="34" customHeight="1">
      <c r="A605" s="15" t="inlineStr">
        <is>
          <t>CAST-591</t>
        </is>
      </c>
      <c r="B605" s="18" t="inlineStr">
        <is>
          <t>FILM-117</t>
        </is>
      </c>
      <c r="C605" s="5" t="inlineStr">
        <is>
          <t>Bepanaah</t>
        </is>
      </c>
      <c r="D605" s="17" t="n">
        <v>1985</v>
      </c>
      <c r="E605" s="5" t="inlineStr">
        <is>
          <t>Suresh Oberoi</t>
        </is>
      </c>
      <c r="F605" s="5" t="inlineStr">
        <is>
          <t>Akbar Lala</t>
        </is>
      </c>
      <c r="G605" s="5" t="inlineStr">
        <is>
          <t>Friend</t>
        </is>
      </c>
      <c r="H605" s="5" t="inlineStr">
        <is>
          <t>Medium</t>
        </is>
      </c>
      <c r="I605" s="5" t="inlineStr">
        <is>
          <t>Not documented.</t>
        </is>
      </c>
      <c r="J605" s="5" t="inlineStr">
        <is>
          <t>Not documented.</t>
        </is>
      </c>
      <c r="K605" s="19" t="inlineStr">
        <is>
          <t>Credited as Akbar Lala, a truck driver. The article carries no plot section.</t>
        </is>
      </c>
      <c r="L605" s="5" t="n"/>
      <c r="M605" s="5" t="inlineStr">
        <is>
          <t>SOURCE-098</t>
        </is>
      </c>
    </row>
    <row r="606" ht="79" customHeight="1">
      <c r="A606" s="15" t="inlineStr">
        <is>
          <t>CAST-592</t>
        </is>
      </c>
      <c r="B606" s="18" t="inlineStr">
        <is>
          <t>FILM-118</t>
        </is>
      </c>
      <c r="C606" s="5" t="inlineStr">
        <is>
          <t>Alag Alag</t>
        </is>
      </c>
      <c r="D606" s="17" t="n">
        <v>1985</v>
      </c>
      <c r="E606" s="5" t="inlineStr">
        <is>
          <t>Rajesh Khanna</t>
        </is>
      </c>
      <c r="F606" s="5" t="inlineStr">
        <is>
          <t>Neeraj</t>
        </is>
      </c>
      <c r="G606" s="5" t="inlineStr">
        <is>
          <t>Co-lead</t>
        </is>
      </c>
      <c r="H606" s="5" t="inlineStr">
        <is>
          <t>Major</t>
        </is>
      </c>
      <c r="I606" s="5" t="inlineStr">
        <is>
          <t>The struggling singer whose deceptions Kapoor's doctor sees through when he comes for treatment feigning lameness, and who ends by loving the woman living in the doctor's house.</t>
        </is>
      </c>
      <c r="J606" s="5" t="inlineStr">
        <is>
          <t>Holds the film's romance. Kapoor's own character has none, which is why romance presence is recorded as None.</t>
        </is>
      </c>
      <c r="K606" s="19" t="inlineStr">
        <is>
          <t>A man trying to become a playback singer, dumped by Chandni when she finds he is poor, who poses as lame to win a social worker's help and is exposed at the doctor's surgery, fails with a film actress who wants to marry him rather than help him, and realises he loves Chandni.</t>
        </is>
      </c>
      <c r="L606" s="5" t="n"/>
      <c r="M606" s="5" t="inlineStr">
        <is>
          <t>SOURCE-099</t>
        </is>
      </c>
    </row>
    <row r="607" ht="79" customHeight="1">
      <c r="A607" s="15" t="inlineStr">
        <is>
          <t>CAST-593</t>
        </is>
      </c>
      <c r="B607" s="18" t="inlineStr">
        <is>
          <t>FILM-118</t>
        </is>
      </c>
      <c r="C607" s="5" t="inlineStr">
        <is>
          <t>Alag Alag</t>
        </is>
      </c>
      <c r="D607" s="17" t="n">
        <v>1985</v>
      </c>
      <c r="E607" s="5" t="inlineStr">
        <is>
          <t>Tina Munim</t>
        </is>
      </c>
      <c r="F607" s="5" t="inlineStr">
        <is>
          <t>Chandni</t>
        </is>
      </c>
      <c r="G607" s="5" t="inlineStr">
        <is>
          <t>Co-lead</t>
        </is>
      </c>
      <c r="H607" s="5" t="inlineStr">
        <is>
          <t>Major</t>
        </is>
      </c>
      <c r="I607" s="5" t="inlineStr">
        <is>
          <t>The village girl he takes into his house and finds a singer, and who sets out to get him to propose to her for his money.</t>
        </is>
      </c>
      <c r="J607" s="5" t="inlineStr">
        <is>
          <t>Her design on Kapoor's doctor is a scheme rather than a romance, and the article's summary breaks off as his own feelings emerge; the film's actual romance is hers with Neeraj.</t>
        </is>
      </c>
      <c r="K607" s="19" t="inlineStr">
        <is>
          <t>A poor woman determined to escape poverty by marrying a rich man, who talks her way into Dr. Rana's bungalow, dismisses his servants, is dressed and encouraged as a singer by him, plans to make him propose, and finally accepts the penniless Neeraj.</t>
        </is>
      </c>
      <c r="L607" s="5" t="n"/>
      <c r="M607" s="5" t="inlineStr">
        <is>
          <t>SOURCE-099</t>
        </is>
      </c>
    </row>
    <row r="608" ht="49" customHeight="1">
      <c r="A608" s="15" t="inlineStr">
        <is>
          <t>CAST-594</t>
        </is>
      </c>
      <c r="B608" s="18" t="inlineStr">
        <is>
          <t>FILM-118</t>
        </is>
      </c>
      <c r="C608" s="5" t="inlineStr">
        <is>
          <t>Alag Alag</t>
        </is>
      </c>
      <c r="D608" s="17" t="n">
        <v>1985</v>
      </c>
      <c r="E608" s="5" t="inlineStr">
        <is>
          <t>Bindu</t>
        </is>
      </c>
      <c r="F608" s="5" t="inlineStr">
        <is>
          <t>Sarita</t>
        </is>
      </c>
      <c r="G608" s="5" t="inlineStr">
        <is>
          <t>Supporting</t>
        </is>
      </c>
      <c r="H608" s="5" t="inlineStr">
        <is>
          <t>Medium</t>
        </is>
      </c>
      <c r="I608" s="5" t="inlineStr">
        <is>
          <t>Outside the doctor's household.</t>
        </is>
      </c>
      <c r="J608" s="5" t="inlineStr">
        <is>
          <t>A rival claim on Neeraj rather than on Kapoor's character.</t>
        </is>
      </c>
      <c r="K608" s="19" t="inlineStr">
        <is>
          <t>A famous film actress whom Neeraj approaches for a break, and who invites him with the intention of marrying him rather than advancing his career.</t>
        </is>
      </c>
      <c r="L608" s="5" t="n"/>
      <c r="M608" s="5" t="inlineStr">
        <is>
          <t>SOURCE-099</t>
        </is>
      </c>
    </row>
    <row r="609" ht="49" customHeight="1">
      <c r="A609" s="15" t="inlineStr">
        <is>
          <t>CAST-595</t>
        </is>
      </c>
      <c r="B609" s="18" t="inlineStr">
        <is>
          <t>FILM-118</t>
        </is>
      </c>
      <c r="C609" s="5" t="inlineStr">
        <is>
          <t>Alag Alag</t>
        </is>
      </c>
      <c r="D609" s="17" t="n">
        <v>1985</v>
      </c>
      <c r="E609" s="5" t="inlineStr">
        <is>
          <t>Om Prakash</t>
        </is>
      </c>
      <c r="F609" s="5" t="inlineStr">
        <is>
          <t>Khan</t>
        </is>
      </c>
      <c r="G609" s="5" t="inlineStr">
        <is>
          <t>Comic support</t>
        </is>
      </c>
      <c r="H609" s="5" t="inlineStr">
        <is>
          <t>Medium</t>
        </is>
      </c>
      <c r="I609" s="5" t="inlineStr">
        <is>
          <t>Credited in the world around the doctor's house and the singer's struggle.</t>
        </is>
      </c>
      <c r="J609" s="5" t="inlineStr">
        <is>
          <t>No part in it.</t>
        </is>
      </c>
      <c r="K609" s="19" t="inlineStr">
        <is>
          <t>Credited as Khan, with Deven Verma as Karim and Gita Siddharth as Begum, in the comic apparatus around the two main strands.</t>
        </is>
      </c>
      <c r="L609" s="5" t="n"/>
      <c r="M609" s="5" t="inlineStr">
        <is>
          <t>SOURCE-099</t>
        </is>
      </c>
    </row>
    <row r="610" ht="49" customHeight="1">
      <c r="A610" s="15" t="inlineStr">
        <is>
          <t>CAST-596</t>
        </is>
      </c>
      <c r="B610" s="18" t="inlineStr">
        <is>
          <t>FILM-118</t>
        </is>
      </c>
      <c r="C610" s="5" t="inlineStr">
        <is>
          <t>Alag Alag</t>
        </is>
      </c>
      <c r="D610" s="17" t="n">
        <v>1985</v>
      </c>
      <c r="E610" s="5" t="inlineStr">
        <is>
          <t>Deven Verma</t>
        </is>
      </c>
      <c r="F610" s="5" t="inlineStr">
        <is>
          <t>Karim</t>
        </is>
      </c>
      <c r="G610" s="5" t="inlineStr">
        <is>
          <t>Comic support</t>
        </is>
      </c>
      <c r="H610" s="5" t="inlineStr">
        <is>
          <t>Medium</t>
        </is>
      </c>
      <c r="I610" s="5" t="inlineStr">
        <is>
          <t>As with Om Prakash's Khan, part of the film's comic register rather than its plot.</t>
        </is>
      </c>
      <c r="J610" s="5" t="inlineStr">
        <is>
          <t>No part in it.</t>
        </is>
      </c>
      <c r="K610" s="19" t="inlineStr">
        <is>
          <t>Credited as Karim, paired with Om Prakash's Khan in the film's comic line.</t>
        </is>
      </c>
      <c r="L610" s="5" t="n"/>
      <c r="M610" s="5" t="inlineStr">
        <is>
          <t>SOURCE-099</t>
        </is>
      </c>
    </row>
    <row r="611" ht="64" customHeight="1">
      <c r="A611" s="15" t="inlineStr">
        <is>
          <t>CAST-597</t>
        </is>
      </c>
      <c r="B611" s="18" t="inlineStr">
        <is>
          <t>FILM-119</t>
        </is>
      </c>
      <c r="C611" s="5" t="inlineStr">
        <is>
          <t>Bhavani Junction</t>
        </is>
      </c>
      <c r="D611" s="17" t="n">
        <v>1985</v>
      </c>
      <c r="E611" s="5" t="inlineStr">
        <is>
          <t>Shatrughan Sinha</t>
        </is>
      </c>
      <c r="F611" s="5" t="inlineStr">
        <is>
          <t>SP Ram</t>
        </is>
      </c>
      <c r="G611" s="5" t="inlineStr">
        <is>
          <t>Co-lead</t>
        </is>
      </c>
      <c r="H611" s="5" t="inlineStr">
        <is>
          <t>Major</t>
        </is>
      </c>
      <c r="I611" s="5" t="inlineStr">
        <is>
          <t>His friend, whom he helps hunt the man who raped and killed Ram's wife, the culprit proving to be his own son.</t>
        </is>
      </c>
      <c r="J611" s="5" t="inlineStr">
        <is>
          <t>Outside Kapoor's own attachments, which the article does not describe.</t>
        </is>
      </c>
      <c r="K611" s="19" t="inlineStr">
        <is>
          <t>A police officer searching for the man who raped and murdered his wife, helped in the search by his friend Bhavani, and brought to the discovery that the offender is Bhavani's son Rakesh.</t>
        </is>
      </c>
      <c r="L611" s="5" t="n"/>
      <c r="M611" s="5" t="inlineStr">
        <is>
          <t>SOURCE-100</t>
        </is>
      </c>
    </row>
    <row r="612" ht="49" customHeight="1">
      <c r="A612" s="15" t="inlineStr">
        <is>
          <t>CAST-598</t>
        </is>
      </c>
      <c r="B612" s="18" t="inlineStr">
        <is>
          <t>FILM-119</t>
        </is>
      </c>
      <c r="C612" s="5" t="inlineStr">
        <is>
          <t>Bhavani Junction</t>
        </is>
      </c>
      <c r="D612" s="17" t="n">
        <v>1985</v>
      </c>
      <c r="E612" s="5" t="inlineStr">
        <is>
          <t>Mazhar Khan</t>
        </is>
      </c>
      <c r="F612" s="5" t="inlineStr">
        <is>
          <t>Rakesh</t>
        </is>
      </c>
      <c r="G612" s="5" t="inlineStr">
        <is>
          <t>Antagonist</t>
        </is>
      </c>
      <c r="H612" s="5" t="inlineStr">
        <is>
          <t>Major</t>
        </is>
      </c>
      <c r="I612" s="5" t="inlineStr">
        <is>
          <t>His son, and the rapist and murderer he has been helping his friend hunt.</t>
        </is>
      </c>
      <c r="J612" s="5" t="inlineStr">
        <is>
          <t>No part in it.</t>
        </is>
      </c>
      <c r="K612" s="19" t="inlineStr">
        <is>
          <t>Bhavani's son, called Ricky, who raped and killed the wife of his father's friend, and whose identity as the culprit is the film's reversal.</t>
        </is>
      </c>
      <c r="L612" s="5" t="n"/>
      <c r="M612" s="5" t="inlineStr">
        <is>
          <t>SOURCE-100</t>
        </is>
      </c>
    </row>
    <row r="613" ht="64" customHeight="1">
      <c r="A613" s="15" t="inlineStr">
        <is>
          <t>CAST-599</t>
        </is>
      </c>
      <c r="B613" s="18" t="inlineStr">
        <is>
          <t>FILM-119</t>
        </is>
      </c>
      <c r="C613" s="5" t="inlineStr">
        <is>
          <t>Bhavani Junction</t>
        </is>
      </c>
      <c r="D613" s="17" t="n">
        <v>1985</v>
      </c>
      <c r="E613" s="5" t="inlineStr">
        <is>
          <t>Zeenat Aman</t>
        </is>
      </c>
      <c r="F613" s="5" t="inlineStr">
        <is>
          <t>Reshma</t>
        </is>
      </c>
      <c r="G613" s="5" t="inlineStr">
        <is>
          <t>Supporting</t>
        </is>
      </c>
      <c r="H613" s="5" t="inlineStr">
        <is>
          <t>Major</t>
        </is>
      </c>
      <c r="I613" s="5" t="inlineStr">
        <is>
          <t>Third-billed; the article's three-sentence summary does not place her, and romance presence is left blank for the film.</t>
        </is>
      </c>
      <c r="J613" s="5" t="inlineStr">
        <is>
          <t>Not documented, which is why no Romances row was created.</t>
        </is>
      </c>
      <c r="K613" s="19" t="inlineStr">
        <is>
          <t>Credited as Reshma. The article summarises the film in three sentences about the murder and the discovery, and does not describe her part.</t>
        </is>
      </c>
      <c r="L613" s="5" t="n"/>
      <c r="M613" s="5" t="inlineStr">
        <is>
          <t>SOURCE-100</t>
        </is>
      </c>
    </row>
    <row r="614" ht="49" customHeight="1">
      <c r="A614" s="15" t="inlineStr">
        <is>
          <t>CAST-600</t>
        </is>
      </c>
      <c r="B614" s="18" t="inlineStr">
        <is>
          <t>FILM-119</t>
        </is>
      </c>
      <c r="C614" s="5" t="inlineStr">
        <is>
          <t>Bhavani Junction</t>
        </is>
      </c>
      <c r="D614" s="17" t="n">
        <v>1985</v>
      </c>
      <c r="E614" s="5" t="inlineStr">
        <is>
          <t>Rati Agnihotri</t>
        </is>
      </c>
      <c r="F614" s="5" t="inlineStr">
        <is>
          <t>Shakuntala</t>
        </is>
      </c>
      <c r="G614" s="5" t="inlineStr">
        <is>
          <t>Supporting</t>
        </is>
      </c>
      <c r="H614" s="5" t="inlineStr">
        <is>
          <t>Major</t>
        </is>
      </c>
      <c r="I614" s="5" t="inlineStr">
        <is>
          <t>Fourth-billed and undocumented by the article, which names the murdered woman only as Ram's wife.</t>
        </is>
      </c>
      <c r="J614" s="5" t="inlineStr">
        <is>
          <t>Not documented.</t>
        </is>
      </c>
      <c r="K614" s="19" t="inlineStr">
        <is>
          <t>Credited as Shakuntala. The article does not say which credit belongs to the wife whose murder starts the film, so the identification is not made here.</t>
        </is>
      </c>
      <c r="L614" s="5" t="n"/>
      <c r="M614" s="5" t="inlineStr">
        <is>
          <t>SOURCE-100</t>
        </is>
      </c>
    </row>
    <row r="615" ht="34" customHeight="1">
      <c r="A615" s="15" t="inlineStr">
        <is>
          <t>CAST-601</t>
        </is>
      </c>
      <c r="B615" s="18" t="inlineStr">
        <is>
          <t>FILM-119</t>
        </is>
      </c>
      <c r="C615" s="5" t="inlineStr">
        <is>
          <t>Bhavani Junction</t>
        </is>
      </c>
      <c r="D615" s="17" t="n">
        <v>1985</v>
      </c>
      <c r="E615" s="5" t="inlineStr">
        <is>
          <t>Prem Chopra</t>
        </is>
      </c>
      <c r="F615" s="5" t="inlineStr">
        <is>
          <t>Diwanchand</t>
        </is>
      </c>
      <c r="G615" s="5" t="inlineStr">
        <is>
          <t>Antagonist</t>
        </is>
      </c>
      <c r="H615" s="5" t="inlineStr">
        <is>
          <t>Medium</t>
        </is>
      </c>
      <c r="I615" s="5" t="inlineStr">
        <is>
          <t>Not documented by the article's short summary.</t>
        </is>
      </c>
      <c r="J615" s="5" t="inlineStr">
        <is>
          <t>Not documented.</t>
        </is>
      </c>
      <c r="K615" s="19" t="inlineStr">
        <is>
          <t>Credited as Diwanchand, among the antagonists of a film whose article gives three sentences of plot.</t>
        </is>
      </c>
      <c r="L615" s="5" t="n"/>
      <c r="M615" s="5" t="inlineStr">
        <is>
          <t>SOURCE-100</t>
        </is>
      </c>
    </row>
    <row r="616" ht="34" customHeight="1">
      <c r="A616" s="15" t="inlineStr">
        <is>
          <t>CAST-602</t>
        </is>
      </c>
      <c r="B616" s="18" t="inlineStr">
        <is>
          <t>FILM-119</t>
        </is>
      </c>
      <c r="C616" s="5" t="inlineStr">
        <is>
          <t>Bhavani Junction</t>
        </is>
      </c>
      <c r="D616" s="17" t="n">
        <v>1985</v>
      </c>
      <c r="E616" s="5" t="inlineStr">
        <is>
          <t>Deven Verma</t>
        </is>
      </c>
      <c r="F616" s="5" t="inlineStr">
        <is>
          <t>Joseph</t>
        </is>
      </c>
      <c r="G616" s="5" t="inlineStr">
        <is>
          <t>Comic support</t>
        </is>
      </c>
      <c r="H616" s="5" t="inlineStr">
        <is>
          <t>Medium</t>
        </is>
      </c>
      <c r="I616" s="5" t="inlineStr">
        <is>
          <t>Not documented.</t>
        </is>
      </c>
      <c r="J616" s="5" t="inlineStr">
        <is>
          <t>Not documented.</t>
        </is>
      </c>
      <c r="K616" s="19" t="inlineStr">
        <is>
          <t>Credited as Joseph, in the comic register of a film otherwise about rape and murder.</t>
        </is>
      </c>
      <c r="L616" s="5" t="n"/>
      <c r="M616" s="5" t="inlineStr">
        <is>
          <t>SOURCE-100</t>
        </is>
      </c>
    </row>
    <row r="617" ht="79" customHeight="1">
      <c r="A617" s="15" t="inlineStr">
        <is>
          <t>CAST-603</t>
        </is>
      </c>
      <c r="B617" s="18" t="inlineStr">
        <is>
          <t>FILM-120</t>
        </is>
      </c>
      <c r="C617" s="5" t="inlineStr">
        <is>
          <t>New Delhi Times</t>
        </is>
      </c>
      <c r="D617" s="17" t="n">
        <v>1986</v>
      </c>
      <c r="E617" s="5" t="inlineStr">
        <is>
          <t>Sharmila Tagore</t>
        </is>
      </c>
      <c r="F617" s="5" t="inlineStr">
        <is>
          <t>Nisha</t>
        </is>
      </c>
      <c r="G617" s="5" t="inlineStr">
        <is>
          <t>Co-lead</t>
        </is>
      </c>
      <c r="H617" s="5" t="inlineStr">
        <is>
          <t>Major</t>
        </is>
      </c>
      <c r="I617" s="5" t="inlineStr">
        <is>
          <t>His wife, a lawyer working her own case against the same system he is reporting on.</t>
        </is>
      </c>
      <c r="J617" s="5" t="inlineStr">
        <is>
          <t>The pairing recorded in the Romances sheet as an established relationship: a working marriage rather than a courtship, and minor beside the political plot.</t>
        </is>
      </c>
      <c r="K617" s="19" t="inlineStr">
        <is>
          <t>The editor's wife, a lawyer, approached by an old man whose daughter has disappeared from her in-laws' house and is said to have gone mad, and fighting that case while her husband pursues a political murder.</t>
        </is>
      </c>
      <c r="L617" s="5" t="n"/>
      <c r="M617" s="5" t="inlineStr">
        <is>
          <t>SOURCE-104</t>
        </is>
      </c>
    </row>
    <row r="618" ht="64" customHeight="1">
      <c r="A618" s="15" t="inlineStr">
        <is>
          <t>CAST-604</t>
        </is>
      </c>
      <c r="B618" s="18" t="inlineStr">
        <is>
          <t>FILM-120</t>
        </is>
      </c>
      <c r="C618" s="5" t="inlineStr">
        <is>
          <t>New Delhi Times</t>
        </is>
      </c>
      <c r="D618" s="17" t="n">
        <v>1986</v>
      </c>
      <c r="E618" s="5" t="inlineStr">
        <is>
          <t>Om Puri</t>
        </is>
      </c>
      <c r="F618" s="5" t="inlineStr">
        <is>
          <t>Ajay Singh</t>
        </is>
      </c>
      <c r="G618" s="5" t="inlineStr">
        <is>
          <t>Antagonist</t>
        </is>
      </c>
      <c r="H618" s="5" t="inlineStr">
        <is>
          <t>Major</t>
        </is>
      </c>
      <c r="I618" s="5" t="inlineStr">
        <is>
          <t>The politician he accuses of murder to his face, and the man who then destroys him.</t>
        </is>
      </c>
      <c r="J618" s="5" t="inlineStr">
        <is>
          <t>No part in it.</t>
        </is>
      </c>
      <c r="K618" s="19" t="inlineStr">
        <is>
          <t>An ambitious MLA manoeuvring for the chief ministership, linked to drug trafficking, smuggling and extortion, who has an MLA killed, is accused in print and in person, and admits in rage to having bribed thirteen MLAs.</t>
        </is>
      </c>
      <c r="L618" s="5" t="n"/>
      <c r="M618" s="5" t="inlineStr">
        <is>
          <t>SOURCE-104</t>
        </is>
      </c>
    </row>
    <row r="619" ht="64" customHeight="1">
      <c r="A619" s="15" t="inlineStr">
        <is>
          <t>CAST-605</t>
        </is>
      </c>
      <c r="B619" s="18" t="inlineStr">
        <is>
          <t>FILM-120</t>
        </is>
      </c>
      <c r="C619" s="5" t="inlineStr">
        <is>
          <t>New Delhi Times</t>
        </is>
      </c>
      <c r="D619" s="17" t="n">
        <v>1986</v>
      </c>
      <c r="E619" s="5" t="inlineStr">
        <is>
          <t>Kulbhushan Kharbanda</t>
        </is>
      </c>
      <c r="F619" s="5" t="inlineStr">
        <is>
          <t>J. K.</t>
        </is>
      </c>
      <c r="G619" s="5" t="inlineStr">
        <is>
          <t>Supporting</t>
        </is>
      </c>
      <c r="H619" s="5" t="inlineStr">
        <is>
          <t>Major</t>
        </is>
      </c>
      <c r="I619" s="5" t="inlineStr">
        <is>
          <t>The proprietor over him, and the point at which the nexus between politicians and media owners closes on the editor.</t>
        </is>
      </c>
      <c r="J619" s="5" t="inlineStr">
        <is>
          <t>No part in it.</t>
        </is>
      </c>
      <c r="K619" s="19" t="inlineStr">
        <is>
          <t>Jugal Kishor, the newspaper's proprietor, whose relations with the political class are part of the system the honest editor falls prey to.</t>
        </is>
      </c>
      <c r="L619" s="5" t="n"/>
      <c r="M619" s="5" t="inlineStr">
        <is>
          <t>SOURCE-104</t>
        </is>
      </c>
    </row>
    <row r="620" ht="49" customHeight="1">
      <c r="A620" s="15" t="inlineStr">
        <is>
          <t>CAST-606</t>
        </is>
      </c>
      <c r="B620" s="18" t="inlineStr">
        <is>
          <t>FILM-120</t>
        </is>
      </c>
      <c r="C620" s="5" t="inlineStr">
        <is>
          <t>New Delhi Times</t>
        </is>
      </c>
      <c r="D620" s="17" t="n">
        <v>1986</v>
      </c>
      <c r="E620" s="5" t="inlineStr">
        <is>
          <t>Manohar Singh</t>
        </is>
      </c>
      <c r="F620" s="5" t="inlineStr">
        <is>
          <t>Jagannath Poddar</t>
        </is>
      </c>
      <c r="G620" s="5" t="inlineStr">
        <is>
          <t>Supporting</t>
        </is>
      </c>
      <c r="H620" s="5" t="inlineStr">
        <is>
          <t>Medium</t>
        </is>
      </c>
      <c r="I620" s="5" t="inlineStr">
        <is>
          <t>Part of the political and commercial web the editor's reporting runs into.</t>
        </is>
      </c>
      <c r="J620" s="5" t="inlineStr">
        <is>
          <t>No part in it.</t>
        </is>
      </c>
      <c r="K620" s="19" t="inlineStr">
        <is>
          <t>Credited as Jagannath Poddar, among the interests surrounding the power struggle between the chief minister and the ambitious MLA.</t>
        </is>
      </c>
      <c r="L620" s="5" t="n"/>
      <c r="M620" s="5" t="inlineStr">
        <is>
          <t>SOURCE-104</t>
        </is>
      </c>
    </row>
    <row r="621" ht="49" customHeight="1">
      <c r="A621" s="15" t="inlineStr">
        <is>
          <t>CAST-607</t>
        </is>
      </c>
      <c r="B621" s="18" t="inlineStr">
        <is>
          <t>FILM-120</t>
        </is>
      </c>
      <c r="C621" s="5" t="inlineStr">
        <is>
          <t>New Delhi Times</t>
        </is>
      </c>
      <c r="D621" s="17" t="n">
        <v>1986</v>
      </c>
      <c r="E621" s="5" t="inlineStr">
        <is>
          <t>A. K. Hangal</t>
        </is>
      </c>
      <c r="F621" s="5" t="inlineStr">
        <is>
          <t>Vikas's father</t>
        </is>
      </c>
      <c r="G621" s="5" t="inlineStr">
        <is>
          <t>Family</t>
        </is>
      </c>
      <c r="H621" s="5" t="inlineStr">
        <is>
          <t>Medium</t>
        </is>
      </c>
      <c r="I621" s="5" t="inlineStr">
        <is>
          <t>His father, and the connection to the Ghazipur the editor came from and returns to report on.</t>
        </is>
      </c>
      <c r="J621" s="5" t="inlineStr">
        <is>
          <t>No part in it.</t>
        </is>
      </c>
      <c r="K621" s="19" t="inlineStr">
        <is>
          <t>Credited as the father of Vikas Pande, in the eastern Uttar Pradesh town whose riots and murder the editor goes back to cover.</t>
        </is>
      </c>
      <c r="L621" s="5" t="n"/>
      <c r="M621" s="5" t="inlineStr">
        <is>
          <t>SOURCE-104</t>
        </is>
      </c>
    </row>
    <row r="622" ht="34" customHeight="1">
      <c r="A622" s="15" t="inlineStr">
        <is>
          <t>CAST-608</t>
        </is>
      </c>
      <c r="B622" s="18" t="inlineStr">
        <is>
          <t>FILM-120</t>
        </is>
      </c>
      <c r="C622" s="5" t="inlineStr">
        <is>
          <t>New Delhi Times</t>
        </is>
      </c>
      <c r="D622" s="17" t="n">
        <v>1986</v>
      </c>
      <c r="E622" s="5" t="inlineStr">
        <is>
          <t>Ram Gopal Bajaj</t>
        </is>
      </c>
      <c r="F622" s="5" t="inlineStr">
        <is>
          <t>The Minister</t>
        </is>
      </c>
      <c r="G622" s="5" t="inlineStr">
        <is>
          <t>Authority figure</t>
        </is>
      </c>
      <c r="H622" s="5" t="inlineStr">
        <is>
          <t>Medium</t>
        </is>
      </c>
      <c r="I622" s="5" t="inlineStr">
        <is>
          <t>Part of the governing apparatus his reporting is directed at.</t>
        </is>
      </c>
      <c r="J622" s="5" t="inlineStr">
        <is>
          <t>No part in it.</t>
        </is>
      </c>
      <c r="K622" s="19" t="inlineStr">
        <is>
          <t>Credited as the Minister, in the state politics the newspaper's investigation of a murdered MLA reaches into.</t>
        </is>
      </c>
      <c r="L622" s="5" t="n"/>
      <c r="M622" s="5" t="inlineStr">
        <is>
          <t>SOURCE-104</t>
        </is>
      </c>
    </row>
    <row r="623" ht="49" customHeight="1">
      <c r="A623" s="15" t="inlineStr">
        <is>
          <t>CAST-609</t>
        </is>
      </c>
      <c r="B623" s="18" t="inlineStr">
        <is>
          <t>FILM-120</t>
        </is>
      </c>
      <c r="C623" s="5" t="inlineStr">
        <is>
          <t>New Delhi Times</t>
        </is>
      </c>
      <c r="D623" s="17" t="n">
        <v>1986</v>
      </c>
      <c r="E623" s="5" t="inlineStr">
        <is>
          <t>M. K. Raina</t>
        </is>
      </c>
      <c r="F623" s="5" t="n"/>
      <c r="G623" s="5" t="inlineStr">
        <is>
          <t>Supporting</t>
        </is>
      </c>
      <c r="H623" s="5" t="inlineStr">
        <is>
          <t>Medium</t>
        </is>
      </c>
      <c r="I623" s="5" t="inlineStr">
        <is>
          <t>Credited without a character name in the article's cast list.</t>
        </is>
      </c>
      <c r="J623" s="5" t="inlineStr">
        <is>
          <t>No part in it.</t>
        </is>
      </c>
      <c r="K623" s="19" t="inlineStr">
        <is>
          <t>Credited without a character name, among the theatre actors the film draws on for its portrait of politics and the press.</t>
        </is>
      </c>
      <c r="L623" s="5" t="n"/>
      <c r="M623" s="5" t="inlineStr">
        <is>
          <t>SOURCE-104</t>
        </is>
      </c>
    </row>
    <row r="624" ht="64" customHeight="1">
      <c r="A624" s="15" t="inlineStr">
        <is>
          <t>CAST-623</t>
        </is>
      </c>
      <c r="B624" s="18" t="inlineStr">
        <is>
          <t>FILM-121</t>
        </is>
      </c>
      <c r="C624" s="5" t="inlineStr">
        <is>
          <t>Ek Main Aur Ek Tu</t>
        </is>
      </c>
      <c r="D624" s="17" t="n">
        <v>1986</v>
      </c>
      <c r="E624" s="5" t="inlineStr">
        <is>
          <t>Tanuja</t>
        </is>
      </c>
      <c r="F624" s="5" t="n"/>
      <c r="G624" s="5" t="inlineStr">
        <is>
          <t>Co-lead</t>
        </is>
      </c>
      <c r="H624" s="5" t="inlineStr">
        <is>
          <t>Major</t>
        </is>
      </c>
      <c r="I624" s="5" t="inlineStr">
        <is>
          <t>Billed second to Kapoor, so the principal female part, but the article gives no character names and no plot.</t>
        </is>
      </c>
      <c r="J624" s="5" t="inlineStr">
        <is>
          <t>Not documented. Romance presence is left blank for the film and no Romances row was created.</t>
        </is>
      </c>
      <c r="K624" s="19" t="inlineStr">
        <is>
          <t>Second-billed without a character name, in a film whose title means 'one me and one you' and whose article carries a cast list and no synopsis. Her fourth film with Kapoor after Benazir, Meri Zabaan's era and Maa Beti.</t>
        </is>
      </c>
      <c r="L624" s="5" t="n"/>
      <c r="M624" s="5" t="inlineStr">
        <is>
          <t>SOURCE-105</t>
        </is>
      </c>
    </row>
    <row r="625" ht="34" customHeight="1">
      <c r="A625" s="15" t="inlineStr">
        <is>
          <t>CAST-624</t>
        </is>
      </c>
      <c r="B625" s="18" t="inlineStr">
        <is>
          <t>FILM-121</t>
        </is>
      </c>
      <c r="C625" s="5" t="inlineStr">
        <is>
          <t>Ek Main Aur Ek Tu</t>
        </is>
      </c>
      <c r="D625" s="17" t="n">
        <v>1986</v>
      </c>
      <c r="E625" s="5" t="inlineStr">
        <is>
          <t>Shreeram Lagoo</t>
        </is>
      </c>
      <c r="F625" s="5" t="n"/>
      <c r="G625" s="5" t="inlineStr">
        <is>
          <t>Supporting</t>
        </is>
      </c>
      <c r="H625" s="5" t="inlineStr">
        <is>
          <t>Medium</t>
        </is>
      </c>
      <c r="I625" s="5" t="inlineStr">
        <is>
          <t>Not documented; the article maps no credit to a character.</t>
        </is>
      </c>
      <c r="J625" s="5" t="inlineStr">
        <is>
          <t>Not documented.</t>
        </is>
      </c>
      <c r="K625" s="19" t="inlineStr">
        <is>
          <t>Credited without a character name. The article has no plot section, so the function of the part is unrecorded.</t>
        </is>
      </c>
      <c r="L625" s="5" t="n"/>
      <c r="M625" s="5" t="inlineStr">
        <is>
          <t>SOURCE-105</t>
        </is>
      </c>
    </row>
    <row r="626" ht="49" customHeight="1">
      <c r="A626" s="15" t="inlineStr">
        <is>
          <t>CAST-625</t>
        </is>
      </c>
      <c r="B626" s="18" t="inlineStr">
        <is>
          <t>FILM-121</t>
        </is>
      </c>
      <c r="C626" s="5" t="inlineStr">
        <is>
          <t>Ek Main Aur Ek Tu</t>
        </is>
      </c>
      <c r="D626" s="17" t="n">
        <v>1986</v>
      </c>
      <c r="E626" s="5" t="inlineStr">
        <is>
          <t>Ranjeet</t>
        </is>
      </c>
      <c r="F626" s="5" t="n"/>
      <c r="G626" s="5" t="inlineStr">
        <is>
          <t>Supporting</t>
        </is>
      </c>
      <c r="H626" s="5" t="inlineStr">
        <is>
          <t>Medium</t>
        </is>
      </c>
      <c r="I626" s="5" t="inlineStr">
        <is>
          <t>Not documented.</t>
        </is>
      </c>
      <c r="J626" s="5" t="inlineStr">
        <is>
          <t>Not documented.</t>
        </is>
      </c>
      <c r="K626" s="19" t="inlineStr">
        <is>
          <t>Credited without a character name, alongside Raj Tandon and Rubina Khan, in a cast list the article does not support with any plot.</t>
        </is>
      </c>
      <c r="L626" s="5" t="n"/>
      <c r="M626" s="5" t="inlineStr">
        <is>
          <t>SOURCE-105</t>
        </is>
      </c>
    </row>
    <row r="627" ht="79" customHeight="1">
      <c r="A627" s="15" t="inlineStr">
        <is>
          <t>CAST-626</t>
        </is>
      </c>
      <c r="B627" s="18" t="inlineStr">
        <is>
          <t>FILM-123</t>
        </is>
      </c>
      <c r="C627" s="5" t="inlineStr">
        <is>
          <t>Ilzaam</t>
        </is>
      </c>
      <c r="D627" s="17" t="n">
        <v>1986</v>
      </c>
      <c r="E627" s="5" t="inlineStr">
        <is>
          <t>Govinda</t>
        </is>
      </c>
      <c r="F627" s="5" t="inlineStr">
        <is>
          <t>Ajay Kumar / Vijay</t>
        </is>
      </c>
      <c r="G627" s="5" t="inlineStr">
        <is>
          <t>Co-lead</t>
        </is>
      </c>
      <c r="H627" s="5" t="inlineStr">
        <is>
          <t>Major</t>
        </is>
      </c>
      <c r="I627" s="5" t="inlineStr">
        <is>
          <t>The young man the police, including Kapoor's commissioner, are pursuing: a street performer whose singing and dancing covers his colleagues' burglaries.</t>
        </is>
      </c>
      <c r="J627" s="5" t="inlineStr">
        <is>
          <t>Holds the film's romance, with Aarti; Kapoor's commissioner has none, and romance presence is recorded as None.</t>
        </is>
      </c>
      <c r="K627" s="19" t="inlineStr">
        <is>
          <t>A poor orphan who loves the wealthy Aarti, is refused by her father until he makes money, disappears, and resurfaces as a lookalike calling himself Vijay, while in fact working as a career criminal who distracts crowds with song and dance while his gang robs the flats behind them.</t>
        </is>
      </c>
      <c r="L627" s="5" t="n"/>
      <c r="M627" s="5" t="inlineStr">
        <is>
          <t>SOURCE-101</t>
        </is>
      </c>
    </row>
    <row r="628" ht="64" customHeight="1">
      <c r="A628" s="15" t="inlineStr">
        <is>
          <t>CAST-627</t>
        </is>
      </c>
      <c r="B628" s="18" t="inlineStr">
        <is>
          <t>FILM-123</t>
        </is>
      </c>
      <c r="C628" s="5" t="inlineStr">
        <is>
          <t>Ilzaam</t>
        </is>
      </c>
      <c r="D628" s="17" t="n">
        <v>1986</v>
      </c>
      <c r="E628" s="5" t="inlineStr">
        <is>
          <t>Shatrughan Sinha</t>
        </is>
      </c>
      <c r="F628" s="5" t="inlineStr">
        <is>
          <t>Inspector Suraj Prasad</t>
        </is>
      </c>
      <c r="G628" s="5" t="inlineStr">
        <is>
          <t>Co-lead</t>
        </is>
      </c>
      <c r="H628" s="5" t="inlineStr">
        <is>
          <t>Major</t>
        </is>
      </c>
      <c r="I628" s="5" t="inlineStr">
        <is>
          <t>The inspector under Kapoor's commissioner, and the one who uncovers what the young man actually is.</t>
        </is>
      </c>
      <c r="J628" s="5" t="inlineStr">
        <is>
          <t>Investigates the man the heroine loves, which is how the romance is exposed.</t>
        </is>
      </c>
      <c r="K628" s="19" t="inlineStr">
        <is>
          <t>A police inspector living with his mother and sister and an elder brother's household, who while investigating an unrelated matter discovers that the street singer is a career criminal.</t>
        </is>
      </c>
      <c r="L628" s="5" t="n"/>
      <c r="M628" s="5" t="inlineStr">
        <is>
          <t>SOURCE-101</t>
        </is>
      </c>
    </row>
    <row r="629" ht="64" customHeight="1">
      <c r="A629" s="15" t="inlineStr">
        <is>
          <t>CAST-628</t>
        </is>
      </c>
      <c r="B629" s="18" t="inlineStr">
        <is>
          <t>FILM-123</t>
        </is>
      </c>
      <c r="C629" s="5" t="inlineStr">
        <is>
          <t>Ilzaam</t>
        </is>
      </c>
      <c r="D629" s="17" t="n">
        <v>1986</v>
      </c>
      <c r="E629" s="5" t="inlineStr">
        <is>
          <t>Neelam</t>
        </is>
      </c>
      <c r="F629" s="5" t="inlineStr">
        <is>
          <t>Aarti</t>
        </is>
      </c>
      <c r="G629" s="5" t="inlineStr">
        <is>
          <t>Supporting</t>
        </is>
      </c>
      <c r="H629" s="5" t="inlineStr">
        <is>
          <t>Major</t>
        </is>
      </c>
      <c r="I629" s="5" t="inlineStr">
        <is>
          <t>No connection to the commissioner; she is the woman on the other side of the investigation.</t>
        </is>
      </c>
      <c r="J629" s="5" t="inlineStr">
        <is>
          <t>The film's romance, kept alive across the disappearance and the substitution of identity.</t>
        </is>
      </c>
      <c r="K629" s="19" t="inlineStr">
        <is>
          <t>A wealthy young woman in love with the orphaned Ajay, forbidden to marry him until he is rich, heartbroken by his disappearance and unable to put him out of her mind when she meets his apparent double.</t>
        </is>
      </c>
      <c r="L629" s="5" t="n"/>
      <c r="M629" s="5" t="inlineStr">
        <is>
          <t>SOURCE-101</t>
        </is>
      </c>
    </row>
    <row r="630" ht="49" customHeight="1">
      <c r="A630" s="15" t="inlineStr">
        <is>
          <t>CAST-629</t>
        </is>
      </c>
      <c r="B630" s="18" t="inlineStr">
        <is>
          <t>FILM-123</t>
        </is>
      </c>
      <c r="C630" s="5" t="inlineStr">
        <is>
          <t>Ilzaam</t>
        </is>
      </c>
      <c r="D630" s="17" t="n">
        <v>1986</v>
      </c>
      <c r="E630" s="5" t="inlineStr">
        <is>
          <t>Prem Chopra</t>
        </is>
      </c>
      <c r="F630" s="5" t="inlineStr">
        <is>
          <t>Dhanraj</t>
        </is>
      </c>
      <c r="G630" s="5" t="inlineStr">
        <is>
          <t>Antagonist</t>
        </is>
      </c>
      <c r="H630" s="5" t="inlineStr">
        <is>
          <t>Major</t>
        </is>
      </c>
      <c r="I630" s="5" t="inlineStr">
        <is>
          <t>Aarti's father, and the origin of the whole plot: his condition drives the young man into crime.</t>
        </is>
      </c>
      <c r="J630" s="5" t="inlineStr">
        <is>
          <t>The external opposition, and the cause of the criminality the police then pursue.</t>
        </is>
      </c>
      <c r="K630" s="19" t="inlineStr">
        <is>
          <t>Aarti's father, who opposes her marriage to a poor orphan until he becomes wealthy, a condition that sends the young man out of her life and into a criminal gang.</t>
        </is>
      </c>
      <c r="L630" s="5" t="n"/>
      <c r="M630" s="5" t="inlineStr">
        <is>
          <t>SOURCE-101</t>
        </is>
      </c>
    </row>
    <row r="631" ht="49" customHeight="1">
      <c r="A631" s="15" t="inlineStr">
        <is>
          <t>CAST-630</t>
        </is>
      </c>
      <c r="B631" s="18" t="inlineStr">
        <is>
          <t>FILM-123</t>
        </is>
      </c>
      <c r="C631" s="5" t="inlineStr">
        <is>
          <t>Ilzaam</t>
        </is>
      </c>
      <c r="D631" s="17" t="n">
        <v>1986</v>
      </c>
      <c r="E631" s="5" t="inlineStr">
        <is>
          <t>Anita Raj</t>
        </is>
      </c>
      <c r="F631" s="5" t="inlineStr">
        <is>
          <t>Kamal</t>
        </is>
      </c>
      <c r="G631" s="5" t="inlineStr">
        <is>
          <t>Supporting</t>
        </is>
      </c>
      <c r="H631" s="5" t="inlineStr">
        <is>
          <t>Medium</t>
        </is>
      </c>
      <c r="I631" s="5" t="inlineStr">
        <is>
          <t>Not documented; credited with Shivraj as her father.</t>
        </is>
      </c>
      <c r="J631" s="5" t="inlineStr">
        <is>
          <t>Not placed by the article's summary, which follows only Ajay and Aarti.</t>
        </is>
      </c>
      <c r="K631" s="19" t="inlineStr">
        <is>
          <t>Credited as Kamal, with a father of her own in the cast list. The article's plot summary breaks off at the inspector's discovery and does not reach her.</t>
        </is>
      </c>
      <c r="L631" s="5" t="n"/>
      <c r="M631" s="5" t="inlineStr">
        <is>
          <t>SOURCE-101</t>
        </is>
      </c>
    </row>
    <row r="632" ht="49" customHeight="1">
      <c r="A632" s="15" t="inlineStr">
        <is>
          <t>CAST-631</t>
        </is>
      </c>
      <c r="B632" s="18" t="inlineStr">
        <is>
          <t>FILM-123</t>
        </is>
      </c>
      <c r="C632" s="5" t="inlineStr">
        <is>
          <t>Ilzaam</t>
        </is>
      </c>
      <c r="D632" s="17" t="n">
        <v>1986</v>
      </c>
      <c r="E632" s="5" t="inlineStr">
        <is>
          <t>Tej Sapru</t>
        </is>
      </c>
      <c r="F632" s="5" t="inlineStr">
        <is>
          <t>Shivaji Hall manager</t>
        </is>
      </c>
      <c r="G632" s="5" t="inlineStr">
        <is>
          <t>Antagonist</t>
        </is>
      </c>
      <c r="H632" s="5" t="inlineStr">
        <is>
          <t>Medium</t>
        </is>
      </c>
      <c r="I632" s="5" t="inlineStr">
        <is>
          <t>Leads the gang the commissioner's force is working against.</t>
        </is>
      </c>
      <c r="J632" s="5" t="inlineStr">
        <is>
          <t>No part in it.</t>
        </is>
      </c>
      <c r="K632" s="19" t="inlineStr">
        <is>
          <t>Credited as both the manager of Shivaji Hall and the leader of the robbery gang, the outfit whose burglaries the street performances cover.</t>
        </is>
      </c>
      <c r="L632" s="5" t="n"/>
      <c r="M632" s="5" t="inlineStr">
        <is>
          <t>SOURCE-101</t>
        </is>
      </c>
    </row>
    <row r="633" ht="49" customHeight="1">
      <c r="A633" s="15" t="inlineStr">
        <is>
          <t>CAST-632</t>
        </is>
      </c>
      <c r="B633" s="18" t="inlineStr">
        <is>
          <t>FILM-123</t>
        </is>
      </c>
      <c r="C633" s="5" t="inlineStr">
        <is>
          <t>Ilzaam</t>
        </is>
      </c>
      <c r="D633" s="17" t="n">
        <v>1986</v>
      </c>
      <c r="E633" s="5" t="inlineStr">
        <is>
          <t>Gita Siddharth</t>
        </is>
      </c>
      <c r="F633" s="5" t="inlineStr">
        <is>
          <t>Suraj Prasad's mother</t>
        </is>
      </c>
      <c r="G633" s="5" t="inlineStr">
        <is>
          <t>Family</t>
        </is>
      </c>
      <c r="H633" s="5" t="inlineStr">
        <is>
          <t>Medium</t>
        </is>
      </c>
      <c r="I633" s="5" t="inlineStr">
        <is>
          <t>No documented connection to the commissioner; she belongs to the inspector's household.</t>
        </is>
      </c>
      <c r="J633" s="5" t="inlineStr">
        <is>
          <t>No part in it.</t>
        </is>
      </c>
      <c r="K633" s="19" t="inlineStr">
        <is>
          <t>Credited as the mother of Inspector Suraj Prasad, in the family the disguised Vijay attaches himself to.</t>
        </is>
      </c>
      <c r="L633" s="5" t="n"/>
      <c r="M633" s="5" t="inlineStr">
        <is>
          <t>SOURCE-101</t>
        </is>
      </c>
    </row>
    <row r="634" ht="79" customHeight="1">
      <c r="A634" s="15" t="inlineStr">
        <is>
          <t>CAST-633</t>
        </is>
      </c>
      <c r="B634" s="18" t="inlineStr">
        <is>
          <t>FILM-124</t>
        </is>
      </c>
      <c r="C634" s="5" t="inlineStr">
        <is>
          <t>Swati</t>
        </is>
      </c>
      <c r="D634" s="17" t="n">
        <v>1986</v>
      </c>
      <c r="E634" s="5" t="inlineStr">
        <is>
          <t>Sharmila Tagore</t>
        </is>
      </c>
      <c r="F634" s="5" t="inlineStr">
        <is>
          <t>Sharda</t>
        </is>
      </c>
      <c r="G634" s="5" t="inlineStr">
        <is>
          <t>Co-lead</t>
        </is>
      </c>
      <c r="H634" s="5" t="inlineStr">
        <is>
          <t>Major</t>
        </is>
      </c>
      <c r="I634" s="5" t="inlineStr">
        <is>
          <t>His nurse for years and then his wife, married at her own daughter's suggestion once he is widowed.</t>
        </is>
      </c>
      <c r="J634" s="5" t="inlineStr">
        <is>
          <t>The pairing recorded in the Romances sheet, and subordinate to the film's business: the marriage is an arrangement for the daughter's sake rather than a courtship.</t>
        </is>
      </c>
      <c r="K634" s="19" t="inlineStr">
        <is>
          <t>A woman made pregnant by Satya Prakash and told by his attackers that he had sold her, who keeps the child, names her Swati, moves to a small southern town as a nurse to Dr. Rajendra, and marries him years later when her daughter asks him to take care of her.</t>
        </is>
      </c>
      <c r="L634" s="5" t="n"/>
      <c r="M634" s="5" t="inlineStr">
        <is>
          <t>SOURCE-102</t>
        </is>
      </c>
    </row>
    <row r="635" ht="79" customHeight="1">
      <c r="A635" s="15" t="inlineStr">
        <is>
          <t>CAST-634</t>
        </is>
      </c>
      <c r="B635" s="18" t="inlineStr">
        <is>
          <t>FILM-124</t>
        </is>
      </c>
      <c r="C635" s="5" t="inlineStr">
        <is>
          <t>Swati</t>
        </is>
      </c>
      <c r="D635" s="17" t="n">
        <v>1986</v>
      </c>
      <c r="E635" s="5" t="inlineStr">
        <is>
          <t>Meenakshi Sheshadri</t>
        </is>
      </c>
      <c r="F635" s="5" t="inlineStr">
        <is>
          <t>Swati</t>
        </is>
      </c>
      <c r="G635" s="5" t="inlineStr">
        <is>
          <t>Co-lead</t>
        </is>
      </c>
      <c r="H635" s="5" t="inlineStr">
        <is>
          <t>Major</t>
        </is>
      </c>
      <c r="I635" s="5" t="inlineStr">
        <is>
          <t>The title character, his employee's daughter and then his stepdaughter, and the person who proposes the marriage to him.</t>
        </is>
      </c>
      <c r="J635" s="5" t="inlineStr">
        <is>
          <t>Arranges it rather than participating in it.</t>
        </is>
      </c>
      <c r="K635" s="19" t="inlineStr">
        <is>
          <t>Sharda's daughter, grown into an assertive and outspoken young woman able to defend herself physically, whose manner alienates the community, who befriends the activist Ram Mohan, asks the widowed Dr. Rajendra to marry her mother, and moves out to protect her stepsister's marriage.</t>
        </is>
      </c>
      <c r="L635" s="5" t="n"/>
      <c r="M635" s="5" t="inlineStr">
        <is>
          <t>SOURCE-102</t>
        </is>
      </c>
    </row>
    <row r="636" ht="64" customHeight="1">
      <c r="A636" s="15" t="inlineStr">
        <is>
          <t>CAST-635</t>
        </is>
      </c>
      <c r="B636" s="18" t="inlineStr">
        <is>
          <t>FILM-124</t>
        </is>
      </c>
      <c r="C636" s="5" t="inlineStr">
        <is>
          <t>Swati</t>
        </is>
      </c>
      <c r="D636" s="17" t="n">
        <v>1986</v>
      </c>
      <c r="E636" s="5" t="inlineStr">
        <is>
          <t>Madhuri Dixit</t>
        </is>
      </c>
      <c r="F636" s="5" t="inlineStr">
        <is>
          <t>Anandi</t>
        </is>
      </c>
      <c r="G636" s="5" t="inlineStr">
        <is>
          <t>Family</t>
        </is>
      </c>
      <c r="H636" s="5" t="inlineStr">
        <is>
          <t>Major</t>
        </is>
      </c>
      <c r="I636" s="5" t="inlineStr">
        <is>
          <t>His own daughter, whose pregnancy before marriage repeats Sharda's history a generation later.</t>
        </is>
      </c>
      <c r="J636" s="5" t="inlineStr">
        <is>
          <t>The second concealment, and the reason Swati leaves the household.</t>
        </is>
      </c>
      <c r="K636" s="19" t="inlineStr">
        <is>
          <t>Dr. Rajendra's daughter, who is found to be pregnant by her boyfriend before her marriage, and for whose sake both the pregnancy and Swati's existence are hidden from her in-laws. An early role.</t>
        </is>
      </c>
      <c r="L636" s="5" t="n"/>
      <c r="M636" s="5" t="inlineStr">
        <is>
          <t>SOURCE-102</t>
        </is>
      </c>
    </row>
    <row r="637" ht="64" customHeight="1">
      <c r="A637" s="15" t="inlineStr">
        <is>
          <t>CAST-636</t>
        </is>
      </c>
      <c r="B637" s="18" t="inlineStr">
        <is>
          <t>FILM-124</t>
        </is>
      </c>
      <c r="C637" s="5" t="inlineStr">
        <is>
          <t>Swati</t>
        </is>
      </c>
      <c r="D637" s="17" t="n">
        <v>1986</v>
      </c>
      <c r="E637" s="5" t="inlineStr">
        <is>
          <t>Vinod Mehra</t>
        </is>
      </c>
      <c r="F637" s="5" t="inlineStr">
        <is>
          <t>Satyaprakash</t>
        </is>
      </c>
      <c r="G637" s="5" t="inlineStr">
        <is>
          <t>Antagonist</t>
        </is>
      </c>
      <c r="H637" s="5" t="inlineStr">
        <is>
          <t>Major</t>
        </is>
      </c>
      <c r="I637" s="5" t="inlineStr">
        <is>
          <t>The returning figure from his wife's past, whose reappearance is the crisis the article's summary is moving towards.</t>
        </is>
      </c>
      <c r="J637" s="5" t="inlineStr">
        <is>
          <t>The prior claim on Sharda, and a threat to the marriage the doctor has entered.</t>
        </is>
      </c>
      <c r="K637" s="19" t="inlineStr">
        <is>
          <t>Sharda's boyfriend, who meant to marry her at once, killed a man in the attack that separated them, and returns long afterwards into the household she has since built with Dr. Rajendra.</t>
        </is>
      </c>
      <c r="L637" s="5" t="n"/>
      <c r="M637" s="5" t="inlineStr">
        <is>
          <t>SOURCE-102</t>
        </is>
      </c>
    </row>
    <row r="638" ht="34" customHeight="1">
      <c r="A638" s="15" t="inlineStr">
        <is>
          <t>CAST-637</t>
        </is>
      </c>
      <c r="B638" s="18" t="inlineStr">
        <is>
          <t>FILM-124</t>
        </is>
      </c>
      <c r="C638" s="5" t="inlineStr">
        <is>
          <t>Swati</t>
        </is>
      </c>
      <c r="D638" s="17" t="n">
        <v>1986</v>
      </c>
      <c r="E638" s="5" t="inlineStr">
        <is>
          <t>Akbar Khan</t>
        </is>
      </c>
      <c r="F638" s="5" t="inlineStr">
        <is>
          <t>Ram Mohan</t>
        </is>
      </c>
      <c r="G638" s="5" t="inlineStr">
        <is>
          <t>Friend</t>
        </is>
      </c>
      <c r="H638" s="5" t="inlineStr">
        <is>
          <t>Medium</t>
        </is>
      </c>
      <c r="I638" s="5" t="inlineStr">
        <is>
          <t>In his stepdaughter's circle rather than his own.</t>
        </is>
      </c>
      <c r="J638" s="5" t="inlineStr">
        <is>
          <t>Attached to Swati's story rather than to the marriage.</t>
        </is>
      </c>
      <c r="K638" s="19" t="inlineStr">
        <is>
          <t>An activist often in trouble with the police, befriended by the outspoken Swati.</t>
        </is>
      </c>
      <c r="L638" s="5" t="n"/>
      <c r="M638" s="5" t="inlineStr">
        <is>
          <t>SOURCE-102</t>
        </is>
      </c>
    </row>
    <row r="639" ht="49" customHeight="1">
      <c r="A639" s="15" t="inlineStr">
        <is>
          <t>CAST-638</t>
        </is>
      </c>
      <c r="B639" s="18" t="inlineStr">
        <is>
          <t>FILM-124</t>
        </is>
      </c>
      <c r="C639" s="5" t="inlineStr">
        <is>
          <t>Swati</t>
        </is>
      </c>
      <c r="D639" s="17" t="n">
        <v>1986</v>
      </c>
      <c r="E639" s="5" t="inlineStr">
        <is>
          <t>Raja Bundela</t>
        </is>
      </c>
      <c r="F639" s="5" t="inlineStr">
        <is>
          <t>Kamdev Prasad Chiranjilal Rokadia</t>
        </is>
      </c>
      <c r="G639" s="5" t="inlineStr">
        <is>
          <t>Supporting</t>
        </is>
      </c>
      <c r="H639" s="5" t="inlineStr">
        <is>
          <t>Medium</t>
        </is>
      </c>
      <c r="I639" s="5" t="inlineStr">
        <is>
          <t>The man his daughter is married to, and the in-law family from whom the truth is kept.</t>
        </is>
      </c>
      <c r="J639" s="5" t="inlineStr">
        <is>
          <t>The marriage the concealments are designed to protect.</t>
        </is>
      </c>
      <c r="K639" s="19" t="inlineStr">
        <is>
          <t>The groom Anandi is married to while her pregnancy and the existence of her stepsister are hidden from his family.</t>
        </is>
      </c>
      <c r="L639" s="5" t="n"/>
      <c r="M639" s="5" t="inlineStr">
        <is>
          <t>SOURCE-102</t>
        </is>
      </c>
    </row>
    <row r="640" ht="79" customHeight="1">
      <c r="A640" s="15" t="inlineStr">
        <is>
          <t>CAST-639</t>
        </is>
      </c>
      <c r="B640" s="18" t="inlineStr">
        <is>
          <t>FILM-125</t>
        </is>
      </c>
      <c r="C640" s="5" t="inlineStr">
        <is>
          <t>Maa Beti</t>
        </is>
      </c>
      <c r="D640" s="17" t="n">
        <v>1986</v>
      </c>
      <c r="E640" s="5" t="inlineStr">
        <is>
          <t>Sharmila Tagore</t>
        </is>
      </c>
      <c r="F640" s="5" t="inlineStr">
        <is>
          <t>Savitri</t>
        </is>
      </c>
      <c r="G640" s="5" t="inlineStr">
        <is>
          <t>Co-lead</t>
        </is>
      </c>
      <c r="H640" s="5" t="inlineStr">
        <is>
          <t>Major</t>
        </is>
      </c>
      <c r="I640" s="5" t="inlineStr">
        <is>
          <t>First among the film's women; the article's brief plot follows the family and does not name the Dhanraj Kapoor plays, so the relation is undocumented.</t>
        </is>
      </c>
      <c r="J640" s="5" t="inlineStr">
        <is>
          <t>Not documented. Romance presence is left blank for the film and no Romances row was created.</t>
        </is>
      </c>
      <c r="K640" s="19" t="inlineStr">
        <is>
          <t>A wealthy businessman's wife and mother of Meenu, who dies giving birth to her second child, the son Ketan, setting the whole plot in motion.</t>
        </is>
      </c>
      <c r="L640" s="5" t="n"/>
      <c r="M640" s="5" t="inlineStr">
        <is>
          <t>SOURCE-103</t>
        </is>
      </c>
    </row>
    <row r="641" ht="64" customHeight="1">
      <c r="A641" s="15" t="inlineStr">
        <is>
          <t>CAST-640</t>
        </is>
      </c>
      <c r="B641" s="18" t="inlineStr">
        <is>
          <t>FILM-125</t>
        </is>
      </c>
      <c r="C641" s="5" t="inlineStr">
        <is>
          <t>Maa Beti</t>
        </is>
      </c>
      <c r="D641" s="17" t="n">
        <v>1986</v>
      </c>
      <c r="E641" s="5" t="inlineStr">
        <is>
          <t>Tanuja</t>
        </is>
      </c>
      <c r="F641" s="5" t="inlineStr">
        <is>
          <t>Laxmi</t>
        </is>
      </c>
      <c r="G641" s="5" t="inlineStr">
        <is>
          <t>Co-lead</t>
        </is>
      </c>
      <c r="H641" s="5" t="inlineStr">
        <is>
          <t>Major</t>
        </is>
      </c>
      <c r="I641" s="5" t="inlineStr">
        <is>
          <t>Not documented; the article's synopsis does not place Kapoor's character against her.</t>
        </is>
      </c>
      <c r="J641" s="5" t="inlineStr">
        <is>
          <t>Not documented.</t>
        </is>
      </c>
      <c r="K641" s="19" t="inlineStr">
        <is>
          <t>The second wife, married to a widower unable to manage business and two children, who ill-treats her stepchildren until they run away, unaware that her own brother means to ruin them all.</t>
        </is>
      </c>
      <c r="L641" s="5" t="n"/>
      <c r="M641" s="5" t="inlineStr">
        <is>
          <t>SOURCE-103</t>
        </is>
      </c>
    </row>
    <row r="642" ht="49" customHeight="1">
      <c r="A642" s="15" t="inlineStr">
        <is>
          <t>CAST-641</t>
        </is>
      </c>
      <c r="B642" s="18" t="inlineStr">
        <is>
          <t>FILM-125</t>
        </is>
      </c>
      <c r="C642" s="5" t="inlineStr">
        <is>
          <t>Maa Beti</t>
        </is>
      </c>
      <c r="D642" s="17" t="n">
        <v>1986</v>
      </c>
      <c r="E642" s="5" t="inlineStr">
        <is>
          <t>Meenakshi Sheshadri</t>
        </is>
      </c>
      <c r="F642" s="5" t="inlineStr">
        <is>
          <t>Meenu / Asha</t>
        </is>
      </c>
      <c r="G642" s="5" t="inlineStr">
        <is>
          <t>Co-lead</t>
        </is>
      </c>
      <c r="H642" s="5" t="inlineStr">
        <is>
          <t>Major</t>
        </is>
      </c>
      <c r="I642" s="5" t="inlineStr">
        <is>
          <t>Not documented; the title pairs a mother and daughter and the article does not reach Kapoor's part.</t>
        </is>
      </c>
      <c r="J642" s="5" t="inlineStr">
        <is>
          <t>Not documented.</t>
        </is>
      </c>
      <c r="K642" s="19" t="inlineStr">
        <is>
          <t>Savitri's daughter, on a double credit, one of the stepchildren driven out of the house by their father's second wife.</t>
        </is>
      </c>
      <c r="L642" s="5" t="n"/>
      <c r="M642" s="5" t="inlineStr">
        <is>
          <t>SOURCE-103</t>
        </is>
      </c>
    </row>
    <row r="643" ht="49" customHeight="1">
      <c r="A643" s="15" t="inlineStr">
        <is>
          <t>CAST-642</t>
        </is>
      </c>
      <c r="B643" s="18" t="inlineStr">
        <is>
          <t>FILM-125</t>
        </is>
      </c>
      <c r="C643" s="5" t="inlineStr">
        <is>
          <t>Maa Beti</t>
        </is>
      </c>
      <c r="D643" s="17" t="n">
        <v>1986</v>
      </c>
      <c r="E643" s="5" t="inlineStr">
        <is>
          <t>Nilu Phule</t>
        </is>
      </c>
      <c r="F643" s="5" t="inlineStr">
        <is>
          <t>Raghunandan</t>
        </is>
      </c>
      <c r="G643" s="5" t="inlineStr">
        <is>
          <t>Antagonist</t>
        </is>
      </c>
      <c r="H643" s="5" t="inlineStr">
        <is>
          <t>Major</t>
        </is>
      </c>
      <c r="I643" s="5" t="inlineStr">
        <is>
          <t>Not documented, but the article names him the author of the family's ruin.</t>
        </is>
      </c>
      <c r="J643" s="5" t="inlineStr">
        <is>
          <t>No part in it.</t>
        </is>
      </c>
      <c r="K643" s="19" t="inlineStr">
        <is>
          <t>Laxmi's brother, who swindles the family of all its money and turns his own sister and her household out of the house.</t>
        </is>
      </c>
      <c r="L643" s="5" t="n"/>
      <c r="M643" s="5" t="inlineStr">
        <is>
          <t>SOURCE-103</t>
        </is>
      </c>
    </row>
    <row r="644" ht="34" customHeight="1">
      <c r="A644" s="15" t="inlineStr">
        <is>
          <t>CAST-643</t>
        </is>
      </c>
      <c r="B644" s="18" t="inlineStr">
        <is>
          <t>FILM-125</t>
        </is>
      </c>
      <c r="C644" s="5" t="inlineStr">
        <is>
          <t>Maa Beti</t>
        </is>
      </c>
      <c r="D644" s="17" t="n">
        <v>1986</v>
      </c>
      <c r="E644" s="5" t="inlineStr">
        <is>
          <t>Sachin</t>
        </is>
      </c>
      <c r="F644" s="5" t="inlineStr">
        <is>
          <t>Ketan</t>
        </is>
      </c>
      <c r="G644" s="5" t="inlineStr">
        <is>
          <t>Family</t>
        </is>
      </c>
      <c r="H644" s="5" t="inlineStr">
        <is>
          <t>Medium</t>
        </is>
      </c>
      <c r="I644" s="5" t="inlineStr">
        <is>
          <t>Not documented.</t>
        </is>
      </c>
      <c r="J644" s="5" t="inlineStr">
        <is>
          <t>Not documented.</t>
        </is>
      </c>
      <c r="K644" s="19" t="inlineStr">
        <is>
          <t>The son whose birth kills Savitri, and the second of the two stepchildren the new wife mistreats.</t>
        </is>
      </c>
      <c r="L644" s="5" t="n"/>
      <c r="M644" s="5" t="inlineStr">
        <is>
          <t>SOURCE-103</t>
        </is>
      </c>
    </row>
    <row r="645" ht="34" customHeight="1">
      <c r="A645" s="15" t="inlineStr">
        <is>
          <t>CAST-644</t>
        </is>
      </c>
      <c r="B645" s="18" t="inlineStr">
        <is>
          <t>FILM-125</t>
        </is>
      </c>
      <c r="C645" s="5" t="inlineStr">
        <is>
          <t>Maa Beti</t>
        </is>
      </c>
      <c r="D645" s="17" t="n">
        <v>1986</v>
      </c>
      <c r="E645" s="5" t="inlineStr">
        <is>
          <t>Pran</t>
        </is>
      </c>
      <c r="F645" s="5" t="inlineStr">
        <is>
          <t>Ramu</t>
        </is>
      </c>
      <c r="G645" s="5" t="inlineStr">
        <is>
          <t>Supporting</t>
        </is>
      </c>
      <c r="H645" s="5" t="inlineStr">
        <is>
          <t>Medium</t>
        </is>
      </c>
      <c r="I645" s="5" t="inlineStr">
        <is>
          <t>Not documented.</t>
        </is>
      </c>
      <c r="J645" s="5" t="inlineStr">
        <is>
          <t>Not documented.</t>
        </is>
      </c>
      <c r="K645" s="19" t="inlineStr">
        <is>
          <t>Credited as Ramu. The article's four-sentence synopsis does not place the part.</t>
        </is>
      </c>
      <c r="L645" s="5" t="n"/>
      <c r="M645" s="5" t="inlineStr">
        <is>
          <t>SOURCE-103</t>
        </is>
      </c>
    </row>
    <row r="646" ht="34" customHeight="1">
      <c r="A646" s="15" t="inlineStr">
        <is>
          <t>CAST-645</t>
        </is>
      </c>
      <c r="B646" s="18" t="inlineStr">
        <is>
          <t>FILM-125</t>
        </is>
      </c>
      <c r="C646" s="5" t="inlineStr">
        <is>
          <t>Maa Beti</t>
        </is>
      </c>
      <c r="D646" s="17" t="n">
        <v>1986</v>
      </c>
      <c r="E646" s="5" t="inlineStr">
        <is>
          <t>Kader Khan</t>
        </is>
      </c>
      <c r="F646" s="5" t="inlineStr">
        <is>
          <t>Shiv Prasad</t>
        </is>
      </c>
      <c r="G646" s="5" t="inlineStr">
        <is>
          <t>Supporting</t>
        </is>
      </c>
      <c r="H646" s="5" t="inlineStr">
        <is>
          <t>Medium</t>
        </is>
      </c>
      <c r="I646" s="5" t="inlineStr">
        <is>
          <t>Not documented; Ashok Saraf is separately credited as a Shankar Prasad.</t>
        </is>
      </c>
      <c r="J646" s="5" t="inlineStr">
        <is>
          <t>Not documented.</t>
        </is>
      </c>
      <c r="K646" s="19" t="inlineStr">
        <is>
          <t>Credited as Shiv Prasad, with Ashok Saraf as Shankar Prasad. The article's short plot summary does not reach either.</t>
        </is>
      </c>
      <c r="L646" s="5" t="n"/>
      <c r="M646" s="5" t="inlineStr">
        <is>
          <t>SOURCE-103</t>
        </is>
      </c>
    </row>
    <row r="647" ht="79" customHeight="1">
      <c r="A647" s="15" t="inlineStr">
        <is>
          <t>CAST-646</t>
        </is>
      </c>
      <c r="B647" s="18" t="inlineStr">
        <is>
          <t>FILM-128</t>
        </is>
      </c>
      <c r="C647" s="5" t="inlineStr">
        <is>
          <t>Naam O Nishan</t>
        </is>
      </c>
      <c r="D647" s="17" t="n">
        <v>1987</v>
      </c>
      <c r="E647" s="5" t="inlineStr">
        <is>
          <t>Sanjay Dutt</t>
        </is>
      </c>
      <c r="F647" s="5" t="inlineStr">
        <is>
          <t>Inspector Suraj Singh</t>
        </is>
      </c>
      <c r="G647" s="5" t="inlineStr">
        <is>
          <t>Co-lead</t>
        </is>
      </c>
      <c r="H647" s="5" t="inlineStr">
        <is>
          <t>Major</t>
        </is>
      </c>
      <c r="I647" s="5" t="inlineStr">
        <is>
          <t>The son he has raised, who is not his son: Suraj was sired by the bandit Jarnail Singh, and Kapoor's inspector has kept it from him.</t>
        </is>
      </c>
      <c r="J647" s="5" t="inlineStr">
        <is>
          <t>Holds the film's romance, with Vanisha. Kapoor's own character has none, and romance presence is recorded as None.</t>
        </is>
      </c>
      <c r="K647" s="19" t="inlineStr">
        <is>
          <t>A young man raised in comfort by a police inspector he takes for his father, who joins the force himself, is suspended and charged with a murder he did not commit, is cleared by a woman who is then killed, and does not know that his real father is a bandit or that his girlfriend means to kill him.</t>
        </is>
      </c>
      <c r="L647" s="5" t="n"/>
      <c r="M647" s="5" t="inlineStr">
        <is>
          <t>SOURCE-110</t>
        </is>
      </c>
    </row>
    <row r="648" ht="79" customHeight="1">
      <c r="A648" s="15" t="inlineStr">
        <is>
          <t>CAST-647</t>
        </is>
      </c>
      <c r="B648" s="18" t="inlineStr">
        <is>
          <t>FILM-128</t>
        </is>
      </c>
      <c r="C648" s="5" t="inlineStr">
        <is>
          <t>Naam O Nishan</t>
        </is>
      </c>
      <c r="D648" s="17" t="n">
        <v>1987</v>
      </c>
      <c r="E648" s="5" t="inlineStr">
        <is>
          <t>Kader Khan</t>
        </is>
      </c>
      <c r="F648" s="5" t="inlineStr">
        <is>
          <t>Thakur Jarnail Singh / Jaspal Singh</t>
        </is>
      </c>
      <c r="G648" s="5" t="inlineStr">
        <is>
          <t>Antagonist</t>
        </is>
      </c>
      <c r="H648" s="5" t="inlineStr">
        <is>
          <t>Major</t>
        </is>
      </c>
      <c r="I648" s="5" t="inlineStr">
        <is>
          <t>The man he brings into his own household as a paternal uncle, and who is in fact the bandit who fathered the boy he has raised; sheltering him costs his daughter's marriage.</t>
        </is>
      </c>
      <c r="J648" s="5" t="inlineStr">
        <is>
          <t>No part in it.</t>
        </is>
      </c>
      <c r="K648" s="19" t="inlineStr">
        <is>
          <t>A bandit known as Jarnail Singh who lives in the inspector's house as the uncle Jaspal Singh, whose presence causes the collapse of the daughter's marriage negotiations and who leaves in the night rather than explain himself.</t>
        </is>
      </c>
      <c r="L648" s="5" t="n"/>
      <c r="M648" s="5" t="inlineStr">
        <is>
          <t>SOURCE-110</t>
        </is>
      </c>
    </row>
    <row r="649" ht="49" customHeight="1">
      <c r="A649" s="15" t="inlineStr">
        <is>
          <t>CAST-648</t>
        </is>
      </c>
      <c r="B649" s="18" t="inlineStr">
        <is>
          <t>FILM-128</t>
        </is>
      </c>
      <c r="C649" s="5" t="inlineStr">
        <is>
          <t>Naam O Nishan</t>
        </is>
      </c>
      <c r="D649" s="17" t="n">
        <v>1987</v>
      </c>
      <c r="E649" s="5" t="inlineStr">
        <is>
          <t>Amrita Singh</t>
        </is>
      </c>
      <c r="F649" s="5" t="inlineStr">
        <is>
          <t>Vanisha</t>
        </is>
      </c>
      <c r="G649" s="5" t="inlineStr">
        <is>
          <t>Supporting</t>
        </is>
      </c>
      <c r="H649" s="5" t="inlineStr">
        <is>
          <t>Major</t>
        </is>
      </c>
      <c r="I649" s="5" t="inlineStr">
        <is>
          <t>No connection to Kapoor's inspector; she is the woman his son loves and who is plotting to kill him.</t>
        </is>
      </c>
      <c r="J649" s="5" t="inlineStr">
        <is>
          <t>The film's romance and its central deception at once.</t>
        </is>
      </c>
      <c r="K649" s="19" t="inlineStr">
        <is>
          <t>The woman Suraj meets and falls in love with, who is plotting his death without his knowledge.</t>
        </is>
      </c>
      <c r="L649" s="5" t="n"/>
      <c r="M649" s="5" t="inlineStr">
        <is>
          <t>SOURCE-110</t>
        </is>
      </c>
    </row>
    <row r="650" ht="49" customHeight="1">
      <c r="A650" s="15" t="inlineStr">
        <is>
          <t>CAST-649</t>
        </is>
      </c>
      <c r="B650" s="18" t="inlineStr">
        <is>
          <t>FILM-128</t>
        </is>
      </c>
      <c r="C650" s="5" t="inlineStr">
        <is>
          <t>Naam O Nishan</t>
        </is>
      </c>
      <c r="D650" s="17" t="n">
        <v>1987</v>
      </c>
      <c r="E650" s="5" t="inlineStr">
        <is>
          <t>Suresh Oberoi</t>
        </is>
      </c>
      <c r="F650" s="5" t="inlineStr">
        <is>
          <t>Zorawar</t>
        </is>
      </c>
      <c r="G650" s="5" t="inlineStr">
        <is>
          <t>Antagonist</t>
        </is>
      </c>
      <c r="H650" s="5" t="inlineStr">
        <is>
          <t>Major</t>
        </is>
      </c>
      <c r="I650" s="5" t="inlineStr">
        <is>
          <t>The rival of the bandit his household sheltered, and the man who sets out to kill the boy he raised.</t>
        </is>
      </c>
      <c r="J650" s="5" t="inlineStr">
        <is>
          <t>No part in it.</t>
        </is>
      </c>
      <c r="K650" s="19" t="inlineStr">
        <is>
          <t>Jarnail Singh's rival, also called Jabhar, who learns of Suraj's biological lineage and sets out to have him killed by any means.</t>
        </is>
      </c>
      <c r="L650" s="5" t="n"/>
      <c r="M650" s="5" t="inlineStr">
        <is>
          <t>SOURCE-110</t>
        </is>
      </c>
    </row>
    <row r="651" ht="49" customHeight="1">
      <c r="A651" s="15" t="inlineStr">
        <is>
          <t>CAST-650</t>
        </is>
      </c>
      <c r="B651" s="18" t="inlineStr">
        <is>
          <t>FILM-128</t>
        </is>
      </c>
      <c r="C651" s="5" t="inlineStr">
        <is>
          <t>Naam O Nishan</t>
        </is>
      </c>
      <c r="D651" s="17" t="n">
        <v>1987</v>
      </c>
      <c r="E651" s="5" t="inlineStr">
        <is>
          <t>Nirupa Roy</t>
        </is>
      </c>
      <c r="F651" s="5" t="inlineStr">
        <is>
          <t>Thakurain Champa Singh</t>
        </is>
      </c>
      <c r="G651" s="5" t="inlineStr">
        <is>
          <t>Family</t>
        </is>
      </c>
      <c r="H651" s="5" t="inlineStr">
        <is>
          <t>Major</t>
        </is>
      </c>
      <c r="I651" s="5" t="inlineStr">
        <is>
          <t>Credited with the Singh surname that runs through the bandit's family rather than the inspector's household.</t>
        </is>
      </c>
      <c r="J651" s="5" t="inlineStr">
        <is>
          <t>No part in it.</t>
        </is>
      </c>
      <c r="K651" s="19" t="inlineStr">
        <is>
          <t>Credited as Thakurain Champa Singh, on the side of the film's concealed parentage rather than the police household Suraj grew up in.</t>
        </is>
      </c>
      <c r="L651" s="5" t="n"/>
      <c r="M651" s="5" t="inlineStr">
        <is>
          <t>SOURCE-110</t>
        </is>
      </c>
    </row>
    <row r="652" ht="49" customHeight="1">
      <c r="A652" s="15" t="inlineStr">
        <is>
          <t>CAST-651</t>
        </is>
      </c>
      <c r="B652" s="18" t="inlineStr">
        <is>
          <t>FILM-128</t>
        </is>
      </c>
      <c r="C652" s="5" t="inlineStr">
        <is>
          <t>Naam O Nishan</t>
        </is>
      </c>
      <c r="D652" s="17" t="n">
        <v>1987</v>
      </c>
      <c r="E652" s="5" t="inlineStr">
        <is>
          <t>Seema Deo</t>
        </is>
      </c>
      <c r="F652" s="5" t="inlineStr">
        <is>
          <t>Mrs. Sangram Singh</t>
        </is>
      </c>
      <c r="G652" s="5" t="inlineStr">
        <is>
          <t>Family</t>
        </is>
      </c>
      <c r="H652" s="5" t="inlineStr">
        <is>
          <t>Medium</t>
        </is>
      </c>
      <c r="I652" s="5" t="inlineStr">
        <is>
          <t>His wife, who has raised another man's son as her own alongside their daughter.</t>
        </is>
      </c>
      <c r="J652" s="5" t="inlineStr">
        <is>
          <t>No part in it.</t>
        </is>
      </c>
      <c r="K652" s="19" t="inlineStr">
        <is>
          <t>The inspector's wife, in the household that keeps Suraj's parentage from him and loses a daughter's marriage over the uncle it shelters.</t>
        </is>
      </c>
      <c r="L652" s="5" t="n"/>
      <c r="M652" s="5" t="inlineStr">
        <is>
          <t>SOURCE-110</t>
        </is>
      </c>
    </row>
    <row r="653" ht="79" customHeight="1">
      <c r="A653" s="15" t="inlineStr">
        <is>
          <t>CAST-652</t>
        </is>
      </c>
      <c r="B653" s="18" t="inlineStr">
        <is>
          <t>FILM-129</t>
        </is>
      </c>
      <c r="C653" s="5" t="inlineStr">
        <is>
          <t>Pyar Ki Jeet</t>
        </is>
      </c>
      <c r="D653" s="17" t="n">
        <v>1987</v>
      </c>
      <c r="E653" s="5" t="inlineStr">
        <is>
          <t>Rekha</t>
        </is>
      </c>
      <c r="F653" s="5" t="inlineStr">
        <is>
          <t>Soni</t>
        </is>
      </c>
      <c r="G653" s="5" t="inlineStr">
        <is>
          <t>Co-lead</t>
        </is>
      </c>
      <c r="H653" s="5" t="inlineStr">
        <is>
          <t>Major</t>
        </is>
      </c>
      <c r="I653" s="5" t="inlineStr">
        <is>
          <t>The young woman only Kapoor's village doctor understands and defends, and who by the end treats him as her father.</t>
        </is>
      </c>
      <c r="J653" s="5" t="inlineStr">
        <is>
          <t>Holds the film's romance, with the young doctor; Kapoor's own character has none, and romance presence is recorded as None.</t>
        </is>
      </c>
      <c r="K653" s="19" t="inlineStr">
        <is>
          <t>A garment merchant who commutes to the city and is written off by her village as a cheap woman, in love with the young doctor who keeps rejecting her over her reputation, who fights off the landlord's assassins and is injured saving the man she loves.</t>
        </is>
      </c>
      <c r="L653" s="5" t="n"/>
      <c r="M653" s="5" t="inlineStr">
        <is>
          <t>SOURCE-109</t>
        </is>
      </c>
    </row>
    <row r="654" ht="79" customHeight="1">
      <c r="A654" s="15" t="inlineStr">
        <is>
          <t>CAST-653</t>
        </is>
      </c>
      <c r="B654" s="18" t="inlineStr">
        <is>
          <t>FILM-129</t>
        </is>
      </c>
      <c r="C654" s="5" t="inlineStr">
        <is>
          <t>Pyar Ki Jeet</t>
        </is>
      </c>
      <c r="D654" s="17" t="n">
        <v>1987</v>
      </c>
      <c r="E654" s="5" t="inlineStr">
        <is>
          <t>Vinod Mehra</t>
        </is>
      </c>
      <c r="F654" s="5" t="inlineStr">
        <is>
          <t>Dr. Anand</t>
        </is>
      </c>
      <c r="G654" s="5" t="inlineStr">
        <is>
          <t>Co-lead</t>
        </is>
      </c>
      <c r="H654" s="5" t="inlineStr">
        <is>
          <t>Major</t>
        </is>
      </c>
      <c r="I654" s="5" t="inlineStr">
        <is>
          <t>The city-trained doctor sent to visit him, who stays on as his assistant when he finds Kapoor's Rehman is ill and cannot manage alone.</t>
        </is>
      </c>
      <c r="J654" s="5" t="inlineStr">
        <is>
          <t>The film's romance, and the prejudice in it: he denies his own feeling because of Soni's reputation.</t>
        </is>
      </c>
      <c r="K654" s="19" t="inlineStr">
        <is>
          <t>Dr. Kumar's son, educated at the best medical academies, mistaken by the villagers for the new assistant doctor and staying on when he finds Rehman ill, who rejects Soni over her reputation, accepts her after she saves his life, and is then found to have a brain tumour.</t>
        </is>
      </c>
      <c r="L654" s="5" t="n"/>
      <c r="M654" s="5" t="inlineStr">
        <is>
          <t>SOURCE-109</t>
        </is>
      </c>
    </row>
    <row r="655" ht="64" customHeight="1">
      <c r="A655" s="15" t="inlineStr">
        <is>
          <t>CAST-654</t>
        </is>
      </c>
      <c r="B655" s="18" t="inlineStr">
        <is>
          <t>FILM-129</t>
        </is>
      </c>
      <c r="C655" s="5" t="inlineStr">
        <is>
          <t>Pyar Ki Jeet</t>
        </is>
      </c>
      <c r="D655" s="17" t="n">
        <v>1987</v>
      </c>
      <c r="E655" s="5" t="inlineStr">
        <is>
          <t>Ashok Kumar</t>
        </is>
      </c>
      <c r="F655" s="5" t="inlineStr">
        <is>
          <t>Dr. Kumar</t>
        </is>
      </c>
      <c r="G655" s="5" t="inlineStr">
        <is>
          <t>Supporting</t>
        </is>
      </c>
      <c r="H655" s="5" t="inlineStr">
        <is>
          <t>Major</t>
        </is>
      </c>
      <c r="I655" s="5" t="inlineStr">
        <is>
          <t>A fellow doctor of his own generation, in the city, who sends his son to visit him.</t>
        </is>
      </c>
      <c r="J655" s="5" t="inlineStr">
        <is>
          <t>The paternal authority whose help is needed when the young doctor falls ill.</t>
        </is>
      </c>
      <c r="K655" s="19" t="inlineStr">
        <is>
          <t>A rich and successful city doctor who educated his son at the best academies and sent him to the village to see the old doctor Rehman, and whose money and help the operation later requires.</t>
        </is>
      </c>
      <c r="L655" s="5" t="n"/>
      <c r="M655" s="5" t="inlineStr">
        <is>
          <t>SOURCE-109</t>
        </is>
      </c>
    </row>
    <row r="656" ht="49" customHeight="1">
      <c r="A656" s="15" t="inlineStr">
        <is>
          <t>CAST-655</t>
        </is>
      </c>
      <c r="B656" s="18" t="inlineStr">
        <is>
          <t>FILM-129</t>
        </is>
      </c>
      <c r="C656" s="5" t="inlineStr">
        <is>
          <t>Pyar Ki Jeet</t>
        </is>
      </c>
      <c r="D656" s="17" t="n">
        <v>1987</v>
      </c>
      <c r="E656" s="5" t="inlineStr">
        <is>
          <t>Bharat Kapoor</t>
        </is>
      </c>
      <c r="F656" s="5" t="inlineStr">
        <is>
          <t>Jagirdar</t>
        </is>
      </c>
      <c r="G656" s="5" t="inlineStr">
        <is>
          <t>Antagonist</t>
        </is>
      </c>
      <c r="H656" s="5" t="inlineStr">
        <is>
          <t>Major</t>
        </is>
      </c>
      <c r="I656" s="5" t="inlineStr">
        <is>
          <t>The landlord whose designs on Soni run against the protection Kapoor's doctor extends to her.</t>
        </is>
      </c>
      <c r="J656" s="5" t="inlineStr">
        <is>
          <t>The threat to it: rejected by Soni, he sends men to kill the young doctor.</t>
        </is>
      </c>
      <c r="K656" s="19" t="inlineStr">
        <is>
          <t>The landlord who wants Soni for himself, is refused, and on learning she loves the young doctor sends his henchmen to kill him.</t>
        </is>
      </c>
      <c r="L656" s="5" t="n"/>
      <c r="M656" s="5" t="inlineStr">
        <is>
          <t>SOURCE-109</t>
        </is>
      </c>
    </row>
    <row r="657" ht="49" customHeight="1">
      <c r="A657" s="15" t="inlineStr">
        <is>
          <t>CAST-656</t>
        </is>
      </c>
      <c r="B657" s="18" t="inlineStr">
        <is>
          <t>FILM-129</t>
        </is>
      </c>
      <c r="C657" s="5" t="inlineStr">
        <is>
          <t>Pyar Ki Jeet</t>
        </is>
      </c>
      <c r="D657" s="17" t="n">
        <v>1987</v>
      </c>
      <c r="E657" s="5" t="inlineStr">
        <is>
          <t>Moon Moon Sen</t>
        </is>
      </c>
      <c r="F657" s="5" t="inlineStr">
        <is>
          <t>Rani Padmini Devi</t>
        </is>
      </c>
      <c r="G657" s="5" t="inlineStr">
        <is>
          <t>Supporting</t>
        </is>
      </c>
      <c r="H657" s="5" t="inlineStr">
        <is>
          <t>Medium</t>
        </is>
      </c>
      <c r="I657" s="5" t="inlineStr">
        <is>
          <t>Not documented by the article's summary, which follows the two doctors and Soni.</t>
        </is>
      </c>
      <c r="J657" s="5" t="inlineStr">
        <is>
          <t>Not documented.</t>
        </is>
      </c>
      <c r="K657" s="19" t="inlineStr">
        <is>
          <t>Credited as Rani Padmini Devi. The article's plot summary does not place the part.</t>
        </is>
      </c>
      <c r="L657" s="5" t="n"/>
      <c r="M657" s="5" t="inlineStr">
        <is>
          <t>SOURCE-109</t>
        </is>
      </c>
    </row>
    <row r="658" ht="34" customHeight="1">
      <c r="A658" s="15" t="inlineStr">
        <is>
          <t>CAST-657</t>
        </is>
      </c>
      <c r="B658" s="18" t="inlineStr">
        <is>
          <t>FILM-129</t>
        </is>
      </c>
      <c r="C658" s="5" t="inlineStr">
        <is>
          <t>Pyar Ki Jeet</t>
        </is>
      </c>
      <c r="D658" s="17" t="n">
        <v>1987</v>
      </c>
      <c r="E658" s="5" t="inlineStr">
        <is>
          <t>Jagdeep</t>
        </is>
      </c>
      <c r="F658" s="5" t="inlineStr">
        <is>
          <t>Nathulal</t>
        </is>
      </c>
      <c r="G658" s="5" t="inlineStr">
        <is>
          <t>Comic support</t>
        </is>
      </c>
      <c r="H658" s="5" t="inlineStr">
        <is>
          <t>Medium</t>
        </is>
      </c>
      <c r="I658" s="5" t="inlineStr">
        <is>
          <t>A villager in the community the doctor serves without charging.</t>
        </is>
      </c>
      <c r="J658" s="5" t="inlineStr">
        <is>
          <t>No part in it.</t>
        </is>
      </c>
      <c r="K658" s="19" t="inlineStr">
        <is>
          <t>Credited as Nathulal, in the comic register of the village where the old doctor treats everyone for nothing.</t>
        </is>
      </c>
      <c r="L658" s="5" t="n"/>
      <c r="M658" s="5" t="inlineStr">
        <is>
          <t>SOURCE-109</t>
        </is>
      </c>
    </row>
    <row r="659" ht="64" customHeight="1">
      <c r="A659" s="15" t="inlineStr">
        <is>
          <t>CAST-658</t>
        </is>
      </c>
      <c r="B659" s="18" t="inlineStr">
        <is>
          <t>FILM-130</t>
        </is>
      </c>
      <c r="C659" s="5" t="inlineStr">
        <is>
          <t>Sindoor</t>
        </is>
      </c>
      <c r="D659" s="17" t="n">
        <v>1987</v>
      </c>
      <c r="E659" s="5" t="inlineStr">
        <is>
          <t>Jaya Prada</t>
        </is>
      </c>
      <c r="F659" s="5" t="inlineStr">
        <is>
          <t>Laxmi Choudhary</t>
        </is>
      </c>
      <c r="G659" s="5" t="inlineStr">
        <is>
          <t>Co-lead</t>
        </is>
      </c>
      <c r="H659" s="5" t="inlineStr">
        <is>
          <t>Major</t>
        </is>
      </c>
      <c r="I659" s="5" t="inlineStr">
        <is>
          <t>His wife, whom he forced out of the house over a jealousy he was wrong about, and who has since lived as a widow raising their daughter.</t>
        </is>
      </c>
      <c r="J659" s="5" t="inlineStr">
        <is>
          <t>The pairing recorded in the Romances sheet as damaged by mistrust: the whole film is the working out of a misconception that cost twenty years.</t>
        </is>
      </c>
      <c r="K659" s="19" t="inlineStr">
        <is>
          <t>A singer who made a hit pair with Kumar, driven from her home by a husband who misread the partnership, unfindable when he learned the truth, and living since as a widow and a devoted mother to their daughter Lalita.</t>
        </is>
      </c>
      <c r="L659" s="5" t="n"/>
      <c r="M659" s="5" t="inlineStr">
        <is>
          <t>SOURCE-107</t>
        </is>
      </c>
    </row>
    <row r="660" ht="64" customHeight="1">
      <c r="A660" s="15" t="inlineStr">
        <is>
          <t>CAST-659</t>
        </is>
      </c>
      <c r="B660" s="18" t="inlineStr">
        <is>
          <t>FILM-130</t>
        </is>
      </c>
      <c r="C660" s="5" t="inlineStr">
        <is>
          <t>Sindoor</t>
        </is>
      </c>
      <c r="D660" s="17" t="n">
        <v>1987</v>
      </c>
      <c r="E660" s="5" t="inlineStr">
        <is>
          <t>Neelam Kothari</t>
        </is>
      </c>
      <c r="F660" s="5" t="inlineStr">
        <is>
          <t>Lalita Kapoor</t>
        </is>
      </c>
      <c r="G660" s="5" t="inlineStr">
        <is>
          <t>Family</t>
        </is>
      </c>
      <c r="H660" s="5" t="inlineStr">
        <is>
          <t>Major</t>
        </is>
      </c>
      <c r="I660" s="5" t="inlineStr">
        <is>
          <t>His daughter, who does not know him, and whose singing of her mother's favourite song at a college function is what begins the recognition.</t>
        </is>
      </c>
      <c r="J660" s="5" t="inlineStr">
        <is>
          <t>The agent of the parents' reunion, and the holder of the film's younger romance.</t>
        </is>
      </c>
      <c r="K660" s="19" t="inlineStr">
        <is>
          <t>Laxmi's college-going daughter, who forgets the words of 'Patjhad Saawan Basant Bahaar' at a college function and has them completed by the new English professor, and who asks him for home tuition, bringing him to her mother's door.</t>
        </is>
      </c>
      <c r="L660" s="5" t="n"/>
      <c r="M660" s="5" t="inlineStr">
        <is>
          <t>SOURCE-107</t>
        </is>
      </c>
    </row>
    <row r="661" ht="64" customHeight="1">
      <c r="A661" s="15" t="inlineStr">
        <is>
          <t>CAST-660</t>
        </is>
      </c>
      <c r="B661" s="18" t="inlineStr">
        <is>
          <t>FILM-130</t>
        </is>
      </c>
      <c r="C661" s="5" t="inlineStr">
        <is>
          <t>Sindoor</t>
        </is>
      </c>
      <c r="D661" s="17" t="n">
        <v>1987</v>
      </c>
      <c r="E661" s="5" t="inlineStr">
        <is>
          <t>Govinda</t>
        </is>
      </c>
      <c r="F661" s="5" t="inlineStr">
        <is>
          <t>Ravi Khanna</t>
        </is>
      </c>
      <c r="G661" s="5" t="inlineStr">
        <is>
          <t>Co-lead</t>
        </is>
      </c>
      <c r="H661" s="5" t="inlineStr">
        <is>
          <t>Major</t>
        </is>
      </c>
      <c r="I661" s="5" t="inlineStr">
        <is>
          <t>His student, and the young man his daughter loves.</t>
        </is>
      </c>
      <c r="J661" s="5" t="inlineStr">
        <is>
          <t>The younger romance, conditional on his exam results.</t>
        </is>
      </c>
      <c r="K661" s="19" t="inlineStr">
        <is>
          <t>A brilliant student at the college where Vijay Choudhary teaches, in love with Lalita after some misunderstandings, whose marriage his guardian will permit only if he passes his final year well.</t>
        </is>
      </c>
      <c r="L661" s="5" t="n"/>
      <c r="M661" s="5" t="inlineStr">
        <is>
          <t>SOURCE-107</t>
        </is>
      </c>
    </row>
    <row r="662" ht="79" customHeight="1">
      <c r="A662" s="15" t="inlineStr">
        <is>
          <t>CAST-661</t>
        </is>
      </c>
      <c r="B662" s="18" t="inlineStr">
        <is>
          <t>FILM-130</t>
        </is>
      </c>
      <c r="C662" s="5" t="inlineStr">
        <is>
          <t>Sindoor</t>
        </is>
      </c>
      <c r="D662" s="17" t="n">
        <v>1987</v>
      </c>
      <c r="E662" s="5" t="inlineStr">
        <is>
          <t>Rishi Kapoor</t>
        </is>
      </c>
      <c r="F662" s="5" t="inlineStr">
        <is>
          <t>Kumar</t>
        </is>
      </c>
      <c r="G662" s="5" t="inlineStr">
        <is>
          <t>Cameo</t>
        </is>
      </c>
      <c r="H662" s="5" t="inlineStr">
        <is>
          <t>Major</t>
        </is>
      </c>
      <c r="I662" s="5" t="inlineStr">
        <is>
          <t>The singing partner whose closeness to his wife he misread, and whose own marriage is what cleared the misconception too late; a special appearance by Kapoor's nephew.</t>
        </is>
      </c>
      <c r="J662" s="5" t="inlineStr">
        <is>
          <t>The innocent cause of the rupture the film spends twenty years repairing.</t>
        </is>
      </c>
      <c r="K662" s="19" t="inlineStr">
        <is>
          <t>Laxmi's singing partner, with whom she made a hit pair, and whose wedding is the news that clears Vijay's suspicion on the very day he has driven his wife out. A special appearance.</t>
        </is>
      </c>
      <c r="L662" s="5" t="n"/>
      <c r="M662" s="5" t="inlineStr">
        <is>
          <t>SOURCE-107</t>
        </is>
      </c>
    </row>
    <row r="663" ht="49" customHeight="1">
      <c r="A663" s="15" t="inlineStr">
        <is>
          <t>CAST-662</t>
        </is>
      </c>
      <c r="B663" s="18" t="inlineStr">
        <is>
          <t>FILM-130</t>
        </is>
      </c>
      <c r="C663" s="5" t="inlineStr">
        <is>
          <t>Sindoor</t>
        </is>
      </c>
      <c r="D663" s="17" t="n">
        <v>1987</v>
      </c>
      <c r="E663" s="5" t="inlineStr">
        <is>
          <t>Kader Khan</t>
        </is>
      </c>
      <c r="F663" s="5" t="inlineStr">
        <is>
          <t>Advocate Dharamdas</t>
        </is>
      </c>
      <c r="G663" s="5" t="inlineStr">
        <is>
          <t>Supporting</t>
        </is>
      </c>
      <c r="H663" s="5" t="inlineStr">
        <is>
          <t>Major</t>
        </is>
      </c>
      <c r="I663" s="5" t="inlineStr">
        <is>
          <t>Guardian of his daughter's suitor, and the man who sets the terms of the younger marriage.</t>
        </is>
      </c>
      <c r="J663" s="5" t="inlineStr">
        <is>
          <t>Governs the younger romance, which Laxmi negotiates with him directly.</t>
        </is>
      </c>
      <c r="K663" s="19" t="inlineStr">
        <is>
          <t>Ravi's maternal uncle and guardian, who fixes the marriage with Lalita on the condition that Ravi pass his final year with good marks.</t>
        </is>
      </c>
      <c r="L663" s="5" t="n"/>
      <c r="M663" s="5" t="inlineStr">
        <is>
          <t>SOURCE-107</t>
        </is>
      </c>
    </row>
    <row r="664" ht="49" customHeight="1">
      <c r="A664" s="15" t="inlineStr">
        <is>
          <t>CAST-663</t>
        </is>
      </c>
      <c r="B664" s="18" t="inlineStr">
        <is>
          <t>FILM-130</t>
        </is>
      </c>
      <c r="C664" s="5" t="inlineStr">
        <is>
          <t>Sindoor</t>
        </is>
      </c>
      <c r="D664" s="17" t="n">
        <v>1987</v>
      </c>
      <c r="E664" s="5" t="inlineStr">
        <is>
          <t>Prem Chopra</t>
        </is>
      </c>
      <c r="F664" s="5" t="inlineStr">
        <is>
          <t>Heeralal / Pannalal</t>
        </is>
      </c>
      <c r="G664" s="5" t="inlineStr">
        <is>
          <t>Antagonist</t>
        </is>
      </c>
      <c r="H664" s="5" t="inlineStr">
        <is>
          <t>Major</t>
        </is>
      </c>
      <c r="I664" s="5" t="inlineStr">
        <is>
          <t>The film's antagonist on a dual credit, against the household the professor is trying to reassemble.</t>
        </is>
      </c>
      <c r="J664" s="5" t="inlineStr">
        <is>
          <t>The external threat to both romances.</t>
        </is>
      </c>
      <c r="K664" s="19" t="inlineStr">
        <is>
          <t>A dual credit as Heeralal and Pannalal, the antagonist of a film otherwise built on a twenty-year misunderstanding between husband and wife.</t>
        </is>
      </c>
      <c r="L664" s="5" t="n"/>
      <c r="M664" s="5" t="inlineStr">
        <is>
          <t>SOURCE-107</t>
        </is>
      </c>
    </row>
    <row r="665" ht="64" customHeight="1">
      <c r="A665" s="15" t="inlineStr">
        <is>
          <t>CAST-664</t>
        </is>
      </c>
      <c r="B665" s="18" t="inlineStr">
        <is>
          <t>FILM-130</t>
        </is>
      </c>
      <c r="C665" s="5" t="inlineStr">
        <is>
          <t>Sindoor</t>
        </is>
      </c>
      <c r="D665" s="17" t="n">
        <v>1987</v>
      </c>
      <c r="E665" s="5" t="inlineStr">
        <is>
          <t>Jeetendra</t>
        </is>
      </c>
      <c r="F665" s="5" t="inlineStr">
        <is>
          <t>Prem Kapoor</t>
        </is>
      </c>
      <c r="G665" s="5" t="inlineStr">
        <is>
          <t>Cameo</t>
        </is>
      </c>
      <c r="H665" s="5" t="inlineStr">
        <is>
          <t>Medium</t>
        </is>
      </c>
      <c r="I665" s="5" t="inlineStr">
        <is>
          <t>Not documented by the article's summary; billed as a guest appearance, with Moushumi Chatterjee credited in photograph only as his wife.</t>
        </is>
      </c>
      <c r="J665" s="5" t="inlineStr">
        <is>
          <t>Not documented.</t>
        </is>
      </c>
      <c r="K665" s="19" t="inlineStr">
        <is>
          <t>Credited as Prem Kapoor in a guest appearance, with Moushumi Chatterjee appearing only in a photograph as Sunita Kapoor and Shakti Kapoor as his step-brother Shera.</t>
        </is>
      </c>
      <c r="L665" s="5" t="n"/>
      <c r="M665" s="5" t="inlineStr">
        <is>
          <t>SOURCE-107</t>
        </is>
      </c>
    </row>
    <row r="666" ht="49" customHeight="1">
      <c r="A666" s="15" t="inlineStr">
        <is>
          <t>CAST-665</t>
        </is>
      </c>
      <c r="B666" s="18" t="inlineStr">
        <is>
          <t>FILM-130</t>
        </is>
      </c>
      <c r="C666" s="5" t="inlineStr">
        <is>
          <t>Sindoor</t>
        </is>
      </c>
      <c r="D666" s="17" t="n">
        <v>1987</v>
      </c>
      <c r="E666" s="5" t="inlineStr">
        <is>
          <t>Shakti Kapoor</t>
        </is>
      </c>
      <c r="F666" s="5" t="inlineStr">
        <is>
          <t>Shera</t>
        </is>
      </c>
      <c r="G666" s="5" t="inlineStr">
        <is>
          <t>Antagonist</t>
        </is>
      </c>
      <c r="H666" s="5" t="inlineStr">
        <is>
          <t>Medium</t>
        </is>
      </c>
      <c r="I666" s="5" t="inlineStr">
        <is>
          <t>Not documented; the cast list makes him the step-brother of the guest-billed Prem Kapoor.</t>
        </is>
      </c>
      <c r="J666" s="5" t="inlineStr">
        <is>
          <t>Not documented.</t>
        </is>
      </c>
      <c r="K666" s="19" t="inlineStr">
        <is>
          <t>Credited as Shera, step-brother of Jeetendra's Prem Kapoor, in the strand of the film the article's summary does not reach.</t>
        </is>
      </c>
      <c r="L666" s="5" t="n"/>
      <c r="M666" s="5" t="inlineStr">
        <is>
          <t>SOURCE-107</t>
        </is>
      </c>
    </row>
    <row r="667" ht="94" customHeight="1">
      <c r="A667" s="15" t="inlineStr">
        <is>
          <t>CAST-666</t>
        </is>
      </c>
      <c r="B667" s="18" t="inlineStr">
        <is>
          <t>FILM-131</t>
        </is>
      </c>
      <c r="C667" s="5" t="inlineStr">
        <is>
          <t>Ijaazat</t>
        </is>
      </c>
      <c r="D667" s="17" t="n">
        <v>1987</v>
      </c>
      <c r="E667" s="5" t="inlineStr">
        <is>
          <t>Rekha</t>
        </is>
      </c>
      <c r="F667" s="5" t="inlineStr">
        <is>
          <t>Sudha</t>
        </is>
      </c>
      <c r="G667" s="5" t="inlineStr">
        <is>
          <t>Co-lead</t>
        </is>
      </c>
      <c r="H667" s="5" t="inlineStr">
        <is>
          <t>Major</t>
        </is>
      </c>
      <c r="I667" s="5" t="inlineStr">
        <is>
          <t>The woman whose second husband Kapoor plays in a cameo, and whose first marriage is the whole of the film.</t>
        </is>
      </c>
      <c r="J667" s="5" t="inlineStr">
        <is>
          <t>The romance presence for Kapoor's part is recorded as Minor and no pairing row was created: the marriage he represents lies outside the film's action, which is about the one before it.</t>
        </is>
      </c>
      <c r="K667" s="19" t="inlineStr">
        <is>
          <t>A woman engaged for five years to a man who kept postponing the wedding, married to him at last, worn down by his continuing attachment to another woman, and divorced from him by the time of the film's present-day encounter in a station waiting room.</t>
        </is>
      </c>
      <c r="L667" s="5" t="n"/>
      <c r="M667" s="5" t="inlineStr">
        <is>
          <t>SOURCE-106</t>
        </is>
      </c>
    </row>
    <row r="668" ht="79" customHeight="1">
      <c r="A668" s="15" t="inlineStr">
        <is>
          <t>CAST-667</t>
        </is>
      </c>
      <c r="B668" s="18" t="inlineStr">
        <is>
          <t>FILM-131</t>
        </is>
      </c>
      <c r="C668" s="5" t="inlineStr">
        <is>
          <t>Ijaazat</t>
        </is>
      </c>
      <c r="D668" s="17" t="n">
        <v>1987</v>
      </c>
      <c r="E668" s="5" t="inlineStr">
        <is>
          <t>Naseeruddin Shah</t>
        </is>
      </c>
      <c r="F668" s="5" t="inlineStr">
        <is>
          <t>Mahendra</t>
        </is>
      </c>
      <c r="G668" s="5" t="inlineStr">
        <is>
          <t>Co-lead</t>
        </is>
      </c>
      <c r="H668" s="5" t="inlineStr">
        <is>
          <t>Major</t>
        </is>
      </c>
      <c r="I668" s="5" t="inlineStr">
        <is>
          <t>The first husband of the woman Kapoor's cameo has married; the two men do not meet.</t>
        </is>
      </c>
      <c r="J668" s="5" t="inlineStr">
        <is>
          <t>The marriage that failed, against which Kapoor's brief appearance represents what came after.</t>
        </is>
      </c>
      <c r="K668" s="19" t="inlineStr">
        <is>
          <t>A man engaged to Sudha for five years while attached to Maya, who marries Sudha and keeps the friendship with Maya going, spends more time with her after her suicide attempt, and is met again by his ex-wife in a station waiting room years later.</t>
        </is>
      </c>
      <c r="L668" s="5" t="n"/>
      <c r="M668" s="5" t="inlineStr">
        <is>
          <t>SOURCE-106</t>
        </is>
      </c>
    </row>
    <row r="669" ht="64" customHeight="1">
      <c r="A669" s="15" t="inlineStr">
        <is>
          <t>CAST-668</t>
        </is>
      </c>
      <c r="B669" s="18" t="inlineStr">
        <is>
          <t>FILM-131</t>
        </is>
      </c>
      <c r="C669" s="5" t="inlineStr">
        <is>
          <t>Ijaazat</t>
        </is>
      </c>
      <c r="D669" s="17" t="n">
        <v>1987</v>
      </c>
      <c r="E669" s="5" t="inlineStr">
        <is>
          <t>Anuradha Patel</t>
        </is>
      </c>
      <c r="F669" s="5" t="inlineStr">
        <is>
          <t>Maya</t>
        </is>
      </c>
      <c r="G669" s="5" t="inlineStr">
        <is>
          <t>Supporting</t>
        </is>
      </c>
      <c r="H669" s="5" t="inlineStr">
        <is>
          <t>Major</t>
        </is>
      </c>
      <c r="I669" s="5" t="inlineStr">
        <is>
          <t>No connection to Kapoor's cameo; she is the presence that ended the marriage before his began.</t>
        </is>
      </c>
      <c r="J669" s="5" t="inlineStr">
        <is>
          <t>The third party whose continuing hold on Mahendra breaks the marriage.</t>
        </is>
      </c>
      <c r="K669" s="19" t="inlineStr">
        <is>
          <t>The woman Mahendra is involved with before and throughout his marriage, who leaves him a letter and disappears when he means to present her to Sudha's family, and whose suicide attempt draws him back.</t>
        </is>
      </c>
      <c r="L669" s="5" t="n"/>
      <c r="M669" s="5" t="inlineStr">
        <is>
          <t>SOURCE-106</t>
        </is>
      </c>
    </row>
    <row r="670" ht="49" customHeight="1">
      <c r="A670" s="15" t="inlineStr">
        <is>
          <t>CAST-669</t>
        </is>
      </c>
      <c r="B670" s="18" t="inlineStr">
        <is>
          <t>FILM-131</t>
        </is>
      </c>
      <c r="C670" s="5" t="inlineStr">
        <is>
          <t>Ijaazat</t>
        </is>
      </c>
      <c r="D670" s="17" t="n">
        <v>1987</v>
      </c>
      <c r="E670" s="5" t="inlineStr">
        <is>
          <t>Shammi Kapoor</t>
        </is>
      </c>
      <c r="F670" s="5" t="inlineStr">
        <is>
          <t>Mahendra's grandfather</t>
        </is>
      </c>
      <c r="G670" s="5" t="inlineStr">
        <is>
          <t>Family</t>
        </is>
      </c>
      <c r="H670" s="5" t="inlineStr">
        <is>
          <t>Medium</t>
        </is>
      </c>
      <c r="I670" s="5" t="inlineStr">
        <is>
          <t>No scenes with Kapoor's cameo; the two brothers appear in the same film without sharing its story.</t>
        </is>
      </c>
      <c r="J670" s="5" t="inlineStr">
        <is>
          <t>Presses the marriage that fails: he fixes the wedding date and urges Mahendra to keep his vow.</t>
        </is>
      </c>
      <c r="K670" s="19" t="inlineStr">
        <is>
          <t>Sudha's father figure and Mahendra's grandfather, who urges him to honour his five-year engagement and fixes the wedding date himself. Played by Kapoor's elder brother.</t>
        </is>
      </c>
      <c r="L670" s="5" t="n"/>
      <c r="M670" s="5" t="inlineStr">
        <is>
          <t>SOURCE-106</t>
        </is>
      </c>
    </row>
    <row r="671" ht="49" customHeight="1">
      <c r="A671" s="15" t="inlineStr">
        <is>
          <t>CAST-670</t>
        </is>
      </c>
      <c r="B671" s="18" t="inlineStr">
        <is>
          <t>FILM-132</t>
        </is>
      </c>
      <c r="C671" s="5" t="inlineStr">
        <is>
          <t>Sammy and Rosie Get Laid</t>
        </is>
      </c>
      <c r="D671" s="17" t="n">
        <v>1987</v>
      </c>
      <c r="E671" s="5" t="inlineStr">
        <is>
          <t>Ayub Khan-Din</t>
        </is>
      </c>
      <c r="F671" s="5" t="inlineStr">
        <is>
          <t>Sammy</t>
        </is>
      </c>
      <c r="G671" s="5" t="inlineStr">
        <is>
          <t>Co-lead</t>
        </is>
      </c>
      <c r="H671" s="5" t="inlineStr">
        <is>
          <t>Major</t>
        </is>
      </c>
      <c r="I671" s="5" t="inlineStr">
        <is>
          <t>His son, in whose London household Kapoor's Rafi arrives, and whose marriage the visit sits inside.</t>
        </is>
      </c>
      <c r="J671" s="5" t="inlineStr">
        <is>
          <t>Holds one half of the film's central marriage, which is open on both sides.</t>
        </is>
      </c>
      <c r="K671" s="19" t="inlineStr">
        <is>
          <t>A young British Asian in London, married to Rosie and living the promiscuous bohemian life the title refers to, whose father arrives from abroad to escape his own past.</t>
        </is>
      </c>
      <c r="L671" s="5" t="n"/>
      <c r="M671" s="5" t="inlineStr">
        <is>
          <t>SOURCE-108</t>
        </is>
      </c>
    </row>
    <row r="672" ht="64" customHeight="1">
      <c r="A672" s="15" t="inlineStr">
        <is>
          <t>CAST-671</t>
        </is>
      </c>
      <c r="B672" s="18" t="inlineStr">
        <is>
          <t>FILM-132</t>
        </is>
      </c>
      <c r="C672" s="5" t="inlineStr">
        <is>
          <t>Sammy and Rosie Get Laid</t>
        </is>
      </c>
      <c r="D672" s="17" t="n">
        <v>1987</v>
      </c>
      <c r="E672" s="5" t="inlineStr">
        <is>
          <t>Frances Barber</t>
        </is>
      </c>
      <c r="F672" s="5" t="inlineStr">
        <is>
          <t>Rosie</t>
        </is>
      </c>
      <c r="G672" s="5" t="inlineStr">
        <is>
          <t>Co-lead</t>
        </is>
      </c>
      <c r="H672" s="5" t="inlineStr">
        <is>
          <t>Major</t>
        </is>
      </c>
      <c r="I672" s="5" t="inlineStr">
        <is>
          <t>His daughter-in-law, and the member of the household most likely to confront a father-in-law with a political past.</t>
        </is>
      </c>
      <c r="J672" s="5" t="inlineStr">
        <is>
          <t>The other half of the open marriage the film is named for.</t>
        </is>
      </c>
      <c r="K672" s="19" t="inlineStr">
        <is>
          <t>Sammy's wife, sharing a promiscuous bohemian life with him in London, into which her husband's father arrives with a history he is trying to leave behind.</t>
        </is>
      </c>
      <c r="L672" s="5" t="n"/>
      <c r="M672" s="5" t="inlineStr">
        <is>
          <t>SOURCE-108</t>
        </is>
      </c>
    </row>
    <row r="673" ht="64" customHeight="1">
      <c r="A673" s="15" t="inlineStr">
        <is>
          <t>CAST-672</t>
        </is>
      </c>
      <c r="B673" s="18" t="inlineStr">
        <is>
          <t>FILM-132</t>
        </is>
      </c>
      <c r="C673" s="5" t="inlineStr">
        <is>
          <t>Sammy and Rosie Get Laid</t>
        </is>
      </c>
      <c r="D673" s="17" t="n">
        <v>1987</v>
      </c>
      <c r="E673" s="5" t="inlineStr">
        <is>
          <t>Claire Bloom</t>
        </is>
      </c>
      <c r="F673" s="5" t="inlineStr">
        <is>
          <t>Alice</t>
        </is>
      </c>
      <c r="G673" s="5" t="inlineStr">
        <is>
          <t>Supporting</t>
        </is>
      </c>
      <c r="H673" s="5" t="inlineStr">
        <is>
          <t>Major</t>
        </is>
      </c>
      <c r="I673" s="5" t="inlineStr">
        <is>
          <t>Billed directly after the two leads, opposite Kapoor's Rafi. The article's one-sentence plot does not set out the relation.</t>
        </is>
      </c>
      <c r="J673" s="5" t="inlineStr">
        <is>
          <t>Not documented by the article, which describes the film in a single line.</t>
        </is>
      </c>
      <c r="K673" s="19" t="inlineStr">
        <is>
          <t>Credited as Alice, third-billed. The article's plot section is one sentence long and does not describe her part.</t>
        </is>
      </c>
      <c r="L673" s="5" t="n"/>
      <c r="M673" s="5" t="inlineStr">
        <is>
          <t>SOURCE-108</t>
        </is>
      </c>
    </row>
    <row r="674" ht="34" customHeight="1">
      <c r="A674" s="15" t="inlineStr">
        <is>
          <t>CAST-673</t>
        </is>
      </c>
      <c r="B674" s="18" t="inlineStr">
        <is>
          <t>FILM-132</t>
        </is>
      </c>
      <c r="C674" s="5" t="inlineStr">
        <is>
          <t>Sammy and Rosie Get Laid</t>
        </is>
      </c>
      <c r="D674" s="17" t="n">
        <v>1987</v>
      </c>
      <c r="E674" s="5" t="inlineStr">
        <is>
          <t>Roland Gift</t>
        </is>
      </c>
      <c r="F674" s="5" t="inlineStr">
        <is>
          <t>Danny</t>
        </is>
      </c>
      <c r="G674" s="5" t="inlineStr">
        <is>
          <t>Supporting</t>
        </is>
      </c>
      <c r="H674" s="5" t="inlineStr">
        <is>
          <t>Medium</t>
        </is>
      </c>
      <c r="I674" s="5" t="inlineStr">
        <is>
          <t>Not documented by the article's single line of plot.</t>
        </is>
      </c>
      <c r="J674" s="5" t="inlineStr">
        <is>
          <t>Not documented.</t>
        </is>
      </c>
      <c r="K674" s="19" t="inlineStr">
        <is>
          <t>Credited as Danny. The article gives one sentence of plot and no further detail on the ensemble.</t>
        </is>
      </c>
      <c r="L674" s="5" t="n"/>
      <c r="M674" s="5" t="inlineStr">
        <is>
          <t>SOURCE-108</t>
        </is>
      </c>
    </row>
    <row r="675" ht="34" customHeight="1">
      <c r="A675" s="15" t="inlineStr">
        <is>
          <t>CAST-674</t>
        </is>
      </c>
      <c r="B675" s="18" t="inlineStr">
        <is>
          <t>FILM-132</t>
        </is>
      </c>
      <c r="C675" s="5" t="inlineStr">
        <is>
          <t>Sammy and Rosie Get Laid</t>
        </is>
      </c>
      <c r="D675" s="17" t="n">
        <v>1987</v>
      </c>
      <c r="E675" s="5" t="inlineStr">
        <is>
          <t>Wendy Gazelle</t>
        </is>
      </c>
      <c r="F675" s="5" t="inlineStr">
        <is>
          <t>Anna</t>
        </is>
      </c>
      <c r="G675" s="5" t="inlineStr">
        <is>
          <t>Supporting</t>
        </is>
      </c>
      <c r="H675" s="5" t="inlineStr">
        <is>
          <t>Medium</t>
        </is>
      </c>
      <c r="I675" s="5" t="inlineStr">
        <is>
          <t>Not documented.</t>
        </is>
      </c>
      <c r="J675" s="5" t="inlineStr">
        <is>
          <t>Not documented.</t>
        </is>
      </c>
      <c r="K675" s="19" t="inlineStr">
        <is>
          <t>Credited as Anna, in a London ensemble the article does not describe.</t>
        </is>
      </c>
      <c r="L675" s="5" t="n"/>
      <c r="M675" s="5" t="inlineStr">
        <is>
          <t>SOURCE-108</t>
        </is>
      </c>
    </row>
    <row r="676" ht="34" customHeight="1">
      <c r="A676" s="15" t="inlineStr">
        <is>
          <t>CAST-675</t>
        </is>
      </c>
      <c r="B676" s="18" t="inlineStr">
        <is>
          <t>FILM-132</t>
        </is>
      </c>
      <c r="C676" s="5" t="inlineStr">
        <is>
          <t>Sammy and Rosie Get Laid</t>
        </is>
      </c>
      <c r="D676" s="17" t="n">
        <v>1987</v>
      </c>
      <c r="E676" s="5" t="inlineStr">
        <is>
          <t>Meera Syal</t>
        </is>
      </c>
      <c r="F676" s="5" t="inlineStr">
        <is>
          <t>Rani</t>
        </is>
      </c>
      <c r="G676" s="5" t="inlineStr">
        <is>
          <t>Supporting</t>
        </is>
      </c>
      <c r="H676" s="5" t="inlineStr">
        <is>
          <t>Medium</t>
        </is>
      </c>
      <c r="I676" s="5" t="inlineStr">
        <is>
          <t>Not documented.</t>
        </is>
      </c>
      <c r="J676" s="5" t="inlineStr">
        <is>
          <t>Not documented.</t>
        </is>
      </c>
      <c r="K676" s="19" t="inlineStr">
        <is>
          <t>Credited as Rani, with Suzette Llewellyn as Vivia, in a cast list the article's one-line synopsis does not account for.</t>
        </is>
      </c>
      <c r="L676" s="5" t="n"/>
      <c r="M676" s="5" t="inlineStr">
        <is>
          <t>SOURCE-108</t>
        </is>
      </c>
    </row>
    <row r="677" ht="79" customHeight="1">
      <c r="A677" s="15" t="inlineStr">
        <is>
          <t>CAST-676</t>
        </is>
      </c>
      <c r="B677" s="18" t="inlineStr">
        <is>
          <t>FILM-134</t>
        </is>
      </c>
      <c r="C677" s="5" t="inlineStr">
        <is>
          <t>Commando</t>
        </is>
      </c>
      <c r="D677" s="17" t="n">
        <v>1988</v>
      </c>
      <c r="E677" s="5" t="inlineStr">
        <is>
          <t>Mithun Chakraborty</t>
        </is>
      </c>
      <c r="F677" s="5" t="inlineStr">
        <is>
          <t>Chandar</t>
        </is>
      </c>
      <c r="G677" s="5" t="inlineStr">
        <is>
          <t>Co-lead</t>
        </is>
      </c>
      <c r="H677" s="5" t="inlineStr">
        <is>
          <t>Major</t>
        </is>
      </c>
      <c r="I677" s="5" t="inlineStr">
        <is>
          <t>The son of the inspector killed shielding the minister, trained by himself, working in the same cause the Inspector General presides over.</t>
        </is>
      </c>
      <c r="J677" s="5" t="inlineStr">
        <is>
          <t>Holds the film's romance, with Asha. Kapoor's own character has none, and romance presence is recorded as None.</t>
        </is>
      </c>
      <c r="K677" s="19" t="inlineStr">
        <is>
          <t>The son of a police inspector killed taking a bullet meant for a minister, who trains himself while caring for the mother the shock deranged, saves and loves Asha, is trapped with a lorry of explosives, and defeats the assassination attempt that closes the film.</t>
        </is>
      </c>
      <c r="L677" s="5" t="n"/>
      <c r="M677" s="5" t="inlineStr">
        <is>
          <t>SOURCE-111</t>
        </is>
      </c>
    </row>
    <row r="678" ht="49" customHeight="1">
      <c r="A678" s="15" t="inlineStr">
        <is>
          <t>CAST-677</t>
        </is>
      </c>
      <c r="B678" s="18" t="inlineStr">
        <is>
          <t>FILM-134</t>
        </is>
      </c>
      <c r="C678" s="5" t="inlineStr">
        <is>
          <t>Commando</t>
        </is>
      </c>
      <c r="D678" s="17" t="n">
        <v>1988</v>
      </c>
      <c r="E678" s="5" t="inlineStr">
        <is>
          <t>Mandakini</t>
        </is>
      </c>
      <c r="F678" s="5" t="inlineStr">
        <is>
          <t>Asha Malhotra</t>
        </is>
      </c>
      <c r="G678" s="5" t="inlineStr">
        <is>
          <t>Co-lead</t>
        </is>
      </c>
      <c r="H678" s="5" t="inlineStr">
        <is>
          <t>Major</t>
        </is>
      </c>
      <c r="I678" s="5" t="inlineStr">
        <is>
          <t>No connection to the Inspector General; she is the woman the young man loves.</t>
        </is>
      </c>
      <c r="J678" s="5" t="inlineStr">
        <is>
          <t>The film's romance, opposed by her own father.</t>
        </is>
      </c>
      <c r="K678" s="19" t="inlineStr">
        <is>
          <t>The woman Chandar saves from an attempt on her life and comes to love, whose father is against the match and in league with the villains.</t>
        </is>
      </c>
      <c r="L678" s="5" t="n"/>
      <c r="M678" s="5" t="inlineStr">
        <is>
          <t>SOURCE-111</t>
        </is>
      </c>
    </row>
    <row r="679" ht="49" customHeight="1">
      <c r="A679" s="15" t="inlineStr">
        <is>
          <t>CAST-678</t>
        </is>
      </c>
      <c r="B679" s="18" t="inlineStr">
        <is>
          <t>FILM-134</t>
        </is>
      </c>
      <c r="C679" s="5" t="inlineStr">
        <is>
          <t>Commando</t>
        </is>
      </c>
      <c r="D679" s="17" t="n">
        <v>1988</v>
      </c>
      <c r="E679" s="5" t="inlineStr">
        <is>
          <t>Amrish Puri</t>
        </is>
      </c>
      <c r="F679" s="5" t="inlineStr">
        <is>
          <t>Marcellony</t>
        </is>
      </c>
      <c r="G679" s="5" t="inlineStr">
        <is>
          <t>Antagonist</t>
        </is>
      </c>
      <c r="H679" s="5" t="inlineStr">
        <is>
          <t>Major</t>
        </is>
      </c>
      <c r="I679" s="5" t="inlineStr">
        <is>
          <t>The chief villain behind the assassination plot the police are working against.</t>
        </is>
      </c>
      <c r="J679" s="5" t="inlineStr">
        <is>
          <t>No part in it.</t>
        </is>
      </c>
      <c r="K679" s="19" t="inlineStr">
        <is>
          <t>The film's principal antagonist, behind the assassination attempt the whole plot is directed at, with henchmen and guards of his own credited.</t>
        </is>
      </c>
      <c r="L679" s="5" t="n"/>
      <c r="M679" s="5" t="inlineStr">
        <is>
          <t>SOURCE-111</t>
        </is>
      </c>
    </row>
    <row r="680" ht="49" customHeight="1">
      <c r="A680" s="15" t="inlineStr">
        <is>
          <t>CAST-679</t>
        </is>
      </c>
      <c r="B680" s="18" t="inlineStr">
        <is>
          <t>FILM-134</t>
        </is>
      </c>
      <c r="C680" s="5" t="inlineStr">
        <is>
          <t>Commando</t>
        </is>
      </c>
      <c r="D680" s="17" t="n">
        <v>1988</v>
      </c>
      <c r="E680" s="5" t="inlineStr">
        <is>
          <t>Danny Denzongpa</t>
        </is>
      </c>
      <c r="F680" s="5" t="inlineStr">
        <is>
          <t>Ninja</t>
        </is>
      </c>
      <c r="G680" s="5" t="inlineStr">
        <is>
          <t>Antagonist</t>
        </is>
      </c>
      <c r="H680" s="5" t="inlineStr">
        <is>
          <t>Major</t>
        </is>
      </c>
      <c r="I680" s="5" t="inlineStr">
        <is>
          <t>Part of the criminal apparatus against the state the Inspector General represents.</t>
        </is>
      </c>
      <c r="J680" s="5" t="inlineStr">
        <is>
          <t>No part in it.</t>
        </is>
      </c>
      <c r="K680" s="19" t="inlineStr">
        <is>
          <t>Credited as Ninja, among the film's antagonists in a plot built around assassination and explosives.</t>
        </is>
      </c>
      <c r="L680" s="5" t="n"/>
      <c r="M680" s="5" t="inlineStr">
        <is>
          <t>SOURCE-111</t>
        </is>
      </c>
    </row>
    <row r="681" ht="49" customHeight="1">
      <c r="A681" s="15" t="inlineStr">
        <is>
          <t>CAST-680</t>
        </is>
      </c>
      <c r="B681" s="18" t="inlineStr">
        <is>
          <t>FILM-134</t>
        </is>
      </c>
      <c r="C681" s="5" t="inlineStr">
        <is>
          <t>Commando</t>
        </is>
      </c>
      <c r="D681" s="17" t="n">
        <v>1988</v>
      </c>
      <c r="E681" s="5" t="inlineStr">
        <is>
          <t>Om Shivpuri</t>
        </is>
      </c>
      <c r="F681" s="5" t="inlineStr">
        <is>
          <t>Kailashpuri Malhotra</t>
        </is>
      </c>
      <c r="G681" s="5" t="inlineStr">
        <is>
          <t>Family</t>
        </is>
      </c>
      <c r="H681" s="5" t="inlineStr">
        <is>
          <t>Medium</t>
        </is>
      </c>
      <c r="I681" s="5" t="inlineStr">
        <is>
          <t>Asha's father, on good terms with the villains and working to get the hero arrested.</t>
        </is>
      </c>
      <c r="J681" s="5" t="inlineStr">
        <is>
          <t>The opposition to the romance, and compromised while opposing it.</t>
        </is>
      </c>
      <c r="K681" s="19" t="inlineStr">
        <is>
          <t>Asha's father, against her marriage to Chandar and on good terms with the villain, to the point of helping get the young man arrested.</t>
        </is>
      </c>
      <c r="L681" s="5" t="n"/>
      <c r="M681" s="5" t="inlineStr">
        <is>
          <t>SOURCE-111</t>
        </is>
      </c>
    </row>
    <row r="682" ht="49" customHeight="1">
      <c r="A682" s="15" t="inlineStr">
        <is>
          <t>CAST-681</t>
        </is>
      </c>
      <c r="B682" s="18" t="inlineStr">
        <is>
          <t>FILM-134</t>
        </is>
      </c>
      <c r="C682" s="5" t="inlineStr">
        <is>
          <t>Commando</t>
        </is>
      </c>
      <c r="D682" s="17" t="n">
        <v>1988</v>
      </c>
      <c r="E682" s="5" t="inlineStr">
        <is>
          <t>Shakti Kapoor</t>
        </is>
      </c>
      <c r="F682" s="5" t="inlineStr">
        <is>
          <t>Mirza</t>
        </is>
      </c>
      <c r="G682" s="5" t="inlineStr">
        <is>
          <t>Antagonist</t>
        </is>
      </c>
      <c r="H682" s="5" t="inlineStr">
        <is>
          <t>Medium</t>
        </is>
      </c>
      <c r="I682" s="5" t="inlineStr">
        <is>
          <t>Commands the gunmen whose attempt on Asha's life brings the hero into the plot.</t>
        </is>
      </c>
      <c r="J682" s="5" t="inlineStr">
        <is>
          <t>Starts the romance by accident, his gunmen's attack being the occasion of the rescue.</t>
        </is>
      </c>
      <c r="K682" s="19" t="inlineStr">
        <is>
          <t>The man whose gunmen attempt Asha's murder and who traps Chandar with a lorry full of explosives, during which the hero overhears the assassination plan.</t>
        </is>
      </c>
      <c r="L682" s="5" t="n"/>
      <c r="M682" s="5" t="inlineStr">
        <is>
          <t>SOURCE-111</t>
        </is>
      </c>
    </row>
    <row r="683" ht="49" customHeight="1">
      <c r="A683" s="15" t="inlineStr">
        <is>
          <t>CAST-682</t>
        </is>
      </c>
      <c r="B683" s="18" t="inlineStr">
        <is>
          <t>FILM-134</t>
        </is>
      </c>
      <c r="C683" s="5" t="inlineStr">
        <is>
          <t>Commando</t>
        </is>
      </c>
      <c r="D683" s="17" t="n">
        <v>1988</v>
      </c>
      <c r="E683" s="5" t="inlineStr">
        <is>
          <t>Asha Sharma</t>
        </is>
      </c>
      <c r="F683" s="5" t="inlineStr">
        <is>
          <t>Indira Gandhi</t>
        </is>
      </c>
      <c r="G683" s="5" t="inlineStr">
        <is>
          <t>Cameo</t>
        </is>
      </c>
      <c r="H683" s="5" t="inlineStr">
        <is>
          <t>Minor</t>
        </is>
      </c>
      <c r="I683" s="5" t="inlineStr">
        <is>
          <t>No scenes with the Inspector General documented; the credit places a real prime minister inside the fiction.</t>
        </is>
      </c>
      <c r="J683" s="5" t="inlineStr">
        <is>
          <t>No part in it.</t>
        </is>
      </c>
      <c r="K683" s="19" t="inlineStr">
        <is>
          <t>Credited as Indira Gandhi, a portrayal of the assassinated prime minister in a film built around a foiled assassination, released four years after her death.</t>
        </is>
      </c>
      <c r="L683" s="5" t="n"/>
      <c r="M683" s="5" t="inlineStr">
        <is>
          <t>SOURCE-111</t>
        </is>
      </c>
    </row>
    <row r="684" ht="79" customHeight="1">
      <c r="A684" s="15" t="inlineStr">
        <is>
          <t>CAST-683</t>
        </is>
      </c>
      <c r="B684" s="18" t="inlineStr">
        <is>
          <t>FILM-135</t>
        </is>
      </c>
      <c r="C684" s="5" t="inlineStr">
        <is>
          <t>Hum To Chale Pardes</t>
        </is>
      </c>
      <c r="D684" s="17" t="n">
        <v>1988</v>
      </c>
      <c r="E684" s="5" t="inlineStr">
        <is>
          <t>Asha Parekh</t>
        </is>
      </c>
      <c r="F684" s="5" t="inlineStr">
        <is>
          <t>Suman</t>
        </is>
      </c>
      <c r="G684" s="5" t="inlineStr">
        <is>
          <t>Co-lead</t>
        </is>
      </c>
      <c r="H684" s="5" t="inlineStr">
        <is>
          <t>Major</t>
        </is>
      </c>
      <c r="I684" s="5" t="inlineStr">
        <is>
          <t>His wife, who dies after childbirth having made him promise never to marry again, which governs the rest of his life in the film. Billed as a guest appearance.</t>
        </is>
      </c>
      <c r="J684" s="5" t="inlineStr">
        <is>
          <t>The pairing recorded in the Romances sheet as tragic lovers, and ended in the first movement; her deathbed condition is what keeps him alone.</t>
        </is>
      </c>
      <c r="K684" s="19" t="inlineStr">
        <is>
          <t>Kumar's wife of many childless years, who becomes pregnant, is not expected to survive the birth, asks him to raise their daughter and never remarry, and dies once he promises. A guest appearance.</t>
        </is>
      </c>
      <c r="L684" s="5" t="n"/>
      <c r="M684" s="5" t="inlineStr">
        <is>
          <t>SOURCE-112</t>
        </is>
      </c>
    </row>
    <row r="685" ht="64" customHeight="1">
      <c r="A685" s="15" t="inlineStr">
        <is>
          <t>CAST-684</t>
        </is>
      </c>
      <c r="B685" s="18" t="inlineStr">
        <is>
          <t>FILM-135</t>
        </is>
      </c>
      <c r="C685" s="5" t="inlineStr">
        <is>
          <t>Hum To Chale Pardes</t>
        </is>
      </c>
      <c r="D685" s="17" t="n">
        <v>1988</v>
      </c>
      <c r="E685" s="5" t="inlineStr">
        <is>
          <t>Mandakini</t>
        </is>
      </c>
      <c r="F685" s="5" t="inlineStr">
        <is>
          <t>Priya</t>
        </is>
      </c>
      <c r="G685" s="5" t="inlineStr">
        <is>
          <t>Family</t>
        </is>
      </c>
      <c r="H685" s="5" t="inlineStr">
        <is>
          <t>Major</t>
        </is>
      </c>
      <c r="I685" s="5" t="inlineStr">
        <is>
          <t>His daughter, raised alone by him under his promise to her dying mother, and the bond the film is actually about.</t>
        </is>
      </c>
      <c r="J685" s="5" t="inlineStr">
        <is>
          <t>The claim that replaces the marriage he gave up.</t>
        </is>
      </c>
      <c r="K685" s="19" t="inlineStr">
        <is>
          <t>Kumar's daughter, named by him and raised in a strong bond with her father, married at marriageable age to her childhood sweetheart on the condition that he settle in India.</t>
        </is>
      </c>
      <c r="L685" s="5" t="n"/>
      <c r="M685" s="5" t="inlineStr">
        <is>
          <t>SOURCE-112</t>
        </is>
      </c>
    </row>
    <row r="686" ht="94" customHeight="1">
      <c r="A686" s="15" t="inlineStr">
        <is>
          <t>CAST-685</t>
        </is>
      </c>
      <c r="B686" s="18" t="inlineStr">
        <is>
          <t>FILM-135</t>
        </is>
      </c>
      <c r="C686" s="5" t="inlineStr">
        <is>
          <t>Hum To Chale Pardes</t>
        </is>
      </c>
      <c r="D686" s="17" t="n">
        <v>1988</v>
      </c>
      <c r="E686" s="5" t="inlineStr">
        <is>
          <t>Rajiv Kapoor</t>
        </is>
      </c>
      <c r="F686" s="5" t="n"/>
      <c r="G686" s="5" t="inlineStr">
        <is>
          <t>Co-lead</t>
        </is>
      </c>
      <c r="H686" s="5" t="inlineStr">
        <is>
          <t>Major</t>
        </is>
      </c>
      <c r="I686" s="5" t="inlineStr">
        <is>
          <t>Second-billed after Kapoor. The article's plot names the London-based groom Ajay Mehra, but the cast list gives no character names, so the identification is not made here. Kapoor's nephew, Raj Kapoor's youngest son.</t>
        </is>
      </c>
      <c r="J686" s="5" t="inlineStr">
        <is>
          <t>Belongs to the younger marriage rather than to Kumar's.</t>
        </is>
      </c>
      <c r="K686" s="19" t="inlineStr">
        <is>
          <t>Second-billed without a character name. The film's plot turns on a London-based groom who refuses to relocate to India after the wedding, but the article does not map that part to a credit.</t>
        </is>
      </c>
      <c r="L686" s="5" t="n"/>
      <c r="M686" s="5" t="inlineStr">
        <is>
          <t>SOURCE-112</t>
        </is>
      </c>
    </row>
    <row r="687" ht="34" customHeight="1">
      <c r="A687" s="15" t="inlineStr">
        <is>
          <t>CAST-686</t>
        </is>
      </c>
      <c r="B687" s="18" t="inlineStr">
        <is>
          <t>FILM-135</t>
        </is>
      </c>
      <c r="C687" s="5" t="inlineStr">
        <is>
          <t>Hum To Chale Pardes</t>
        </is>
      </c>
      <c r="D687" s="17" t="n">
        <v>1988</v>
      </c>
      <c r="E687" s="5" t="inlineStr">
        <is>
          <t>Sharmila Tagore</t>
        </is>
      </c>
      <c r="F687" s="5" t="inlineStr">
        <is>
          <t>Trishna</t>
        </is>
      </c>
      <c r="G687" s="5" t="inlineStr">
        <is>
          <t>Cameo</t>
        </is>
      </c>
      <c r="H687" s="5" t="inlineStr">
        <is>
          <t>Medium</t>
        </is>
      </c>
      <c r="I687" s="5" t="inlineStr">
        <is>
          <t>Not documented; billed as a guest appearance, as is Asha Parekh's Suman.</t>
        </is>
      </c>
      <c r="J687" s="5" t="inlineStr">
        <is>
          <t>Not documented.</t>
        </is>
      </c>
      <c r="K687" s="19" t="inlineStr">
        <is>
          <t>Credited as Trishna in a guest appearance, one of two by leading actresses of Kapoor's own generation in a late film.</t>
        </is>
      </c>
      <c r="L687" s="5" t="n"/>
      <c r="M687" s="5" t="inlineStr">
        <is>
          <t>SOURCE-112</t>
        </is>
      </c>
    </row>
    <row r="688" ht="49" customHeight="1">
      <c r="A688" s="15" t="inlineStr">
        <is>
          <t>CAST-687</t>
        </is>
      </c>
      <c r="B688" s="18" t="inlineStr">
        <is>
          <t>FILM-135</t>
        </is>
      </c>
      <c r="C688" s="5" t="inlineStr">
        <is>
          <t>Hum To Chale Pardes</t>
        </is>
      </c>
      <c r="D688" s="17" t="n">
        <v>1988</v>
      </c>
      <c r="E688" s="5" t="inlineStr">
        <is>
          <t>Anju Mahendru</t>
        </is>
      </c>
      <c r="F688" s="5" t="inlineStr">
        <is>
          <t>Kiran</t>
        </is>
      </c>
      <c r="G688" s="5" t="inlineStr">
        <is>
          <t>Supporting</t>
        </is>
      </c>
      <c r="H688" s="5" t="inlineStr">
        <is>
          <t>Medium</t>
        </is>
      </c>
      <c r="I688" s="5" t="inlineStr">
        <is>
          <t>Not documented; Meher Mittal is credited as her father.</t>
        </is>
      </c>
      <c r="J688" s="5" t="inlineStr">
        <is>
          <t>Not documented.</t>
        </is>
      </c>
      <c r="K688" s="19" t="inlineStr">
        <is>
          <t>Credited as Kiran, with Meher Mittal as her father. The article's plot summary follows only Kumar, Priya and the marriage.</t>
        </is>
      </c>
      <c r="L688" s="5" t="n"/>
      <c r="M688" s="5" t="inlineStr">
        <is>
          <t>SOURCE-112</t>
        </is>
      </c>
    </row>
    <row r="689" ht="49" customHeight="1">
      <c r="A689" s="15" t="inlineStr">
        <is>
          <t>CAST-688</t>
        </is>
      </c>
      <c r="B689" s="18" t="inlineStr">
        <is>
          <t>FILM-135</t>
        </is>
      </c>
      <c r="C689" s="5" t="inlineStr">
        <is>
          <t>Hum To Chale Pardes</t>
        </is>
      </c>
      <c r="D689" s="17" t="n">
        <v>1988</v>
      </c>
      <c r="E689" s="5" t="inlineStr">
        <is>
          <t>Kulbhushan Kharbanda</t>
        </is>
      </c>
      <c r="F689" s="5" t="n"/>
      <c r="G689" s="5" t="inlineStr">
        <is>
          <t>Supporting</t>
        </is>
      </c>
      <c r="H689" s="5" t="inlineStr">
        <is>
          <t>Medium</t>
        </is>
      </c>
      <c r="I689" s="5" t="inlineStr">
        <is>
          <t>Not documented; the article gives him no character name.</t>
        </is>
      </c>
      <c r="J689" s="5" t="inlineStr">
        <is>
          <t>Not documented.</t>
        </is>
      </c>
      <c r="K689" s="19" t="inlineStr">
        <is>
          <t>Credited without a character name. The article's plot covers the promise and the marriage, and does not place the supporting cast.</t>
        </is>
      </c>
      <c r="L689" s="5" t="n"/>
      <c r="M689" s="5" t="inlineStr">
        <is>
          <t>SOURCE-112</t>
        </is>
      </c>
    </row>
    <row r="690" ht="79" customHeight="1">
      <c r="A690" s="15" t="inlineStr">
        <is>
          <t>CAST-689</t>
        </is>
      </c>
      <c r="B690" s="18" t="inlineStr">
        <is>
          <t>FILM-136</t>
        </is>
      </c>
      <c r="C690" s="5" t="inlineStr">
        <is>
          <t>The Deceivers</t>
        </is>
      </c>
      <c r="D690" s="17" t="n">
        <v>1988</v>
      </c>
      <c r="E690" s="5" t="inlineStr">
        <is>
          <t>Pierce Brosnan</t>
        </is>
      </c>
      <c r="F690" s="5" t="inlineStr">
        <is>
          <t>William Savage</t>
        </is>
      </c>
      <c r="G690" s="5" t="inlineStr">
        <is>
          <t>Co-lead</t>
        </is>
      </c>
      <c r="H690" s="5" t="inlineStr">
        <is>
          <t>Major</t>
        </is>
      </c>
      <c r="I690" s="5" t="inlineStr">
        <is>
          <t>The film's protagonist, an East India Company administrator; the article does not place Kapoor's Chandra Singh against him.</t>
        </is>
      </c>
      <c r="J690" s="5" t="inlineStr">
        <is>
          <t>Romance presence is recorded as None for the film.</t>
        </is>
      </c>
      <c r="K690" s="19" t="inlineStr">
        <is>
          <t>An honourable district administrator for the East India Company who investigates the Thuggee murder raids, is relieved of duty by his own father-in-law, disguises himself as the outlaw Gopal to infiltrate the cult, and develops a dark fascination for killing after taking the consecrated sugar.</t>
        </is>
      </c>
      <c r="L690" s="5" t="n"/>
      <c r="M690" s="5" t="inlineStr">
        <is>
          <t>SOURCE-113</t>
        </is>
      </c>
    </row>
    <row r="691" ht="64" customHeight="1">
      <c r="A691" s="15" t="inlineStr">
        <is>
          <t>CAST-690</t>
        </is>
      </c>
      <c r="B691" s="18" t="inlineStr">
        <is>
          <t>FILM-136</t>
        </is>
      </c>
      <c r="C691" s="5" t="inlineStr">
        <is>
          <t>The Deceivers</t>
        </is>
      </c>
      <c r="D691" s="17" t="n">
        <v>1988</v>
      </c>
      <c r="E691" s="5" t="inlineStr">
        <is>
          <t>Saeed Jaffrey</t>
        </is>
      </c>
      <c r="F691" s="5" t="inlineStr">
        <is>
          <t>Hussein</t>
        </is>
      </c>
      <c r="G691" s="5" t="inlineStr">
        <is>
          <t>Supporting</t>
        </is>
      </c>
      <c r="H691" s="5" t="inlineStr">
        <is>
          <t>Major</t>
        </is>
      </c>
      <c r="I691" s="5" t="inlineStr">
        <is>
          <t>The captured Thug turned collaborator; the article does not document his dealings with Kapoor's part.</t>
        </is>
      </c>
      <c r="J691" s="5" t="inlineStr">
        <is>
          <t>No part in it.</t>
        </is>
      </c>
      <c r="K691" s="19" t="inlineStr">
        <is>
          <t>A Thug captured by Savage whose cooperation he wins, who aids the infiltration, flees to warn Savage's wife when he fears for his sanity, and is taken by Thuggee moles inside the Company.</t>
        </is>
      </c>
      <c r="L691" s="5" t="n"/>
      <c r="M691" s="5" t="inlineStr">
        <is>
          <t>SOURCE-113</t>
        </is>
      </c>
    </row>
    <row r="692" ht="64" customHeight="1">
      <c r="A692" s="15" t="inlineStr">
        <is>
          <t>CAST-691</t>
        </is>
      </c>
      <c r="B692" s="18" t="inlineStr">
        <is>
          <t>FILM-136</t>
        </is>
      </c>
      <c r="C692" s="5" t="inlineStr">
        <is>
          <t>The Deceivers</t>
        </is>
      </c>
      <c r="D692" s="17" t="n">
        <v>1988</v>
      </c>
      <c r="E692" s="5" t="inlineStr">
        <is>
          <t>Tariq Yunus</t>
        </is>
      </c>
      <c r="F692" s="5" t="inlineStr">
        <is>
          <t>Feringea</t>
        </is>
      </c>
      <c r="G692" s="5" t="inlineStr">
        <is>
          <t>Antagonist</t>
        </is>
      </c>
      <c r="H692" s="5" t="inlineStr">
        <is>
          <t>Major</t>
        </is>
      </c>
      <c r="I692" s="5" t="inlineStr">
        <is>
          <t>Of the cult the film is about; the article does not state Chandra Singh's relation to it.</t>
        </is>
      </c>
      <c r="J692" s="5" t="inlineStr">
        <is>
          <t>No part in it.</t>
        </is>
      </c>
      <c r="K692" s="19" t="inlineStr">
        <is>
          <t>Credited as Feringea, among the Kali-worshipping Thuggee who rob and ritually murder along the roads of 1825 India and who prove willing to accept the disguised Englishman as one of their own.</t>
        </is>
      </c>
      <c r="L692" s="5" t="n"/>
      <c r="M692" s="5" t="inlineStr">
        <is>
          <t>SOURCE-113</t>
        </is>
      </c>
    </row>
    <row r="693" ht="49" customHeight="1">
      <c r="A693" s="15" t="inlineStr">
        <is>
          <t>CAST-692</t>
        </is>
      </c>
      <c r="B693" s="18" t="inlineStr">
        <is>
          <t>FILM-136</t>
        </is>
      </c>
      <c r="C693" s="5" t="inlineStr">
        <is>
          <t>The Deceivers</t>
        </is>
      </c>
      <c r="D693" s="17" t="n">
        <v>1988</v>
      </c>
      <c r="E693" s="5" t="inlineStr">
        <is>
          <t>Helena Michell</t>
        </is>
      </c>
      <c r="F693" s="5" t="inlineStr">
        <is>
          <t>Sarah Wilson</t>
        </is>
      </c>
      <c r="G693" s="5" t="inlineStr">
        <is>
          <t>Supporting</t>
        </is>
      </c>
      <c r="H693" s="5" t="inlineStr">
        <is>
          <t>Medium</t>
        </is>
      </c>
      <c r="I693" s="5" t="inlineStr">
        <is>
          <t>Not documented in relation to Kapoor's part.</t>
        </is>
      </c>
      <c r="J693" s="5" t="inlineStr">
        <is>
          <t>Savage's wife, and the only person who knows of his plan; romance presence for the film is recorded as None.</t>
        </is>
      </c>
      <c r="K693" s="19" t="inlineStr">
        <is>
          <t>Savage's wife and Colonel Wilson's daughter, the one person told of his plan to infiltrate the cult, and the person Hussein tries to reach when he fears for Savage's mind.</t>
        </is>
      </c>
      <c r="L693" s="5" t="n"/>
      <c r="M693" s="5" t="inlineStr">
        <is>
          <t>SOURCE-113</t>
        </is>
      </c>
    </row>
    <row r="694" ht="49" customHeight="1">
      <c r="A694" s="15" t="inlineStr">
        <is>
          <t>CAST-693</t>
        </is>
      </c>
      <c r="B694" s="18" t="inlineStr">
        <is>
          <t>FILM-136</t>
        </is>
      </c>
      <c r="C694" s="5" t="inlineStr">
        <is>
          <t>The Deceivers</t>
        </is>
      </c>
      <c r="D694" s="17" t="n">
        <v>1988</v>
      </c>
      <c r="E694" s="5" t="inlineStr">
        <is>
          <t>Keith Michell</t>
        </is>
      </c>
      <c r="F694" s="5" t="inlineStr">
        <is>
          <t>Colonel Wilson</t>
        </is>
      </c>
      <c r="G694" s="5" t="inlineStr">
        <is>
          <t>Authority figure</t>
        </is>
      </c>
      <c r="H694" s="5" t="inlineStr">
        <is>
          <t>Medium</t>
        </is>
      </c>
      <c r="I694" s="5" t="inlineStr">
        <is>
          <t>Not documented in relation to Chandra Singh.</t>
        </is>
      </c>
      <c r="J694" s="5" t="inlineStr">
        <is>
          <t>No part in it.</t>
        </is>
      </c>
      <c r="K694" s="19" t="inlineStr">
        <is>
          <t>Savage's bureaucratic commanding officer and father-in-law, who adheres to Company protocol, dismisses the report on the Thugs and relieves him of his duty.</t>
        </is>
      </c>
      <c r="L694" s="5" t="n"/>
      <c r="M694" s="5" t="inlineStr">
        <is>
          <t>SOURCE-113</t>
        </is>
      </c>
    </row>
    <row r="695" ht="49" customHeight="1">
      <c r="A695" s="15" t="inlineStr">
        <is>
          <t>CAST-694</t>
        </is>
      </c>
      <c r="B695" s="18" t="inlineStr">
        <is>
          <t>FILM-136</t>
        </is>
      </c>
      <c r="C695" s="5" t="inlineStr">
        <is>
          <t>The Deceivers</t>
        </is>
      </c>
      <c r="D695" s="17" t="n">
        <v>1988</v>
      </c>
      <c r="E695" s="5" t="inlineStr">
        <is>
          <t>Kanwaljit Singh</t>
        </is>
      </c>
      <c r="F695" s="5" t="inlineStr">
        <is>
          <t>Gopal</t>
        </is>
      </c>
      <c r="G695" s="5" t="inlineStr">
        <is>
          <t>Supporting</t>
        </is>
      </c>
      <c r="H695" s="5" t="inlineStr">
        <is>
          <t>Medium</t>
        </is>
      </c>
      <c r="I695" s="5" t="inlineStr">
        <is>
          <t>Not documented in relation to Kapoor's part.</t>
        </is>
      </c>
      <c r="J695" s="5" t="inlineStr">
        <is>
          <t>No part in it.</t>
        </is>
      </c>
      <c r="K695" s="19" t="inlineStr">
        <is>
          <t>Gopal the Weaver, the imprisoned native outlaw whose identity Savage assumes, who reappears as a fellow Thug and is killed by Savage to avoid exposure.</t>
        </is>
      </c>
      <c r="L695" s="5" t="n"/>
      <c r="M695" s="5" t="inlineStr">
        <is>
          <t>SOURCE-113</t>
        </is>
      </c>
    </row>
    <row r="696" ht="34" customHeight="1">
      <c r="A696" s="15" t="inlineStr">
        <is>
          <t>CAST-695</t>
        </is>
      </c>
      <c r="B696" s="18" t="inlineStr">
        <is>
          <t>FILM-136</t>
        </is>
      </c>
      <c r="C696" s="5" t="inlineStr">
        <is>
          <t>The Deceivers</t>
        </is>
      </c>
      <c r="D696" s="17" t="n">
        <v>1988</v>
      </c>
      <c r="E696" s="5" t="inlineStr">
        <is>
          <t>Neena Gupta</t>
        </is>
      </c>
      <c r="F696" s="5" t="inlineStr">
        <is>
          <t>Gopal's wife</t>
        </is>
      </c>
      <c r="G696" s="5" t="inlineStr">
        <is>
          <t>Supporting</t>
        </is>
      </c>
      <c r="H696" s="5" t="inlineStr">
        <is>
          <t>Medium</t>
        </is>
      </c>
      <c r="I696" s="5" t="inlineStr">
        <is>
          <t>Not documented.</t>
        </is>
      </c>
      <c r="J696" s="5" t="inlineStr">
        <is>
          <t>No part in it.</t>
        </is>
      </c>
      <c r="K696" s="19" t="inlineStr">
        <is>
          <t>Credited as Gopal's wife and as the Widow, the woman whose husband's identity the Englishman takes over.</t>
        </is>
      </c>
      <c r="L696" s="5" t="n"/>
      <c r="M696" s="5" t="inlineStr">
        <is>
          <t>SOURCE-113</t>
        </is>
      </c>
    </row>
    <row r="697" ht="79" customHeight="1">
      <c r="A697" s="15" t="inlineStr">
        <is>
          <t>CAST-696</t>
        </is>
      </c>
      <c r="B697" s="18" t="inlineStr">
        <is>
          <t>FILM-140</t>
        </is>
      </c>
      <c r="C697" s="5" t="inlineStr">
        <is>
          <t>Meri Zabaan</t>
        </is>
      </c>
      <c r="D697" s="17" t="n">
        <v>1989</v>
      </c>
      <c r="E697" s="5" t="inlineStr">
        <is>
          <t>Mithun Chakraborty</t>
        </is>
      </c>
      <c r="F697" s="5" t="inlineStr">
        <is>
          <t>Krishna Singh</t>
        </is>
      </c>
      <c r="G697" s="5" t="inlineStr">
        <is>
          <t>Co-lead</t>
        </is>
      </c>
      <c r="H697" s="5" t="inlineStr">
        <is>
          <t>Major</t>
        </is>
      </c>
      <c r="I697" s="5" t="inlineStr">
        <is>
          <t>First-billed opposite Kapoor, who is credited here in a negative role as a terrorist, which makes this one of the few films in which Kapoor plays the antagonist outright.</t>
        </is>
      </c>
      <c r="J697" s="5" t="inlineStr">
        <is>
          <t>Holds the film's romances, with Baby and with the Interpol agent Rita. Romance presence is left blank for Kapoor's own part.</t>
        </is>
      </c>
      <c r="K697" s="19" t="inlineStr">
        <is>
          <t>The hero of an action thriller, son of the reporter Vikram Singh and Yashoda, credited opposite a terrorist played by Kapoor. The article carries a detailed cast table and a one-sentence plot.</t>
        </is>
      </c>
      <c r="L697" s="5" t="n"/>
      <c r="M697" s="5" t="inlineStr">
        <is>
          <t>SOURCE-114</t>
        </is>
      </c>
    </row>
    <row r="698" ht="64" customHeight="1">
      <c r="A698" s="15" t="inlineStr">
        <is>
          <t>CAST-697</t>
        </is>
      </c>
      <c r="B698" s="18" t="inlineStr">
        <is>
          <t>FILM-140</t>
        </is>
      </c>
      <c r="C698" s="5" t="inlineStr">
        <is>
          <t>Meri Zabaan</t>
        </is>
      </c>
      <c r="D698" s="17" t="n">
        <v>1989</v>
      </c>
      <c r="E698" s="5" t="inlineStr">
        <is>
          <t>Kimi Katkar</t>
        </is>
      </c>
      <c r="F698" s="5" t="inlineStr">
        <is>
          <t>Rita</t>
        </is>
      </c>
      <c r="G698" s="5" t="inlineStr">
        <is>
          <t>Supporting</t>
        </is>
      </c>
      <c r="H698" s="5" t="inlineStr">
        <is>
          <t>Major</t>
        </is>
      </c>
      <c r="I698" s="5" t="inlineStr">
        <is>
          <t>An Interpol agent, and so professionally set against Kapoor's terrorist.</t>
        </is>
      </c>
      <c r="J698" s="5" t="inlineStr">
        <is>
          <t>Credited as one of the hero's lovers, in a cast table that assigns her both a cover identity and an attachment.</t>
        </is>
      </c>
      <c r="K698" s="19" t="inlineStr">
        <is>
          <t>An Interpol agent operating under a false identity as a liquor seller, credited also as Krishna's lover.</t>
        </is>
      </c>
      <c r="L698" s="5" t="n"/>
      <c r="M698" s="5" t="inlineStr">
        <is>
          <t>SOURCE-114</t>
        </is>
      </c>
    </row>
    <row r="699" ht="49" customHeight="1">
      <c r="A699" s="15" t="inlineStr">
        <is>
          <t>CAST-698</t>
        </is>
      </c>
      <c r="B699" s="18" t="inlineStr">
        <is>
          <t>FILM-140</t>
        </is>
      </c>
      <c r="C699" s="5" t="inlineStr">
        <is>
          <t>Meri Zabaan</t>
        </is>
      </c>
      <c r="D699" s="17" t="n">
        <v>1989</v>
      </c>
      <c r="E699" s="5" t="inlineStr">
        <is>
          <t>Amjad Khan</t>
        </is>
      </c>
      <c r="F699" s="5" t="inlineStr">
        <is>
          <t>Arjun Vaswani</t>
        </is>
      </c>
      <c r="G699" s="5" t="inlineStr">
        <is>
          <t>Authority figure</t>
        </is>
      </c>
      <c r="H699" s="5" t="inlineStr">
        <is>
          <t>Major</t>
        </is>
      </c>
      <c r="I699" s="5" t="inlineStr">
        <is>
          <t>A CBI officer working under cover, and so the state's case against the terrorist Kapoor plays.</t>
        </is>
      </c>
      <c r="J699" s="5" t="inlineStr">
        <is>
          <t>No part in it.</t>
        </is>
      </c>
      <c r="K699" s="19" t="inlineStr">
        <is>
          <t>A CBI officer operating under the false identity of a Police Inspector Malpani, one of two undercover agents the cast table sets against the film's terrorist.</t>
        </is>
      </c>
      <c r="L699" s="5" t="n"/>
      <c r="M699" s="5" t="inlineStr">
        <is>
          <t>SOURCE-114</t>
        </is>
      </c>
    </row>
    <row r="700" ht="49" customHeight="1">
      <c r="A700" s="15" t="inlineStr">
        <is>
          <t>CAST-699</t>
        </is>
      </c>
      <c r="B700" s="18" t="inlineStr">
        <is>
          <t>FILM-140</t>
        </is>
      </c>
      <c r="C700" s="5" t="inlineStr">
        <is>
          <t>Meri Zabaan</t>
        </is>
      </c>
      <c r="D700" s="17" t="n">
        <v>1989</v>
      </c>
      <c r="E700" s="5" t="inlineStr">
        <is>
          <t>Farah</t>
        </is>
      </c>
      <c r="F700" s="5" t="inlineStr">
        <is>
          <t>Baby</t>
        </is>
      </c>
      <c r="G700" s="5" t="inlineStr">
        <is>
          <t>Supporting</t>
        </is>
      </c>
      <c r="H700" s="5" t="inlineStr">
        <is>
          <t>Major</t>
        </is>
      </c>
      <c r="I700" s="5" t="inlineStr">
        <is>
          <t>No documented connection to Kapoor's terrorist; she is credited as the hero's love interest.</t>
        </is>
      </c>
      <c r="J700" s="5" t="inlineStr">
        <is>
          <t>The hero's romance, not Kapoor's.</t>
        </is>
      </c>
      <c r="K700" s="19" t="inlineStr">
        <is>
          <t>Credited as Baby, Krishna's love interest, daughter of Ranjeet Mehra, and for part of the film in the care of a gangster's keep.</t>
        </is>
      </c>
      <c r="L700" s="5" t="n"/>
      <c r="M700" s="5" t="inlineStr">
        <is>
          <t>SOURCE-114</t>
        </is>
      </c>
    </row>
    <row r="701" ht="49" customHeight="1">
      <c r="A701" s="15" t="inlineStr">
        <is>
          <t>CAST-700</t>
        </is>
      </c>
      <c r="B701" s="18" t="inlineStr">
        <is>
          <t>FILM-140</t>
        </is>
      </c>
      <c r="C701" s="5" t="inlineStr">
        <is>
          <t>Meri Zabaan</t>
        </is>
      </c>
      <c r="D701" s="17" t="n">
        <v>1989</v>
      </c>
      <c r="E701" s="5" t="inlineStr">
        <is>
          <t>Vinod Mehra</t>
        </is>
      </c>
      <c r="F701" s="5" t="inlineStr">
        <is>
          <t>Vikram Singh</t>
        </is>
      </c>
      <c r="G701" s="5" t="inlineStr">
        <is>
          <t>Family</t>
        </is>
      </c>
      <c r="H701" s="5" t="inlineStr">
        <is>
          <t>Medium</t>
        </is>
      </c>
      <c r="I701" s="5" t="inlineStr">
        <is>
          <t>The hero's father and a newspaperman, on the side of the investigation rather than the terrorist.</t>
        </is>
      </c>
      <c r="J701" s="5" t="inlineStr">
        <is>
          <t>No part in it.</t>
        </is>
      </c>
      <c r="K701" s="19" t="inlineStr">
        <is>
          <t>A reporter and news editor, credited with Tanuja as his wife Yashoda, the two of them the parents of Krishna.</t>
        </is>
      </c>
      <c r="L701" s="5" t="n"/>
      <c r="M701" s="5" t="inlineStr">
        <is>
          <t>SOURCE-114</t>
        </is>
      </c>
    </row>
    <row r="702" ht="34" customHeight="1">
      <c r="A702" s="15" t="inlineStr">
        <is>
          <t>CAST-701</t>
        </is>
      </c>
      <c r="B702" s="18" t="inlineStr">
        <is>
          <t>FILM-140</t>
        </is>
      </c>
      <c r="C702" s="5" t="inlineStr">
        <is>
          <t>Meri Zabaan</t>
        </is>
      </c>
      <c r="D702" s="17" t="n">
        <v>1989</v>
      </c>
      <c r="E702" s="5" t="inlineStr">
        <is>
          <t>Tanuja</t>
        </is>
      </c>
      <c r="F702" s="5" t="inlineStr">
        <is>
          <t>Yashoda Singh</t>
        </is>
      </c>
      <c r="G702" s="5" t="inlineStr">
        <is>
          <t>Family</t>
        </is>
      </c>
      <c r="H702" s="5" t="inlineStr">
        <is>
          <t>Medium</t>
        </is>
      </c>
      <c r="I702" s="5" t="inlineStr">
        <is>
          <t>The hero's mother, in the household opposed to Kapoor's terrorist.</t>
        </is>
      </c>
      <c r="J702" s="5" t="inlineStr">
        <is>
          <t>No part in it.</t>
        </is>
      </c>
      <c r="K702" s="19" t="inlineStr">
        <is>
          <t>Vikram Singh's wife and Krishna's mother, the maternal half of the family the cast table sets out in detail.</t>
        </is>
      </c>
      <c r="L702" s="5" t="n"/>
      <c r="M702" s="5" t="inlineStr">
        <is>
          <t>SOURCE-114</t>
        </is>
      </c>
    </row>
    <row r="703" ht="49" customHeight="1">
      <c r="A703" s="15" t="inlineStr">
        <is>
          <t>CAST-702</t>
        </is>
      </c>
      <c r="B703" s="18" t="inlineStr">
        <is>
          <t>FILM-140</t>
        </is>
      </c>
      <c r="C703" s="5" t="inlineStr">
        <is>
          <t>Meri Zabaan</t>
        </is>
      </c>
      <c r="D703" s="17" t="n">
        <v>1989</v>
      </c>
      <c r="E703" s="5" t="inlineStr">
        <is>
          <t>Ranjeet</t>
        </is>
      </c>
      <c r="F703" s="5" t="inlineStr">
        <is>
          <t>Ranjeet Mehra</t>
        </is>
      </c>
      <c r="G703" s="5" t="inlineStr">
        <is>
          <t>Family</t>
        </is>
      </c>
      <c r="H703" s="5" t="inlineStr">
        <is>
          <t>Medium</t>
        </is>
      </c>
      <c r="I703" s="5" t="inlineStr">
        <is>
          <t>Not documented; the cast table makes him the father of the hero's love interest.</t>
        </is>
      </c>
      <c r="J703" s="5" t="inlineStr">
        <is>
          <t>The family on the heroine's side of the hero's romance.</t>
        </is>
      </c>
      <c r="K703" s="19" t="inlineStr">
        <is>
          <t>Credited as Ranjeet Mehra, with Sarala Yeolekar as his wife, the parents of Baby.</t>
        </is>
      </c>
      <c r="L703" s="5" t="n"/>
      <c r="M703" s="5" t="inlineStr">
        <is>
          <t>SOURCE-114</t>
        </is>
      </c>
    </row>
    <row r="704" ht="79" customHeight="1">
      <c r="A704" s="15" t="inlineStr">
        <is>
          <t>CAST-703</t>
        </is>
      </c>
      <c r="B704" s="18" t="inlineStr">
        <is>
          <t>FILM-141</t>
        </is>
      </c>
      <c r="C704" s="5" t="inlineStr">
        <is>
          <t>Farz Ki Jung</t>
        </is>
      </c>
      <c r="D704" s="17" t="n">
        <v>1989</v>
      </c>
      <c r="E704" s="5" t="inlineStr">
        <is>
          <t>Govinda</t>
        </is>
      </c>
      <c r="F704" s="5" t="inlineStr">
        <is>
          <t>Vishal</t>
        </is>
      </c>
      <c r="G704" s="5" t="inlineStr">
        <is>
          <t>Co-lead</t>
        </is>
      </c>
      <c r="H704" s="5" t="inlineStr">
        <is>
          <t>Major</t>
        </is>
      </c>
      <c r="I704" s="5" t="inlineStr">
        <is>
          <t>Billed second to Kapoor's inspector. The article's plot follows Vikram's fall and his conflict with his brother, and does not set out Vishal's part.</t>
        </is>
      </c>
      <c r="J704" s="5" t="inlineStr">
        <is>
          <t>Holds the film's romance, with Kavita; romance presence for Kapoor's own part is recorded as Minor with no pairing row.</t>
        </is>
      </c>
      <c r="K704" s="19" t="inlineStr">
        <is>
          <t>Second-billed, credited as Vishal. The article's plot summary covers the framing of Inspector Vikram, his imprisonment and his turn to crime, and does not describe this part.</t>
        </is>
      </c>
      <c r="L704" s="5" t="n"/>
      <c r="M704" s="5" t="inlineStr">
        <is>
          <t>SOURCE-115</t>
        </is>
      </c>
    </row>
    <row r="705" ht="49" customHeight="1">
      <c r="A705" s="15" t="inlineStr">
        <is>
          <t>CAST-704</t>
        </is>
      </c>
      <c r="B705" s="18" t="inlineStr">
        <is>
          <t>FILM-141</t>
        </is>
      </c>
      <c r="C705" s="5" t="inlineStr">
        <is>
          <t>Farz Ki Jung</t>
        </is>
      </c>
      <c r="D705" s="17" t="n">
        <v>1989</v>
      </c>
      <c r="E705" s="5" t="inlineStr">
        <is>
          <t>Amrish Puri</t>
        </is>
      </c>
      <c r="F705" s="5" t="inlineStr">
        <is>
          <t>Jai Kishan</t>
        </is>
      </c>
      <c r="G705" s="5" t="inlineStr">
        <is>
          <t>Antagonist</t>
        </is>
      </c>
      <c r="H705" s="5" t="inlineStr">
        <is>
          <t>Major</t>
        </is>
      </c>
      <c r="I705" s="5" t="inlineStr">
        <is>
          <t>The film's antagonist against the honest inspector whose ruin the plot describes.</t>
        </is>
      </c>
      <c r="J705" s="5" t="inlineStr">
        <is>
          <t>No documented part in it.</t>
        </is>
      </c>
      <c r="K705" s="19" t="inlineStr">
        <is>
          <t>Credited as Jai Kishan, called J. K., with Gita Siddharth as his wife Laxmi, the antagonist of a film about an honest policeman framed for possession of drugs.</t>
        </is>
      </c>
      <c r="L705" s="5" t="n"/>
      <c r="M705" s="5" t="inlineStr">
        <is>
          <t>SOURCE-115</t>
        </is>
      </c>
    </row>
    <row r="706" ht="49" customHeight="1">
      <c r="A706" s="15" t="inlineStr">
        <is>
          <t>CAST-705</t>
        </is>
      </c>
      <c r="B706" s="18" t="inlineStr">
        <is>
          <t>FILM-141</t>
        </is>
      </c>
      <c r="C706" s="5" t="inlineStr">
        <is>
          <t>Farz Ki Jung</t>
        </is>
      </c>
      <c r="D706" s="17" t="n">
        <v>1989</v>
      </c>
      <c r="E706" s="5" t="inlineStr">
        <is>
          <t>Dalwinder Sohal</t>
        </is>
      </c>
      <c r="F706" s="5" t="inlineStr">
        <is>
          <t>Inspector Amar</t>
        </is>
      </c>
      <c r="G706" s="5" t="inlineStr">
        <is>
          <t>Family</t>
        </is>
      </c>
      <c r="H706" s="5" t="inlineStr">
        <is>
          <t>Major</t>
        </is>
      </c>
      <c r="I706" s="5" t="inlineStr">
        <is>
          <t>His brother, who inherited the honesty he has lost, and whom his new career sets him against.</t>
        </is>
      </c>
      <c r="J706" s="5" t="inlineStr">
        <is>
          <t>No part in it.</t>
        </is>
      </c>
      <c r="K706" s="19" t="inlineStr">
        <is>
          <t>Vikram's brother, a police inspector who has taken on the honesty and dedication Vikram began with, and who ends in conflict with the criminal his brother has become.</t>
        </is>
      </c>
      <c r="L706" s="5" t="n"/>
      <c r="M706" s="5" t="inlineStr">
        <is>
          <t>SOURCE-115</t>
        </is>
      </c>
    </row>
    <row r="707" ht="79" customHeight="1">
      <c r="A707" s="15" t="inlineStr">
        <is>
          <t>CAST-706</t>
        </is>
      </c>
      <c r="B707" s="18" t="inlineStr">
        <is>
          <t>FILM-141</t>
        </is>
      </c>
      <c r="C707" s="5" t="inlineStr">
        <is>
          <t>Farz Ki Jung</t>
        </is>
      </c>
      <c r="D707" s="17" t="n">
        <v>1989</v>
      </c>
      <c r="E707" s="5" t="inlineStr">
        <is>
          <t>Anjana Mumtaz</t>
        </is>
      </c>
      <c r="F707" s="5" t="inlineStr">
        <is>
          <t>Jyoti</t>
        </is>
      </c>
      <c r="G707" s="5" t="inlineStr">
        <is>
          <t>Family</t>
        </is>
      </c>
      <c r="H707" s="5" t="inlineStr">
        <is>
          <t>Major</t>
        </is>
      </c>
      <c r="I707" s="5" t="inlineStr">
        <is>
          <t>His wife, credited as such, in the household his conviction destroys.</t>
        </is>
      </c>
      <c r="J707" s="5" t="inlineStr">
        <is>
          <t>The marriage the film's fall runs through; romance presence for the film is recorded as Minor and no pairing row was created, the article's plot not describing it.</t>
        </is>
      </c>
      <c r="K707" s="19" t="inlineStr">
        <is>
          <t>Credited as Vikram's wife, in the family broken by his arrest, his mother's death and his years in prison.</t>
        </is>
      </c>
      <c r="L707" s="5" t="n"/>
      <c r="M707" s="5" t="inlineStr">
        <is>
          <t>SOURCE-115</t>
        </is>
      </c>
    </row>
    <row r="708" ht="49" customHeight="1">
      <c r="A708" s="15" t="inlineStr">
        <is>
          <t>CAST-707</t>
        </is>
      </c>
      <c r="B708" s="18" t="inlineStr">
        <is>
          <t>FILM-141</t>
        </is>
      </c>
      <c r="C708" s="5" t="inlineStr">
        <is>
          <t>Farz Ki Jung</t>
        </is>
      </c>
      <c r="D708" s="17" t="n">
        <v>1989</v>
      </c>
      <c r="E708" s="5" t="inlineStr">
        <is>
          <t>Ashalata Wabgaonkar</t>
        </is>
      </c>
      <c r="F708" s="5" t="inlineStr">
        <is>
          <t>Vikram's mother</t>
        </is>
      </c>
      <c r="G708" s="5" t="inlineStr">
        <is>
          <t>Family</t>
        </is>
      </c>
      <c r="H708" s="5" t="inlineStr">
        <is>
          <t>Major</t>
        </is>
      </c>
      <c r="I708" s="5" t="inlineStr">
        <is>
          <t>His mother, who dies of the shock of his arrest, which is the first cost of the frame-up.</t>
        </is>
      </c>
      <c r="J708" s="5" t="inlineStr">
        <is>
          <t>No part in it.</t>
        </is>
      </c>
      <c r="K708" s="19" t="inlineStr">
        <is>
          <t>Vikram's mother, whose sudden death is caused by the shock of her honest son being accused of possessing drugs.</t>
        </is>
      </c>
      <c r="L708" s="5" t="n"/>
      <c r="M708" s="5" t="inlineStr">
        <is>
          <t>SOURCE-115</t>
        </is>
      </c>
    </row>
    <row r="709" ht="49" customHeight="1">
      <c r="A709" s="15" t="inlineStr">
        <is>
          <t>CAST-708</t>
        </is>
      </c>
      <c r="B709" s="18" t="inlineStr">
        <is>
          <t>FILM-141</t>
        </is>
      </c>
      <c r="C709" s="5" t="inlineStr">
        <is>
          <t>Farz Ki Jung</t>
        </is>
      </c>
      <c r="D709" s="17" t="n">
        <v>1989</v>
      </c>
      <c r="E709" s="5" t="inlineStr">
        <is>
          <t>Neelam</t>
        </is>
      </c>
      <c r="F709" s="5" t="inlineStr">
        <is>
          <t>Kavita</t>
        </is>
      </c>
      <c r="G709" s="5" t="inlineStr">
        <is>
          <t>Supporting</t>
        </is>
      </c>
      <c r="H709" s="5" t="inlineStr">
        <is>
          <t>Major</t>
        </is>
      </c>
      <c r="I709" s="5" t="inlineStr">
        <is>
          <t>Not documented; the article's plot does not reach her.</t>
        </is>
      </c>
      <c r="J709" s="5" t="inlineStr">
        <is>
          <t>Belongs to the younger romance rather than to Kapoor's marriage.</t>
        </is>
      </c>
      <c r="K709" s="19" t="inlineStr">
        <is>
          <t>Credited as Kavita, third-billed. The article's plot summary is confined to the inspector's conviction and transformation.</t>
        </is>
      </c>
      <c r="L709" s="5" t="n"/>
      <c r="M709" s="5" t="inlineStr">
        <is>
          <t>SOURCE-115</t>
        </is>
      </c>
    </row>
    <row r="710" ht="49" customHeight="1">
      <c r="A710" s="15" t="inlineStr">
        <is>
          <t>CAST-709</t>
        </is>
      </c>
      <c r="B710" s="18" t="inlineStr">
        <is>
          <t>FILM-141</t>
        </is>
      </c>
      <c r="C710" s="5" t="inlineStr">
        <is>
          <t>Farz Ki Jung</t>
        </is>
      </c>
      <c r="D710" s="17" t="n">
        <v>1989</v>
      </c>
      <c r="E710" s="5" t="inlineStr">
        <is>
          <t>Iftekhar</t>
        </is>
      </c>
      <c r="F710" s="5" t="inlineStr">
        <is>
          <t>Police Commissioner Walia</t>
        </is>
      </c>
      <c r="G710" s="5" t="inlineStr">
        <is>
          <t>Authority figure</t>
        </is>
      </c>
      <c r="H710" s="5" t="inlineStr">
        <is>
          <t>Medium</t>
        </is>
      </c>
      <c r="I710" s="5" t="inlineStr">
        <is>
          <t>The commissioner over the force Kapoor's inspector is expelled from.</t>
        </is>
      </c>
      <c r="J710" s="5" t="inlineStr">
        <is>
          <t>No part in it.</t>
        </is>
      </c>
      <c r="K710" s="19" t="inlineStr">
        <is>
          <t>Credited as Police Commissioner Walia, with Raza Murad as Inspector Gill, in the force the framed inspector is convicted out of.</t>
        </is>
      </c>
      <c r="L710" s="5" t="n"/>
      <c r="M710" s="5" t="inlineStr">
        <is>
          <t>SOURCE-115</t>
        </is>
      </c>
    </row>
    <row r="711" ht="79" customHeight="1">
      <c r="A711" s="15" t="inlineStr">
        <is>
          <t>CAST-710</t>
        </is>
      </c>
      <c r="B711" s="18" t="inlineStr">
        <is>
          <t>FILM-142</t>
        </is>
      </c>
      <c r="C711" s="5" t="inlineStr">
        <is>
          <t>Gair Kaanooni</t>
        </is>
      </c>
      <c r="D711" s="17" t="n">
        <v>1989</v>
      </c>
      <c r="E711" s="5" t="inlineStr">
        <is>
          <t>Govinda</t>
        </is>
      </c>
      <c r="F711" s="5" t="inlineStr">
        <is>
          <t>Om Narayan</t>
        </is>
      </c>
      <c r="G711" s="5" t="inlineStr">
        <is>
          <t>Co-lead</t>
        </is>
      </c>
      <c r="H711" s="5" t="inlineStr">
        <is>
          <t>Major</t>
        </is>
      </c>
      <c r="I711" s="5" t="inlineStr">
        <is>
          <t>First-billed, in a film where Kapoor's commissioner is a special appearance; the babies interchanged at birth are the commissioner's and the fixer's.</t>
        </is>
      </c>
      <c r="J711" s="5" t="inlineStr">
        <is>
          <t>Holds the film's romance; romance presence for Kapoor's part is recorded as None.</t>
        </is>
      </c>
      <c r="K711" s="19" t="inlineStr">
        <is>
          <t>Credited as Om Narayan and first-billed. The article's plot describes the killing of Azam Khan and the interchange of two newborns at D'Costa's hospital, and does not follow the part beyond that setup.</t>
        </is>
      </c>
      <c r="L711" s="5" t="n"/>
      <c r="M711" s="5" t="inlineStr">
        <is>
          <t>SOURCE-116</t>
        </is>
      </c>
    </row>
    <row r="712" ht="64" customHeight="1">
      <c r="A712" s="15" t="inlineStr">
        <is>
          <t>CAST-711</t>
        </is>
      </c>
      <c r="B712" s="18" t="inlineStr">
        <is>
          <t>FILM-142</t>
        </is>
      </c>
      <c r="C712" s="5" t="inlineStr">
        <is>
          <t>Gair Kaanooni</t>
        </is>
      </c>
      <c r="D712" s="17" t="n">
        <v>1989</v>
      </c>
      <c r="E712" s="5" t="inlineStr">
        <is>
          <t>Sridevi</t>
        </is>
      </c>
      <c r="F712" s="5" t="inlineStr">
        <is>
          <t>Laxmi</t>
        </is>
      </c>
      <c r="G712" s="5" t="inlineStr">
        <is>
          <t>Co-lead</t>
        </is>
      </c>
      <c r="H712" s="5" t="inlineStr">
        <is>
          <t>Major</t>
        </is>
      </c>
      <c r="I712" s="5" t="inlineStr">
        <is>
          <t>Second-billed; the article's plot summary covers only the events preceding the main action and does not place her against the commissioner.</t>
        </is>
      </c>
      <c r="J712" s="5" t="inlineStr">
        <is>
          <t>The film's romance, outside Kapoor's special appearance.</t>
        </is>
      </c>
      <c r="K712" s="19" t="inlineStr">
        <is>
          <t>Credited as Laxmi, second-billed. The article's synopsis stops at the legal battle over the interchanged babies.</t>
        </is>
      </c>
      <c r="L712" s="5" t="n"/>
      <c r="M712" s="5" t="inlineStr">
        <is>
          <t>SOURCE-116</t>
        </is>
      </c>
    </row>
    <row r="713" ht="94" customHeight="1">
      <c r="A713" s="15" t="inlineStr">
        <is>
          <t>CAST-712</t>
        </is>
      </c>
      <c r="B713" s="18" t="inlineStr">
        <is>
          <t>FILM-142</t>
        </is>
      </c>
      <c r="C713" s="5" t="inlineStr">
        <is>
          <t>Gair Kaanooni</t>
        </is>
      </c>
      <c r="D713" s="17" t="n">
        <v>1989</v>
      </c>
      <c r="E713" s="5" t="inlineStr">
        <is>
          <t>Rajinikanth</t>
        </is>
      </c>
      <c r="F713" s="5" t="inlineStr">
        <is>
          <t>Azam Khan / Akbar Khan</t>
        </is>
      </c>
      <c r="G713" s="5" t="inlineStr">
        <is>
          <t>Cameo</t>
        </is>
      </c>
      <c r="H713" s="5" t="inlineStr">
        <is>
          <t>Major</t>
        </is>
      </c>
      <c r="I713" s="5" t="inlineStr">
        <is>
          <t>Both the underworld friend the commissioner asked a favour of, who was killed for it, and the son who then swore vengeance against the commissioner for his father's death. A dual special appearance.</t>
        </is>
      </c>
      <c r="J713" s="5" t="inlineStr">
        <is>
          <t>No part in it.</t>
        </is>
      </c>
      <c r="K713" s="19" t="inlineStr">
        <is>
          <t>A dual special appearance as Azam Khan, the underworld man with a golden heart who secures evidence against D'Costa and is liquidated before he can deliver it, and as his son Akbar, who blames the police officer and swears vengeance.</t>
        </is>
      </c>
      <c r="L713" s="5" t="n"/>
      <c r="M713" s="5" t="inlineStr">
        <is>
          <t>SOURCE-116</t>
        </is>
      </c>
    </row>
    <row r="714" ht="64" customHeight="1">
      <c r="A714" s="15" t="inlineStr">
        <is>
          <t>CAST-713</t>
        </is>
      </c>
      <c r="B714" s="18" t="inlineStr">
        <is>
          <t>FILM-142</t>
        </is>
      </c>
      <c r="C714" s="5" t="inlineStr">
        <is>
          <t>Gair Kaanooni</t>
        </is>
      </c>
      <c r="D714" s="17" t="n">
        <v>1989</v>
      </c>
      <c r="E714" s="5" t="inlineStr">
        <is>
          <t>Ranjeet</t>
        </is>
      </c>
      <c r="F714" s="5" t="inlineStr">
        <is>
          <t>Robert D'Costa</t>
        </is>
      </c>
      <c r="G714" s="5" t="inlineStr">
        <is>
          <t>Antagonist</t>
        </is>
      </c>
      <c r="H714" s="5" t="inlineStr">
        <is>
          <t>Major</t>
        </is>
      </c>
      <c r="I714" s="5" t="inlineStr">
        <is>
          <t>The mafia don he was gathering evidence against, who had his informant killed and then swapped the commissioner's newborn son for another child.</t>
        </is>
      </c>
      <c r="J714" s="5" t="inlineStr">
        <is>
          <t>No part in it.</t>
        </is>
      </c>
      <c r="K714" s="19" t="inlineStr">
        <is>
          <t>The local mafia don, who has Azam Khan liquidated with Dalpat Dalal's help, and who repays Dalpat's favour by interchanging the two babies born in his hospital.</t>
        </is>
      </c>
      <c r="L714" s="5" t="n"/>
      <c r="M714" s="5" t="inlineStr">
        <is>
          <t>SOURCE-116</t>
        </is>
      </c>
    </row>
    <row r="715" ht="64" customHeight="1">
      <c r="A715" s="15" t="inlineStr">
        <is>
          <t>CAST-714</t>
        </is>
      </c>
      <c r="B715" s="18" t="inlineStr">
        <is>
          <t>FILM-142</t>
        </is>
      </c>
      <c r="C715" s="5" t="inlineStr">
        <is>
          <t>Gair Kaanooni</t>
        </is>
      </c>
      <c r="D715" s="17" t="n">
        <v>1989</v>
      </c>
      <c r="E715" s="5" t="inlineStr">
        <is>
          <t>Kader Khan</t>
        </is>
      </c>
      <c r="F715" s="5" t="inlineStr">
        <is>
          <t>Dalpat Dalaal</t>
        </is>
      </c>
      <c r="G715" s="5" t="inlineStr">
        <is>
          <t>Antagonist</t>
        </is>
      </c>
      <c r="H715" s="5" t="inlineStr">
        <is>
          <t>Major</t>
        </is>
      </c>
      <c r="I715" s="5" t="inlineStr">
        <is>
          <t>The fixer who paid for the false confession and whose insistence caused the swapping of the commissioner's son.</t>
        </is>
      </c>
      <c r="J715" s="5" t="inlineStr">
        <is>
          <t>No part in it.</t>
        </is>
      </c>
      <c r="K715" s="19" t="inlineStr">
        <is>
          <t>A fixer who helps D'Costa kill Azam Khan, buys a petty driver's false confession to the murder, and has his own daughter exchanged for the police officer's newborn son.</t>
        </is>
      </c>
      <c r="L715" s="5" t="n"/>
      <c r="M715" s="5" t="inlineStr">
        <is>
          <t>SOURCE-116</t>
        </is>
      </c>
    </row>
    <row r="716" ht="49" customHeight="1">
      <c r="A716" s="15" t="inlineStr">
        <is>
          <t>CAST-715</t>
        </is>
      </c>
      <c r="B716" s="18" t="inlineStr">
        <is>
          <t>FILM-142</t>
        </is>
      </c>
      <c r="C716" s="5" t="inlineStr">
        <is>
          <t>Gair Kaanooni</t>
        </is>
      </c>
      <c r="D716" s="17" t="n">
        <v>1989</v>
      </c>
      <c r="E716" s="5" t="inlineStr">
        <is>
          <t>Rohini Hattangadi</t>
        </is>
      </c>
      <c r="F716" s="5" t="inlineStr">
        <is>
          <t>Shanti</t>
        </is>
      </c>
      <c r="G716" s="5" t="inlineStr">
        <is>
          <t>Family</t>
        </is>
      </c>
      <c r="H716" s="5" t="inlineStr">
        <is>
          <t>Major</t>
        </is>
      </c>
      <c r="I716" s="5" t="inlineStr">
        <is>
          <t>His wife, who gives birth in the don's hospital to the son who is then taken from them.</t>
        </is>
      </c>
      <c r="J716" s="5" t="inlineStr">
        <is>
          <t>No part in it.</t>
        </is>
      </c>
      <c r="K716" s="19" t="inlineStr">
        <is>
          <t>Kapil Khanna's wife, who delivers a baby boy at D'Costa's hospital on the same day as Dalpat Dalal's wife delivers a girl, the two infants being interchanged.</t>
        </is>
      </c>
      <c r="L716" s="5" t="n"/>
      <c r="M716" s="5" t="inlineStr">
        <is>
          <t>SOURCE-116</t>
        </is>
      </c>
    </row>
    <row r="717" ht="49" customHeight="1">
      <c r="A717" s="15" t="inlineStr">
        <is>
          <t>CAST-716</t>
        </is>
      </c>
      <c r="B717" s="18" t="inlineStr">
        <is>
          <t>FILM-142</t>
        </is>
      </c>
      <c r="C717" s="5" t="inlineStr">
        <is>
          <t>Gair Kaanooni</t>
        </is>
      </c>
      <c r="D717" s="17" t="n">
        <v>1989</v>
      </c>
      <c r="E717" s="5" t="inlineStr">
        <is>
          <t>Kimi Katkar</t>
        </is>
      </c>
      <c r="F717" s="5" t="inlineStr">
        <is>
          <t>Rita D'Costa</t>
        </is>
      </c>
      <c r="G717" s="5" t="inlineStr">
        <is>
          <t>Supporting</t>
        </is>
      </c>
      <c r="H717" s="5" t="inlineStr">
        <is>
          <t>Medium</t>
        </is>
      </c>
      <c r="I717" s="5" t="inlineStr">
        <is>
          <t>Of the don's family, on the other side of the commissioner's legal battle.</t>
        </is>
      </c>
      <c r="J717" s="5" t="inlineStr">
        <is>
          <t>Not documented by the article's summary.</t>
        </is>
      </c>
      <c r="K717" s="19" t="inlineStr">
        <is>
          <t>Credited as Rita D'Costa, with Tej Sapru as Tony D'Costa, in the family of the mafia don the commissioner takes to court.</t>
        </is>
      </c>
      <c r="L717" s="5" t="n"/>
      <c r="M717" s="5" t="inlineStr">
        <is>
          <t>SOURCE-116</t>
        </is>
      </c>
    </row>
    <row r="718" ht="79" customHeight="1">
      <c r="A718" s="15" t="inlineStr">
        <is>
          <t>CAST-717</t>
        </is>
      </c>
      <c r="B718" s="18" t="inlineStr">
        <is>
          <t>FILM-143</t>
        </is>
      </c>
      <c r="C718" s="5" t="inlineStr">
        <is>
          <t>Clerk</t>
        </is>
      </c>
      <c r="D718" s="17" t="n">
        <v>1989</v>
      </c>
      <c r="E718" s="5" t="inlineStr">
        <is>
          <t>Manoj Kumar</t>
        </is>
      </c>
      <c r="F718" s="5" t="inlineStr">
        <is>
          <t>Bharat</t>
        </is>
      </c>
      <c r="G718" s="5" t="inlineStr">
        <is>
          <t>Co-lead</t>
        </is>
      </c>
      <c r="H718" s="5" t="inlineStr">
        <is>
          <t>Major</t>
        </is>
      </c>
      <c r="I718" s="5" t="inlineStr">
        <is>
          <t>The title clerk, in a film Manoj Kumar also wrote and directed. The article has no plot section, so the relation to Kapoor's Vijay Kapoor is undocumented.</t>
        </is>
      </c>
      <c r="J718" s="5" t="inlineStr">
        <is>
          <t>Not documented. Romance presence is left blank for the film and no Romances row was created.</t>
        </is>
      </c>
      <c r="K718" s="19" t="inlineStr">
        <is>
          <t>Credited as Bharat, with Dina Pathak as his mother, in the film Manoj Kumar directed and named for its clerk. The article carries a cast list and no synopsis.</t>
        </is>
      </c>
      <c r="L718" s="5" t="n"/>
      <c r="M718" s="5" t="inlineStr">
        <is>
          <t>SOURCE-117</t>
        </is>
      </c>
    </row>
    <row r="719" ht="49" customHeight="1">
      <c r="A719" s="15" t="inlineStr">
        <is>
          <t>CAST-718</t>
        </is>
      </c>
      <c r="B719" s="18" t="inlineStr">
        <is>
          <t>FILM-143</t>
        </is>
      </c>
      <c r="C719" s="5" t="inlineStr">
        <is>
          <t>Clerk</t>
        </is>
      </c>
      <c r="D719" s="17" t="n">
        <v>1989</v>
      </c>
      <c r="E719" s="5" t="inlineStr">
        <is>
          <t>Ashok Kumar</t>
        </is>
      </c>
      <c r="F719" s="5" t="inlineStr">
        <is>
          <t>Satyapati</t>
        </is>
      </c>
      <c r="G719" s="5" t="inlineStr">
        <is>
          <t>Supporting</t>
        </is>
      </c>
      <c r="H719" s="5" t="inlineStr">
        <is>
          <t>Major</t>
        </is>
      </c>
      <c r="I719" s="5" t="inlineStr">
        <is>
          <t>First-billed in a cast of several senior stars; the article gives no plot to place him.</t>
        </is>
      </c>
      <c r="J719" s="5" t="inlineStr">
        <is>
          <t>Not documented.</t>
        </is>
      </c>
      <c r="K719" s="19" t="inlineStr">
        <is>
          <t>Credited as Satyapati and billed first, in the last of his many films with Kapoor. The article has no plot section.</t>
        </is>
      </c>
      <c r="L719" s="5" t="n"/>
      <c r="M719" s="5" t="inlineStr">
        <is>
          <t>SOURCE-117</t>
        </is>
      </c>
    </row>
    <row r="720" ht="49" customHeight="1">
      <c r="A720" s="15" t="inlineStr">
        <is>
          <t>CAST-719</t>
        </is>
      </c>
      <c r="B720" s="18" t="inlineStr">
        <is>
          <t>FILM-143</t>
        </is>
      </c>
      <c r="C720" s="5" t="inlineStr">
        <is>
          <t>Clerk</t>
        </is>
      </c>
      <c r="D720" s="17" t="n">
        <v>1989</v>
      </c>
      <c r="E720" s="5" t="inlineStr">
        <is>
          <t>Rekha</t>
        </is>
      </c>
      <c r="F720" s="5" t="inlineStr">
        <is>
          <t>Sneha</t>
        </is>
      </c>
      <c r="G720" s="5" t="inlineStr">
        <is>
          <t>Co-lead</t>
        </is>
      </c>
      <c r="H720" s="5" t="inlineStr">
        <is>
          <t>Major</t>
        </is>
      </c>
      <c r="I720" s="5" t="inlineStr">
        <is>
          <t>The principal female part; the article does not say whose.</t>
        </is>
      </c>
      <c r="J720" s="5" t="inlineStr">
        <is>
          <t>Not documented.</t>
        </is>
      </c>
      <c r="K720" s="19" t="inlineStr">
        <is>
          <t>Credited as Sneha, fifth-billed in a cast led by four male stars of successive generations. The article gives no synopsis.</t>
        </is>
      </c>
      <c r="L720" s="5" t="n"/>
      <c r="M720" s="5" t="inlineStr">
        <is>
          <t>SOURCE-117</t>
        </is>
      </c>
    </row>
    <row r="721" ht="49" customHeight="1">
      <c r="A721" s="15" t="inlineStr">
        <is>
          <t>CAST-720</t>
        </is>
      </c>
      <c r="B721" s="18" t="inlineStr">
        <is>
          <t>FILM-143</t>
        </is>
      </c>
      <c r="C721" s="5" t="inlineStr">
        <is>
          <t>Clerk</t>
        </is>
      </c>
      <c r="D721" s="17" t="n">
        <v>1989</v>
      </c>
      <c r="E721" s="5" t="inlineStr">
        <is>
          <t>Rajendra Kumar</t>
        </is>
      </c>
      <c r="F721" s="5" t="inlineStr">
        <is>
          <t>Rahim Khan</t>
        </is>
      </c>
      <c r="G721" s="5" t="inlineStr">
        <is>
          <t>Supporting</t>
        </is>
      </c>
      <c r="H721" s="5" t="inlineStr">
        <is>
          <t>Major</t>
        </is>
      </c>
      <c r="I721" s="5" t="inlineStr">
        <is>
          <t>Not documented; the two had appeared together in Aahuti eleven years earlier.</t>
        </is>
      </c>
      <c r="J721" s="5" t="inlineStr">
        <is>
          <t>Not documented.</t>
        </is>
      </c>
      <c r="K721" s="19" t="inlineStr">
        <is>
          <t>Credited as Rahim Khan. With no plot section in the article the function of the part is unrecorded.</t>
        </is>
      </c>
      <c r="L721" s="5" t="n"/>
      <c r="M721" s="5" t="inlineStr">
        <is>
          <t>SOURCE-117</t>
        </is>
      </c>
    </row>
    <row r="722" ht="34" customHeight="1">
      <c r="A722" s="15" t="inlineStr">
        <is>
          <t>CAST-721</t>
        </is>
      </c>
      <c r="B722" s="18" t="inlineStr">
        <is>
          <t>FILM-143</t>
        </is>
      </c>
      <c r="C722" s="5" t="inlineStr">
        <is>
          <t>Clerk</t>
        </is>
      </c>
      <c r="D722" s="17" t="n">
        <v>1989</v>
      </c>
      <c r="E722" s="5" t="inlineStr">
        <is>
          <t>Prem Chopra</t>
        </is>
      </c>
      <c r="F722" s="5" t="inlineStr">
        <is>
          <t>Sadhuram</t>
        </is>
      </c>
      <c r="G722" s="5" t="inlineStr">
        <is>
          <t>Antagonist</t>
        </is>
      </c>
      <c r="H722" s="5" t="inlineStr">
        <is>
          <t>Major</t>
        </is>
      </c>
      <c r="I722" s="5" t="inlineStr">
        <is>
          <t>Not documented.</t>
        </is>
      </c>
      <c r="J722" s="5" t="inlineStr">
        <is>
          <t>Not documented.</t>
        </is>
      </c>
      <c r="K722" s="19" t="inlineStr">
        <is>
          <t>Credited as Sadhuram. The article has no plot section, so the function is taken from the actor's standing casting.</t>
        </is>
      </c>
      <c r="L722" s="5" t="n"/>
      <c r="M722" s="5" t="inlineStr">
        <is>
          <t>SOURCE-117</t>
        </is>
      </c>
    </row>
    <row r="723" ht="34" customHeight="1">
      <c r="A723" s="15" t="inlineStr">
        <is>
          <t>CAST-722</t>
        </is>
      </c>
      <c r="B723" s="18" t="inlineStr">
        <is>
          <t>FILM-143</t>
        </is>
      </c>
      <c r="C723" s="5" t="inlineStr">
        <is>
          <t>Clerk</t>
        </is>
      </c>
      <c r="D723" s="17" t="n">
        <v>1989</v>
      </c>
      <c r="E723" s="5" t="inlineStr">
        <is>
          <t>Om Shivpuri</t>
        </is>
      </c>
      <c r="F723" s="5" t="inlineStr">
        <is>
          <t>General Jindal</t>
        </is>
      </c>
      <c r="G723" s="5" t="inlineStr">
        <is>
          <t>Authority figure</t>
        </is>
      </c>
      <c r="H723" s="5" t="inlineStr">
        <is>
          <t>Medium</t>
        </is>
      </c>
      <c r="I723" s="5" t="inlineStr">
        <is>
          <t>Not documented.</t>
        </is>
      </c>
      <c r="J723" s="5" t="inlineStr">
        <is>
          <t>Not documented.</t>
        </is>
      </c>
      <c r="K723" s="19" t="inlineStr">
        <is>
          <t>Credited as General Jindal, a military part in a film whose article carries no synopsis.</t>
        </is>
      </c>
      <c r="L723" s="5" t="n"/>
      <c r="M723" s="5" t="inlineStr">
        <is>
          <t>SOURCE-117</t>
        </is>
      </c>
    </row>
    <row r="724" ht="34" customHeight="1">
      <c r="A724" s="15" t="inlineStr">
        <is>
          <t>CAST-723</t>
        </is>
      </c>
      <c r="B724" s="18" t="inlineStr">
        <is>
          <t>FILM-143</t>
        </is>
      </c>
      <c r="C724" s="5" t="inlineStr">
        <is>
          <t>Clerk</t>
        </is>
      </c>
      <c r="D724" s="17" t="n">
        <v>1989</v>
      </c>
      <c r="E724" s="5" t="inlineStr">
        <is>
          <t>Dina Pathak</t>
        </is>
      </c>
      <c r="F724" s="5" t="inlineStr">
        <is>
          <t>Bharat's mother</t>
        </is>
      </c>
      <c r="G724" s="5" t="inlineStr">
        <is>
          <t>Family</t>
        </is>
      </c>
      <c r="H724" s="5" t="inlineStr">
        <is>
          <t>Medium</t>
        </is>
      </c>
      <c r="I724" s="5" t="inlineStr">
        <is>
          <t>Mother of the title character rather than of Kapoor's part.</t>
        </is>
      </c>
      <c r="J724" s="5" t="inlineStr">
        <is>
          <t>Not documented.</t>
        </is>
      </c>
      <c r="K724" s="19" t="inlineStr">
        <is>
          <t>Credited as the mother of Manoj Kumar's Bharat, one of the few relations the article's cast list establishes.</t>
        </is>
      </c>
      <c r="L724" s="5" t="n"/>
      <c r="M724" s="5" t="inlineStr">
        <is>
          <t>SOURCE-117</t>
        </is>
      </c>
    </row>
    <row r="725" ht="79" customHeight="1">
      <c r="A725" s="15" t="inlineStr">
        <is>
          <t>CAST-724</t>
        </is>
      </c>
      <c r="B725" s="18" t="inlineStr">
        <is>
          <t>FILM-144</t>
        </is>
      </c>
      <c r="C725" s="5" t="inlineStr">
        <is>
          <t>Oonch Neech Beech</t>
        </is>
      </c>
      <c r="D725" s="17" t="n">
        <v>1989</v>
      </c>
      <c r="E725" s="5" t="inlineStr">
        <is>
          <t>Smita Patil</t>
        </is>
      </c>
      <c r="F725" s="5" t="inlineStr">
        <is>
          <t>Sumita</t>
        </is>
      </c>
      <c r="G725" s="5" t="inlineStr">
        <is>
          <t>Co-lead</t>
        </is>
      </c>
      <c r="H725" s="5" t="inlineStr">
        <is>
          <t>Major</t>
        </is>
      </c>
      <c r="I725" s="5" t="inlineStr">
        <is>
          <t>His wife, living near the station, who comes to suspect him of an affair with the woman he has housed in the waiting room.</t>
        </is>
      </c>
      <c r="J725" s="5" t="inlineStr">
        <is>
          <t>The pairing recorded in the Romances sheet as a marriage under strain: the strain is a suspicion about a charitable act, and the film does not resolve it in his favour.</t>
        </is>
      </c>
      <c r="K725" s="19" t="inlineStr">
        <is>
          <t>The station master's wife, living in a house near the station, whose distrust of the abandoned woman lodged in the waiting room hardens into a belief that her husband is the father of Tulsi's child.</t>
        </is>
      </c>
      <c r="L725" s="5" t="n"/>
      <c r="M725" s="5" t="inlineStr">
        <is>
          <t>SOURCE-119</t>
        </is>
      </c>
    </row>
    <row r="726" ht="79" customHeight="1">
      <c r="A726" s="15" t="inlineStr">
        <is>
          <t>CAST-725</t>
        </is>
      </c>
      <c r="B726" s="18" t="inlineStr">
        <is>
          <t>FILM-144</t>
        </is>
      </c>
      <c r="C726" s="5" t="inlineStr">
        <is>
          <t>Oonch Neech Beech</t>
        </is>
      </c>
      <c r="D726" s="17" t="n">
        <v>1989</v>
      </c>
      <c r="E726" s="5" t="inlineStr">
        <is>
          <t>Shabana Azmi</t>
        </is>
      </c>
      <c r="F726" s="5" t="inlineStr">
        <is>
          <t>Tulsi</t>
        </is>
      </c>
      <c r="G726" s="5" t="inlineStr">
        <is>
          <t>Co-lead</t>
        </is>
      </c>
      <c r="H726" s="5" t="inlineStr">
        <is>
          <t>Major</t>
        </is>
      </c>
      <c r="I726" s="5" t="inlineStr">
        <is>
          <t>The woman he houses in the station waiting room and lets open a food stall, and whom he is finally forced to evict; the suspicion about her is what damages his marriage.</t>
        </is>
      </c>
      <c r="J726" s="5" t="inlineStr">
        <is>
          <t>Not his partner, but the subject of the suspicion that constitutes the film's marital strain.</t>
        </is>
      </c>
      <c r="K726" s="19" t="inlineStr">
        <is>
          <t>A woman married and consummated by a sadhu who abandoned her asleep on a railway platform, who waits years at that station for his return, lives in the waiting room, runs a food stall, becomes pregnant, is put out when the supervisor objects, and is nearly raped by the jagirdar's son.</t>
        </is>
      </c>
      <c r="L726" s="5" t="n"/>
      <c r="M726" s="5" t="inlineStr">
        <is>
          <t>SOURCE-119</t>
        </is>
      </c>
    </row>
    <row r="727" ht="64" customHeight="1">
      <c r="A727" s="15" t="inlineStr">
        <is>
          <t>CAST-726</t>
        </is>
      </c>
      <c r="B727" s="18" t="inlineStr">
        <is>
          <t>FILM-144</t>
        </is>
      </c>
      <c r="C727" s="5" t="inlineStr">
        <is>
          <t>Oonch Neech Beech</t>
        </is>
      </c>
      <c r="D727" s="17" t="n">
        <v>1989</v>
      </c>
      <c r="E727" s="5" t="inlineStr">
        <is>
          <t>Sanjeev Kumar</t>
        </is>
      </c>
      <c r="F727" s="5" t="inlineStr">
        <is>
          <t>Hariram</t>
        </is>
      </c>
      <c r="G727" s="5" t="inlineStr">
        <is>
          <t>Co-lead</t>
        </is>
      </c>
      <c r="H727" s="5" t="inlineStr">
        <is>
          <t>Major</t>
        </is>
      </c>
      <c r="I727" s="5" t="inlineStr">
        <is>
          <t>The station's coolie alongside Kapoor's station master, and the one who takes the evicted woman in when the station master cannot.</t>
        </is>
      </c>
      <c r="J727" s="5" t="inlineStr">
        <is>
          <t>The alternative to his own compromised position: where Motilal must evict her, Hariram shelters her.</t>
        </is>
      </c>
      <c r="K727" s="19" t="inlineStr">
        <is>
          <t>The coolie at the station, who with the station master lets Tulsi live in the waiting room, and who gives her a place to stay when she has no other option left. One of Sanjeev Kumar's last films.</t>
        </is>
      </c>
      <c r="L727" s="5" t="n"/>
      <c r="M727" s="5" t="inlineStr">
        <is>
          <t>SOURCE-119</t>
        </is>
      </c>
    </row>
    <row r="728" ht="64" customHeight="1">
      <c r="A728" s="15" t="inlineStr">
        <is>
          <t>CAST-727</t>
        </is>
      </c>
      <c r="B728" s="18" t="inlineStr">
        <is>
          <t>FILM-144</t>
        </is>
      </c>
      <c r="C728" s="5" t="inlineStr">
        <is>
          <t>Oonch Neech Beech</t>
        </is>
      </c>
      <c r="D728" s="17" t="n">
        <v>1989</v>
      </c>
      <c r="E728" s="5" t="inlineStr">
        <is>
          <t>Kulbhushan Kharbanda</t>
        </is>
      </c>
      <c r="F728" s="5" t="inlineStr">
        <is>
          <t>Vithal</t>
        </is>
      </c>
      <c r="G728" s="5" t="inlineStr">
        <is>
          <t>Supporting</t>
        </is>
      </c>
      <c r="H728" s="5" t="inlineStr">
        <is>
          <t>Major</t>
        </is>
      </c>
      <c r="I728" s="5" t="inlineStr">
        <is>
          <t>No dealings with the station master; his abandonment of Tulsi is what deposits her at the station in the first place.</t>
        </is>
      </c>
      <c r="J728" s="5" t="inlineStr">
        <is>
          <t>The absent husband whose non-return is the film's whole duration.</t>
        </is>
      </c>
      <c r="K728" s="19" t="inlineStr">
        <is>
          <t>A young sadhu taught the necessity of celibacy for enlightenment, who marries Tulsi and consummates it, then in guilt boards a train back to his guru while she sleeps on the platform, and never returns.</t>
        </is>
      </c>
      <c r="L728" s="5" t="n"/>
      <c r="M728" s="5" t="inlineStr">
        <is>
          <t>SOURCE-119</t>
        </is>
      </c>
    </row>
    <row r="729" ht="49" customHeight="1">
      <c r="A729" s="15" t="inlineStr">
        <is>
          <t>CAST-728</t>
        </is>
      </c>
      <c r="B729" s="18" t="inlineStr">
        <is>
          <t>FILM-144</t>
        </is>
      </c>
      <c r="C729" s="5" t="inlineStr">
        <is>
          <t>Oonch Neech Beech</t>
        </is>
      </c>
      <c r="D729" s="17" t="n">
        <v>1989</v>
      </c>
      <c r="E729" s="5" t="inlineStr">
        <is>
          <t>Nilu Phule</t>
        </is>
      </c>
      <c r="F729" s="5" t="inlineStr">
        <is>
          <t>Vithal's mentor</t>
        </is>
      </c>
      <c r="G729" s="5" t="inlineStr">
        <is>
          <t>Mentor</t>
        </is>
      </c>
      <c r="H729" s="5" t="inlineStr">
        <is>
          <t>Medium</t>
        </is>
      </c>
      <c r="I729" s="5" t="inlineStr">
        <is>
          <t>Outside the station entirely; the doctrine he teaches is the cause of the abandonment.</t>
        </is>
      </c>
      <c r="J729" s="5" t="inlineStr">
        <is>
          <t>The claim that defeats the marriage.</t>
        </is>
      </c>
      <c r="K729" s="19" t="inlineStr">
        <is>
          <t>The guru who trains Vithal in the importance of celibacy for attaining enlightenment, and to whom Vithal returns rather than continue with his wife.</t>
        </is>
      </c>
      <c r="L729" s="5" t="n"/>
      <c r="M729" s="5" t="inlineStr">
        <is>
          <t>SOURCE-119</t>
        </is>
      </c>
    </row>
    <row r="730" ht="49" customHeight="1">
      <c r="A730" s="15" t="inlineStr">
        <is>
          <t>CAST-729</t>
        </is>
      </c>
      <c r="B730" s="18" t="inlineStr">
        <is>
          <t>FILM-144</t>
        </is>
      </c>
      <c r="C730" s="5" t="inlineStr">
        <is>
          <t>Oonch Neech Beech</t>
        </is>
      </c>
      <c r="D730" s="17" t="n">
        <v>1989</v>
      </c>
      <c r="E730" s="5" t="inlineStr">
        <is>
          <t>Krishan Dhawan</t>
        </is>
      </c>
      <c r="F730" s="5" t="inlineStr">
        <is>
          <t>Gupta</t>
        </is>
      </c>
      <c r="G730" s="5" t="inlineStr">
        <is>
          <t>Authority figure</t>
        </is>
      </c>
      <c r="H730" s="5" t="inlineStr">
        <is>
          <t>Medium</t>
        </is>
      </c>
      <c r="I730" s="5" t="inlineStr">
        <is>
          <t>His supervisor, whose complaints force him to turn the woman out and so to act against his own charity.</t>
        </is>
      </c>
      <c r="J730" s="5" t="inlineStr">
        <is>
          <t>The pressure that makes his position untenable at home and at work at once.</t>
        </is>
      </c>
      <c r="K730" s="19" t="inlineStr">
        <is>
          <t>Motilal's supervisor, whose complaints about a woman being housed in the railway waiting room compel the station master to evict her though she has nowhere to go.</t>
        </is>
      </c>
      <c r="L730" s="5" t="n"/>
      <c r="M730" s="5" t="inlineStr">
        <is>
          <t>SOURCE-119</t>
        </is>
      </c>
    </row>
    <row r="731" ht="34" customHeight="1">
      <c r="A731" s="15" t="inlineStr">
        <is>
          <t>CAST-730</t>
        </is>
      </c>
      <c r="B731" s="18" t="inlineStr">
        <is>
          <t>FILM-144</t>
        </is>
      </c>
      <c r="C731" s="5" t="inlineStr">
        <is>
          <t>Oonch Neech Beech</t>
        </is>
      </c>
      <c r="D731" s="17" t="n">
        <v>1989</v>
      </c>
      <c r="E731" s="5" t="inlineStr">
        <is>
          <t>Sudhir</t>
        </is>
      </c>
      <c r="F731" s="5" t="inlineStr">
        <is>
          <t>Chhote</t>
        </is>
      </c>
      <c r="G731" s="5" t="inlineStr">
        <is>
          <t>Antagonist</t>
        </is>
      </c>
      <c r="H731" s="5" t="inlineStr">
        <is>
          <t>Medium</t>
        </is>
      </c>
      <c r="I731" s="5" t="inlineStr">
        <is>
          <t>Preys on the woman the station master has been forced to put out.</t>
        </is>
      </c>
      <c r="J731" s="5" t="inlineStr">
        <is>
          <t>No part in the marriage; he is the consequence of the eviction.</t>
        </is>
      </c>
      <c r="K731" s="19" t="inlineStr">
        <is>
          <t>The jagirdar's son, who attempts to rape Tulsi once she has been turned out of the waiting room and has no options left.</t>
        </is>
      </c>
      <c r="L731" s="5" t="n"/>
      <c r="M731" s="5" t="inlineStr">
        <is>
          <t>SOURCE-119</t>
        </is>
      </c>
    </row>
    <row r="732" ht="64" customHeight="1">
      <c r="A732" s="15" t="inlineStr">
        <is>
          <t>CAST-731</t>
        </is>
      </c>
      <c r="B732" s="18" t="inlineStr">
        <is>
          <t>FILM-145</t>
        </is>
      </c>
      <c r="C732" s="5" t="inlineStr">
        <is>
          <t>Raiszaada</t>
        </is>
      </c>
      <c r="D732" s="17" t="n">
        <v>1991</v>
      </c>
      <c r="E732" s="5" t="inlineStr">
        <is>
          <t>Asha Parekh</t>
        </is>
      </c>
      <c r="F732" s="5" t="inlineStr">
        <is>
          <t>Jyothi Singh</t>
        </is>
      </c>
      <c r="G732" s="5" t="inlineStr">
        <is>
          <t>Co-lead</t>
        </is>
      </c>
      <c r="H732" s="5" t="inlineStr">
        <is>
          <t>Major</t>
        </is>
      </c>
      <c r="I732" s="5" t="inlineStr">
        <is>
          <t>Shares the Singh surname of Kapoor's DSP Amar Singh, so probably his wife or sister; the article has no plot section to confirm it.</t>
        </is>
      </c>
      <c r="J732" s="5" t="inlineStr">
        <is>
          <t>Not documented. Romance presence is left blank for the film and no Romances row was created.</t>
        </is>
      </c>
      <c r="K732" s="19" t="inlineStr">
        <is>
          <t>Credited as Jyothi Singh, second-billed. The article carries a long cast list and no synopsis. Her last of several films with Kapoor, twenty-three years after Kanyadaan.</t>
        </is>
      </c>
      <c r="L732" s="5" t="n"/>
      <c r="M732" s="5" t="inlineStr">
        <is>
          <t>SOURCE-121</t>
        </is>
      </c>
    </row>
    <row r="733" ht="64" customHeight="1">
      <c r="A733" s="15" t="inlineStr">
        <is>
          <t>CAST-732</t>
        </is>
      </c>
      <c r="B733" s="18" t="inlineStr">
        <is>
          <t>FILM-145</t>
        </is>
      </c>
      <c r="C733" s="5" t="inlineStr">
        <is>
          <t>Raiszaada</t>
        </is>
      </c>
      <c r="D733" s="17" t="n">
        <v>1991</v>
      </c>
      <c r="E733" s="5" t="inlineStr">
        <is>
          <t>Govinda</t>
        </is>
      </c>
      <c r="F733" s="5" t="inlineStr">
        <is>
          <t>Sanjay Singh</t>
        </is>
      </c>
      <c r="G733" s="5" t="inlineStr">
        <is>
          <t>Co-lead</t>
        </is>
      </c>
      <c r="H733" s="5" t="inlineStr">
        <is>
          <t>Major</t>
        </is>
      </c>
      <c r="I733" s="5" t="inlineStr">
        <is>
          <t>The third credited Singh, so presumably of the same family as Kapoor's DSP; the article does not establish it.</t>
        </is>
      </c>
      <c r="J733" s="5" t="inlineStr">
        <is>
          <t>Not documented.</t>
        </is>
      </c>
      <c r="K733" s="19" t="inlineStr">
        <is>
          <t>Credited as Sanjay Singh, third-billed, in the fourth of his films with Kapoor. The article has no plot section.</t>
        </is>
      </c>
      <c r="L733" s="5" t="n"/>
      <c r="M733" s="5" t="inlineStr">
        <is>
          <t>SOURCE-121</t>
        </is>
      </c>
    </row>
    <row r="734" ht="64" customHeight="1">
      <c r="A734" s="15" t="inlineStr">
        <is>
          <t>CAST-733</t>
        </is>
      </c>
      <c r="B734" s="18" t="inlineStr">
        <is>
          <t>FILM-145</t>
        </is>
      </c>
      <c r="C734" s="5" t="inlineStr">
        <is>
          <t>Raiszaada</t>
        </is>
      </c>
      <c r="D734" s="17" t="n">
        <v>1991</v>
      </c>
      <c r="E734" s="5" t="inlineStr">
        <is>
          <t>Anupam Kher</t>
        </is>
      </c>
      <c r="F734" s="5" t="inlineStr">
        <is>
          <t>Jagannath</t>
        </is>
      </c>
      <c r="G734" s="5" t="inlineStr">
        <is>
          <t>Antagonist</t>
        </is>
      </c>
      <c r="H734" s="5" t="inlineStr">
        <is>
          <t>Major</t>
        </is>
      </c>
      <c r="I734" s="5" t="inlineStr">
        <is>
          <t>Not documented, though the cast list gives him a defence counsel of his own, which implies a prosecution the DSP would be behind.</t>
        </is>
      </c>
      <c r="J734" s="5" t="inlineStr">
        <is>
          <t>Not documented.</t>
        </is>
      </c>
      <c r="K734" s="19" t="inlineStr">
        <is>
          <t>Credited as Jagannath, with Pradeep Kumar credited as the barrister defending him, indicating a trial the article never describes.</t>
        </is>
      </c>
      <c r="L734" s="5" t="n"/>
      <c r="M734" s="5" t="inlineStr">
        <is>
          <t>SOURCE-121</t>
        </is>
      </c>
    </row>
    <row r="735" ht="49" customHeight="1">
      <c r="A735" s="15" t="inlineStr">
        <is>
          <t>CAST-734</t>
        </is>
      </c>
      <c r="B735" s="18" t="inlineStr">
        <is>
          <t>FILM-145</t>
        </is>
      </c>
      <c r="C735" s="5" t="inlineStr">
        <is>
          <t>Raiszaada</t>
        </is>
      </c>
      <c r="D735" s="17" t="n">
        <v>1991</v>
      </c>
      <c r="E735" s="5" t="inlineStr">
        <is>
          <t>Kulbhushan Kharbanda</t>
        </is>
      </c>
      <c r="F735" s="5" t="inlineStr">
        <is>
          <t>Police Commissioner Durjan Singh</t>
        </is>
      </c>
      <c r="G735" s="5" t="inlineStr">
        <is>
          <t>Authority figure</t>
        </is>
      </c>
      <c r="H735" s="5" t="inlineStr">
        <is>
          <t>Major</t>
        </is>
      </c>
      <c r="I735" s="5" t="inlineStr">
        <is>
          <t>The commissioner over Kapoor's deputy superintendent, and a fourth credited Singh.</t>
        </is>
      </c>
      <c r="J735" s="5" t="inlineStr">
        <is>
          <t>Not documented.</t>
        </is>
      </c>
      <c r="K735" s="19" t="inlineStr">
        <is>
          <t>Credited as Police Commissioner Durjan Singh, above Kapoor's DSP in a police hierarchy the article outlines only through its cast list.</t>
        </is>
      </c>
      <c r="L735" s="5" t="n"/>
      <c r="M735" s="5" t="inlineStr">
        <is>
          <t>SOURCE-121</t>
        </is>
      </c>
    </row>
    <row r="736" ht="34" customHeight="1">
      <c r="A736" s="15" t="inlineStr">
        <is>
          <t>CAST-735</t>
        </is>
      </c>
      <c r="B736" s="18" t="inlineStr">
        <is>
          <t>FILM-145</t>
        </is>
      </c>
      <c r="C736" s="5" t="inlineStr">
        <is>
          <t>Raiszaada</t>
        </is>
      </c>
      <c r="D736" s="17" t="n">
        <v>1991</v>
      </c>
      <c r="E736" s="5" t="inlineStr">
        <is>
          <t>Sonam</t>
        </is>
      </c>
      <c r="F736" s="5" t="inlineStr">
        <is>
          <t>Inspector Sonam</t>
        </is>
      </c>
      <c r="G736" s="5" t="inlineStr">
        <is>
          <t>Supporting</t>
        </is>
      </c>
      <c r="H736" s="5" t="inlineStr">
        <is>
          <t>Medium</t>
        </is>
      </c>
      <c r="I736" s="5" t="inlineStr">
        <is>
          <t>A police inspector under the same command.</t>
        </is>
      </c>
      <c r="J736" s="5" t="inlineStr">
        <is>
          <t>Not documented.</t>
        </is>
      </c>
      <c r="K736" s="19" t="inlineStr">
        <is>
          <t>Credited as Inspector Sonam, one of several police parts in a cast list the article supports with no plot.</t>
        </is>
      </c>
      <c r="L736" s="5" t="n"/>
      <c r="M736" s="5" t="inlineStr">
        <is>
          <t>SOURCE-121</t>
        </is>
      </c>
    </row>
    <row r="737" ht="64" customHeight="1">
      <c r="A737" s="15" t="inlineStr">
        <is>
          <t>CAST-736</t>
        </is>
      </c>
      <c r="B737" s="18" t="inlineStr">
        <is>
          <t>FILM-145</t>
        </is>
      </c>
      <c r="C737" s="5" t="inlineStr">
        <is>
          <t>Raiszaada</t>
        </is>
      </c>
      <c r="D737" s="17" t="n">
        <v>1991</v>
      </c>
      <c r="E737" s="5" t="inlineStr">
        <is>
          <t>Gulshan Grover</t>
        </is>
      </c>
      <c r="F737" s="5" t="inlineStr">
        <is>
          <t>Inspector Wafadaar Gupta</t>
        </is>
      </c>
      <c r="G737" s="5" t="inlineStr">
        <is>
          <t>Antagonist</t>
        </is>
      </c>
      <c r="H737" s="5" t="inlineStr">
        <is>
          <t>Medium</t>
        </is>
      </c>
      <c r="I737" s="5" t="inlineStr">
        <is>
          <t>A fellow officer, the name suggesting the ironic loyalty such parts usually carry; the article confirms nothing.</t>
        </is>
      </c>
      <c r="J737" s="5" t="inlineStr">
        <is>
          <t>Not documented.</t>
        </is>
      </c>
      <c r="K737" s="19" t="inlineStr">
        <is>
          <t>Credited as Inspector Wafadaar Gupta. With no plot section the article leaves the part's allegiance unrecorded.</t>
        </is>
      </c>
      <c r="L737" s="5" t="n"/>
      <c r="M737" s="5" t="inlineStr">
        <is>
          <t>SOURCE-121</t>
        </is>
      </c>
    </row>
    <row r="738" ht="79" customHeight="1">
      <c r="A738" s="15" t="inlineStr">
        <is>
          <t>CAST-737</t>
        </is>
      </c>
      <c r="B738" s="18" t="inlineStr">
        <is>
          <t>FILM-146</t>
        </is>
      </c>
      <c r="C738" s="5" t="inlineStr">
        <is>
          <t>Akayla</t>
        </is>
      </c>
      <c r="D738" s="17" t="n">
        <v>1991</v>
      </c>
      <c r="E738" s="5" t="inlineStr">
        <is>
          <t>Amitabh Bachchan</t>
        </is>
      </c>
      <c r="F738" s="5" t="inlineStr">
        <is>
          <t>Inspector Vijay Verma</t>
        </is>
      </c>
      <c r="G738" s="5" t="inlineStr">
        <is>
          <t>Co-lead</t>
        </is>
      </c>
      <c r="H738" s="5" t="inlineStr">
        <is>
          <t>Major</t>
        </is>
      </c>
      <c r="I738" s="5" t="inlineStr">
        <is>
          <t>The CID inspector serving under Kapoor's commissioner, in the last of the many films the two made together.</t>
        </is>
      </c>
      <c r="J738" s="5" t="inlineStr">
        <is>
          <t>Holds the film's romance, with Sapna. Romance presence for Kapoor's part is recorded as None.</t>
        </is>
      </c>
      <c r="K738" s="19" t="inlineStr">
        <is>
          <t>A lonely CID inspector whose only family is a brother studying abroad, who gives up Seema for his friend Shekhar, fails to hold the criminal Tony because of a video alibi, works out that Tony has a mentally handicapped twin covering for him, and loses both friends to Tony's revenge.</t>
        </is>
      </c>
      <c r="L738" s="5" t="n"/>
      <c r="M738" s="5" t="inlineStr">
        <is>
          <t>SOURCE-120</t>
        </is>
      </c>
    </row>
    <row r="739" ht="49" customHeight="1">
      <c r="A739" s="15" t="inlineStr">
        <is>
          <t>CAST-738</t>
        </is>
      </c>
      <c r="B739" s="18" t="inlineStr">
        <is>
          <t>FILM-146</t>
        </is>
      </c>
      <c r="C739" s="5" t="inlineStr">
        <is>
          <t>Akayla</t>
        </is>
      </c>
      <c r="D739" s="17" t="n">
        <v>1991</v>
      </c>
      <c r="E739" s="5" t="inlineStr">
        <is>
          <t>Jackie Shroff</t>
        </is>
      </c>
      <c r="F739" s="5" t="inlineStr">
        <is>
          <t>Shekhar</t>
        </is>
      </c>
      <c r="G739" s="5" t="inlineStr">
        <is>
          <t>Friend</t>
        </is>
      </c>
      <c r="H739" s="5" t="inlineStr">
        <is>
          <t>Major</t>
        </is>
      </c>
      <c r="I739" s="5" t="inlineStr">
        <is>
          <t>Outside the commissioner's office; one of the two friends whose murder drives the film's second half.</t>
        </is>
      </c>
      <c r="J739" s="5" t="inlineStr">
        <is>
          <t>Married to the woman Vijay gave up for him.</t>
        </is>
      </c>
      <c r="K739" s="19" t="inlineStr">
        <is>
          <t>Vijay's friend, married to Seema, who shelters the escaped Tony without knowing what he is and is killed with his wife when he tries to telephone Vijay.</t>
        </is>
      </c>
      <c r="L739" s="5" t="n"/>
      <c r="M739" s="5" t="inlineStr">
        <is>
          <t>SOURCE-120</t>
        </is>
      </c>
    </row>
    <row r="740" ht="49" customHeight="1">
      <c r="A740" s="15" t="inlineStr">
        <is>
          <t>CAST-739</t>
        </is>
      </c>
      <c r="B740" s="18" t="inlineStr">
        <is>
          <t>FILM-146</t>
        </is>
      </c>
      <c r="C740" s="5" t="inlineStr">
        <is>
          <t>Akayla</t>
        </is>
      </c>
      <c r="D740" s="17" t="n">
        <v>1991</v>
      </c>
      <c r="E740" s="5" t="inlineStr">
        <is>
          <t>Meenakshi Seshadri</t>
        </is>
      </c>
      <c r="F740" s="5" t="inlineStr">
        <is>
          <t>Seema</t>
        </is>
      </c>
      <c r="G740" s="5" t="inlineStr">
        <is>
          <t>Supporting</t>
        </is>
      </c>
      <c r="H740" s="5" t="inlineStr">
        <is>
          <t>Major</t>
        </is>
      </c>
      <c r="I740" s="5" t="inlineStr">
        <is>
          <t>No documented dealings with the commissioner.</t>
        </is>
      </c>
      <c r="J740" s="5" t="inlineStr">
        <is>
          <t>The renounced romance: Vijay gave her up for Shekhar without knowing she wanted him.</t>
        </is>
      </c>
      <c r="K740" s="19" t="inlineStr">
        <is>
          <t>Vijay's love interest, whom he surrendered to his friend Shekhar not knowing she returned his feeling, and who is killed with her husband by the twins.</t>
        </is>
      </c>
      <c r="L740" s="5" t="n"/>
      <c r="M740" s="5" t="inlineStr">
        <is>
          <t>SOURCE-120</t>
        </is>
      </c>
    </row>
    <row r="741" ht="34" customHeight="1">
      <c r="A741" s="15" t="inlineStr">
        <is>
          <t>CAST-740</t>
        </is>
      </c>
      <c r="B741" s="18" t="inlineStr">
        <is>
          <t>FILM-146</t>
        </is>
      </c>
      <c r="C741" s="5" t="inlineStr">
        <is>
          <t>Akayla</t>
        </is>
      </c>
      <c r="D741" s="17" t="n">
        <v>1991</v>
      </c>
      <c r="E741" s="5" t="inlineStr">
        <is>
          <t>Amrita Singh</t>
        </is>
      </c>
      <c r="F741" s="5" t="inlineStr">
        <is>
          <t>Sapna</t>
        </is>
      </c>
      <c r="G741" s="5" t="inlineStr">
        <is>
          <t>Supporting</t>
        </is>
      </c>
      <c r="H741" s="5" t="inlineStr">
        <is>
          <t>Major</t>
        </is>
      </c>
      <c r="I741" s="5" t="inlineStr">
        <is>
          <t>No documented dealings with the commissioner.</t>
        </is>
      </c>
      <c r="J741" s="5" t="inlineStr">
        <is>
          <t>The romance Vijay does keep, and the comfort after the murders.</t>
        </is>
      </c>
      <c r="K741" s="19" t="inlineStr">
        <is>
          <t>A nightclub dancer who becomes close to Vijay, comforts him after his friends are killed, and agrees with him to marry.</t>
        </is>
      </c>
      <c r="L741" s="5" t="n"/>
      <c r="M741" s="5" t="inlineStr">
        <is>
          <t>SOURCE-120</t>
        </is>
      </c>
    </row>
    <row r="742" ht="64" customHeight="1">
      <c r="A742" s="15" t="inlineStr">
        <is>
          <t>CAST-741</t>
        </is>
      </c>
      <c r="B742" s="18" t="inlineStr">
        <is>
          <t>FILM-146</t>
        </is>
      </c>
      <c r="C742" s="5" t="inlineStr">
        <is>
          <t>Akayla</t>
        </is>
      </c>
      <c r="D742" s="17" t="n">
        <v>1991</v>
      </c>
      <c r="E742" s="5" t="inlineStr">
        <is>
          <t>Keith Stevenson</t>
        </is>
      </c>
      <c r="F742" s="5" t="inlineStr">
        <is>
          <t>Tony / Jojo</t>
        </is>
      </c>
      <c r="G742" s="5" t="inlineStr">
        <is>
          <t>Antagonist</t>
        </is>
      </c>
      <c r="H742" s="5" t="inlineStr">
        <is>
          <t>Major</t>
        </is>
      </c>
      <c r="I742" s="5" t="inlineStr">
        <is>
          <t>The criminal the commissioner's force cannot hold, the released-on-video-alibi case being the failure the film opens from.</t>
        </is>
      </c>
      <c r="J742" s="5" t="inlineStr">
        <is>
          <t>No part in it.</t>
        </is>
      </c>
      <c r="K742" s="19" t="inlineStr">
        <is>
          <t>A criminal mastermind released from custody by a videotape alibi, and his mentally handicapped twin brother Jojo who covers for him each time he commits a crime; Jojo's killing turns Tony on Vijay's own family.</t>
        </is>
      </c>
      <c r="L742" s="5" t="n"/>
      <c r="M742" s="5" t="inlineStr">
        <is>
          <t>SOURCE-120</t>
        </is>
      </c>
    </row>
    <row r="743" ht="49" customHeight="1">
      <c r="A743" s="15" t="inlineStr">
        <is>
          <t>CAST-742</t>
        </is>
      </c>
      <c r="B743" s="18" t="inlineStr">
        <is>
          <t>FILM-146</t>
        </is>
      </c>
      <c r="C743" s="5" t="inlineStr">
        <is>
          <t>Akayla</t>
        </is>
      </c>
      <c r="D743" s="17" t="n">
        <v>1991</v>
      </c>
      <c r="E743" s="5" t="inlineStr">
        <is>
          <t>Aditya Pancholi</t>
        </is>
      </c>
      <c r="F743" s="5" t="inlineStr">
        <is>
          <t>Ajay Verma</t>
        </is>
      </c>
      <c r="G743" s="5" t="inlineStr">
        <is>
          <t>Family</t>
        </is>
      </c>
      <c r="H743" s="5" t="inlineStr">
        <is>
          <t>Medium</t>
        </is>
      </c>
      <c r="I743" s="5" t="inlineStr">
        <is>
          <t>No documented dealings with the commissioner; he is the inspector's only family.</t>
        </is>
      </c>
      <c r="J743" s="5" t="inlineStr">
        <is>
          <t>No part in it.</t>
        </is>
      </c>
      <c r="K743" s="19" t="inlineStr">
        <is>
          <t>Vijay's younger brother, studying abroad, and the last hold Tony has over him after the friends are dead.</t>
        </is>
      </c>
      <c r="L743" s="5" t="n"/>
      <c r="M743" s="5" t="inlineStr">
        <is>
          <t>SOURCE-120</t>
        </is>
      </c>
    </row>
    <row r="744" ht="49" customHeight="1">
      <c r="A744" s="15" t="inlineStr">
        <is>
          <t>CAST-743</t>
        </is>
      </c>
      <c r="B744" s="18" t="inlineStr">
        <is>
          <t>FILM-146</t>
        </is>
      </c>
      <c r="C744" s="5" t="inlineStr">
        <is>
          <t>Akayla</t>
        </is>
      </c>
      <c r="D744" s="17" t="n">
        <v>1991</v>
      </c>
      <c r="E744" s="5" t="inlineStr">
        <is>
          <t>Helen</t>
        </is>
      </c>
      <c r="F744" s="5" t="inlineStr">
        <is>
          <t>Monica</t>
        </is>
      </c>
      <c r="G744" s="5" t="inlineStr">
        <is>
          <t>Supporting</t>
        </is>
      </c>
      <c r="H744" s="5" t="inlineStr">
        <is>
          <t>Minor</t>
        </is>
      </c>
      <c r="I744" s="5" t="inlineStr">
        <is>
          <t>Not documented by the article's summary.</t>
        </is>
      </c>
      <c r="J744" s="5" t="inlineStr">
        <is>
          <t>No documented part in it.</t>
        </is>
      </c>
      <c r="K744" s="19" t="inlineStr">
        <is>
          <t>Credited as Monica, in one of Helen's last credited parts, more than thirty years after she first appeared opposite Kapoor.</t>
        </is>
      </c>
      <c r="L744" s="5" t="n"/>
      <c r="M744" s="5" t="inlineStr">
        <is>
          <t>SOURCE-120</t>
        </is>
      </c>
    </row>
    <row r="745" ht="64" customHeight="1">
      <c r="A745" s="15" t="inlineStr">
        <is>
          <t>CAST-744</t>
        </is>
      </c>
      <c r="B745" s="18" t="inlineStr">
        <is>
          <t>FILM-147</t>
        </is>
      </c>
      <c r="C745" s="5" t="inlineStr">
        <is>
          <t>Touhean</t>
        </is>
      </c>
      <c r="D745" s="17" t="n">
        <v>1992</v>
      </c>
      <c r="E745" s="5" t="inlineStr">
        <is>
          <t>Dimple Kapadia</t>
        </is>
      </c>
      <c r="F745" s="5" t="inlineStr">
        <is>
          <t>Deepika</t>
        </is>
      </c>
      <c r="G745" s="5" t="inlineStr">
        <is>
          <t>Co-lead</t>
        </is>
      </c>
      <c r="H745" s="5" t="inlineStr">
        <is>
          <t>Major</t>
        </is>
      </c>
      <c r="I745" s="5" t="inlineStr">
        <is>
          <t>First among the film's women, in a cast where Kapoor plays a doctor. The article has no plot section, so the relation is undocumented.</t>
        </is>
      </c>
      <c r="J745" s="5" t="inlineStr">
        <is>
          <t>Not documented. Romance presence is left blank for the film and no Romances row was created.</t>
        </is>
      </c>
      <c r="K745" s="19" t="inlineStr">
        <is>
          <t>Credited as Deepika, third-billed. The article carries a cast list and no synopsis.</t>
        </is>
      </c>
      <c r="L745" s="5" t="n"/>
      <c r="M745" s="5" t="inlineStr">
        <is>
          <t>SOURCE-118</t>
        </is>
      </c>
    </row>
    <row r="746" ht="49" customHeight="1">
      <c r="A746" s="15" t="inlineStr">
        <is>
          <t>CAST-745</t>
        </is>
      </c>
      <c r="B746" s="18" t="inlineStr">
        <is>
          <t>FILM-147</t>
        </is>
      </c>
      <c r="C746" s="5" t="inlineStr">
        <is>
          <t>Touhean</t>
        </is>
      </c>
      <c r="D746" s="17" t="n">
        <v>1992</v>
      </c>
      <c r="E746" s="5" t="inlineStr">
        <is>
          <t>Raj Babbar</t>
        </is>
      </c>
      <c r="F746" s="5" t="inlineStr">
        <is>
          <t>Dr. Sharad</t>
        </is>
      </c>
      <c r="G746" s="5" t="inlineStr">
        <is>
          <t>Co-lead</t>
        </is>
      </c>
      <c r="H746" s="5" t="inlineStr">
        <is>
          <t>Major</t>
        </is>
      </c>
      <c r="I746" s="5" t="inlineStr">
        <is>
          <t>A second doctor alongside Kapoor's Dr. Rizvi, with Satish Shah credited as a third.</t>
        </is>
      </c>
      <c r="J746" s="5" t="inlineStr">
        <is>
          <t>Not documented.</t>
        </is>
      </c>
      <c r="K746" s="19" t="inlineStr">
        <is>
          <t>Credited as Dr. Sharad, one of three doctors in the cast list of a film the article does not summarise.</t>
        </is>
      </c>
      <c r="L746" s="5" t="n"/>
      <c r="M746" s="5" t="inlineStr">
        <is>
          <t>SOURCE-118</t>
        </is>
      </c>
    </row>
    <row r="747" ht="49" customHeight="1">
      <c r="A747" s="15" t="inlineStr">
        <is>
          <t>CAST-746</t>
        </is>
      </c>
      <c r="B747" s="18" t="inlineStr">
        <is>
          <t>FILM-147</t>
        </is>
      </c>
      <c r="C747" s="5" t="inlineStr">
        <is>
          <t>Touhean</t>
        </is>
      </c>
      <c r="D747" s="17" t="n">
        <v>1992</v>
      </c>
      <c r="E747" s="5" t="inlineStr">
        <is>
          <t>Padmini Kolhapure</t>
        </is>
      </c>
      <c r="F747" s="5" t="inlineStr">
        <is>
          <t>Sansani / Sandhya</t>
        </is>
      </c>
      <c r="G747" s="5" t="inlineStr">
        <is>
          <t>Supporting</t>
        </is>
      </c>
      <c r="H747" s="5" t="inlineStr">
        <is>
          <t>Major</t>
        </is>
      </c>
      <c r="I747" s="5" t="inlineStr">
        <is>
          <t>Not documented; her double credit suggests an assumed identity the article does not explain.</t>
        </is>
      </c>
      <c r="J747" s="5" t="inlineStr">
        <is>
          <t>Not documented.</t>
        </is>
      </c>
      <c r="K747" s="19" t="inlineStr">
        <is>
          <t>A double credit as Sansani and Sandhya, fourteen years after she played the young Roopa opposite Kapoor in Satyam Shivam Sundaram. The article has no plot section.</t>
        </is>
      </c>
      <c r="L747" s="5" t="n"/>
      <c r="M747" s="5" t="inlineStr">
        <is>
          <t>SOURCE-118</t>
        </is>
      </c>
    </row>
    <row r="748" ht="34" customHeight="1">
      <c r="A748" s="15" t="inlineStr">
        <is>
          <t>CAST-747</t>
        </is>
      </c>
      <c r="B748" s="18" t="inlineStr">
        <is>
          <t>FILM-147</t>
        </is>
      </c>
      <c r="C748" s="5" t="inlineStr">
        <is>
          <t>Touhean</t>
        </is>
      </c>
      <c r="D748" s="17" t="n">
        <v>1992</v>
      </c>
      <c r="E748" s="5" t="inlineStr">
        <is>
          <t>Shakti Kapoor</t>
        </is>
      </c>
      <c r="F748" s="5" t="inlineStr">
        <is>
          <t>Bihari</t>
        </is>
      </c>
      <c r="G748" s="5" t="inlineStr">
        <is>
          <t>Antagonist</t>
        </is>
      </c>
      <c r="H748" s="5" t="inlineStr">
        <is>
          <t>Major</t>
        </is>
      </c>
      <c r="I748" s="5" t="inlineStr">
        <is>
          <t>Not documented.</t>
        </is>
      </c>
      <c r="J748" s="5" t="inlineStr">
        <is>
          <t>Not documented.</t>
        </is>
      </c>
      <c r="K748" s="19" t="inlineStr">
        <is>
          <t>Credited as Bihari, in a film whose title means 'insult' and whose plot the article does not record.</t>
        </is>
      </c>
      <c r="L748" s="5" t="n"/>
      <c r="M748" s="5" t="inlineStr">
        <is>
          <t>SOURCE-118</t>
        </is>
      </c>
    </row>
    <row r="749" ht="34" customHeight="1">
      <c r="A749" s="15" t="inlineStr">
        <is>
          <t>CAST-748</t>
        </is>
      </c>
      <c r="B749" s="18" t="inlineStr">
        <is>
          <t>FILM-147</t>
        </is>
      </c>
      <c r="C749" s="5" t="inlineStr">
        <is>
          <t>Touhean</t>
        </is>
      </c>
      <c r="D749" s="17" t="n">
        <v>1992</v>
      </c>
      <c r="E749" s="5" t="inlineStr">
        <is>
          <t>Aruna Irani</t>
        </is>
      </c>
      <c r="F749" s="5" t="inlineStr">
        <is>
          <t>Margaret</t>
        </is>
      </c>
      <c r="G749" s="5" t="inlineStr">
        <is>
          <t>Supporting</t>
        </is>
      </c>
      <c r="H749" s="5" t="inlineStr">
        <is>
          <t>Medium</t>
        </is>
      </c>
      <c r="I749" s="5" t="inlineStr">
        <is>
          <t>Not documented.</t>
        </is>
      </c>
      <c r="J749" s="5" t="inlineStr">
        <is>
          <t>Not documented.</t>
        </is>
      </c>
      <c r="K749" s="19" t="inlineStr">
        <is>
          <t>Credited as Margaret. The article gives no synopsis to place the part.</t>
        </is>
      </c>
      <c r="L749" s="5" t="n"/>
      <c r="M749" s="5" t="inlineStr">
        <is>
          <t>SOURCE-118</t>
        </is>
      </c>
    </row>
    <row r="750" ht="49" customHeight="1">
      <c r="A750" s="15" t="inlineStr">
        <is>
          <t>CAST-749</t>
        </is>
      </c>
      <c r="B750" s="18" t="inlineStr">
        <is>
          <t>FILM-147</t>
        </is>
      </c>
      <c r="C750" s="5" t="inlineStr">
        <is>
          <t>Touhean</t>
        </is>
      </c>
      <c r="D750" s="17" t="n">
        <v>1992</v>
      </c>
      <c r="E750" s="5" t="inlineStr">
        <is>
          <t>Satish Shah</t>
        </is>
      </c>
      <c r="F750" s="5" t="inlineStr">
        <is>
          <t>Dr. Mittal</t>
        </is>
      </c>
      <c r="G750" s="5" t="inlineStr">
        <is>
          <t>Supporting</t>
        </is>
      </c>
      <c r="H750" s="5" t="inlineStr">
        <is>
          <t>Medium</t>
        </is>
      </c>
      <c r="I750" s="5" t="inlineStr">
        <is>
          <t>The third credited doctor, alongside Kapoor's Rizvi and Raj Babbar's Sharad.</t>
        </is>
      </c>
      <c r="J750" s="5" t="inlineStr">
        <is>
          <t>Not documented.</t>
        </is>
      </c>
      <c r="K750" s="19" t="inlineStr">
        <is>
          <t>Credited as Dr. Mittal, completing a trio of doctors in a cast list the article supports with no plot.</t>
        </is>
      </c>
      <c r="L750" s="5" t="n"/>
      <c r="M750" s="5" t="inlineStr">
        <is>
          <t>SOURCE-118</t>
        </is>
      </c>
    </row>
    <row r="751" ht="64" customHeight="1">
      <c r="A751" s="15" t="inlineStr">
        <is>
          <t>CAST-750</t>
        </is>
      </c>
      <c r="B751" s="18" t="inlineStr">
        <is>
          <t>FILM-148</t>
        </is>
      </c>
      <c r="C751" s="5" t="inlineStr">
        <is>
          <t>In Custody</t>
        </is>
      </c>
      <c r="D751" s="17" t="n">
        <v>1993</v>
      </c>
      <c r="E751" s="5" t="inlineStr">
        <is>
          <t>Om Puri</t>
        </is>
      </c>
      <c r="F751" s="5" t="inlineStr">
        <is>
          <t>Deven Sharma</t>
        </is>
      </c>
      <c r="G751" s="5" t="inlineStr">
        <is>
          <t>Co-lead</t>
        </is>
      </c>
      <c r="H751" s="5" t="inlineStr">
        <is>
          <t>Major</t>
        </is>
      </c>
      <c r="I751" s="5" t="inlineStr">
        <is>
          <t>Second-billed opposite Kapoor's Urdu poet Nur. The film article has no plot section, so the relation between the two is not documented here.</t>
        </is>
      </c>
      <c r="J751" s="5" t="inlineStr">
        <is>
          <t>Not documented. Romance presence is left blank for the film and no Romances row was created.</t>
        </is>
      </c>
      <c r="K751" s="19" t="inlineStr">
        <is>
          <t>Credited as Deven Sharma, with Neena Gupta as his wife Sarla, second-billed in the Merchant Ivory adaptation of Anita Desai's novel. The article gives a cast list and no synopsis.</t>
        </is>
      </c>
      <c r="L751" s="5" t="n"/>
      <c r="M751" s="5" t="inlineStr">
        <is>
          <t>SOURCE-122</t>
        </is>
      </c>
    </row>
    <row r="752" ht="79" customHeight="1">
      <c r="A752" s="15" t="inlineStr">
        <is>
          <t>CAST-751</t>
        </is>
      </c>
      <c r="B752" s="18" t="inlineStr">
        <is>
          <t>FILM-148</t>
        </is>
      </c>
      <c r="C752" s="5" t="inlineStr">
        <is>
          <t>In Custody</t>
        </is>
      </c>
      <c r="D752" s="17" t="n">
        <v>1993</v>
      </c>
      <c r="E752" s="5" t="inlineStr">
        <is>
          <t>Shabana Azmi</t>
        </is>
      </c>
      <c r="F752" s="5" t="inlineStr">
        <is>
          <t>Imtiaz Begum</t>
        </is>
      </c>
      <c r="G752" s="5" t="inlineStr">
        <is>
          <t>Co-lead</t>
        </is>
      </c>
      <c r="H752" s="5" t="inlineStr">
        <is>
          <t>Major</t>
        </is>
      </c>
      <c r="I752" s="5" t="inlineStr">
        <is>
          <t>One of two women credited as Begum in the poet's household; the article carries no plot, so which of them stands in what relation to Nur is not stated.</t>
        </is>
      </c>
      <c r="J752" s="5" t="inlineStr">
        <is>
          <t>Not documented, which is why no Romances row was created for the film.</t>
        </is>
      </c>
      <c r="K752" s="19" t="inlineStr">
        <is>
          <t>Credited as Imtiaz Begum, third-billed, one of two Begums in the cast list of a film about an Urdu poet in decline.</t>
        </is>
      </c>
      <c r="L752" s="5" t="n"/>
      <c r="M752" s="5" t="inlineStr">
        <is>
          <t>SOURCE-122</t>
        </is>
      </c>
    </row>
    <row r="753" ht="49" customHeight="1">
      <c r="A753" s="15" t="inlineStr">
        <is>
          <t>CAST-752</t>
        </is>
      </c>
      <c r="B753" s="18" t="inlineStr">
        <is>
          <t>FILM-148</t>
        </is>
      </c>
      <c r="C753" s="5" t="inlineStr">
        <is>
          <t>In Custody</t>
        </is>
      </c>
      <c r="D753" s="17" t="n">
        <v>1993</v>
      </c>
      <c r="E753" s="5" t="inlineStr">
        <is>
          <t>Sushma Seth</t>
        </is>
      </c>
      <c r="F753" s="5" t="inlineStr">
        <is>
          <t>Safiya Begum</t>
        </is>
      </c>
      <c r="G753" s="5" t="inlineStr">
        <is>
          <t>Family</t>
        </is>
      </c>
      <c r="H753" s="5" t="inlineStr">
        <is>
          <t>Major</t>
        </is>
      </c>
      <c r="I753" s="5" t="inlineStr">
        <is>
          <t>The second Begum credited in the poet's household; the article does not set out either woman's position.</t>
        </is>
      </c>
      <c r="J753" s="5" t="inlineStr">
        <is>
          <t>Not documented.</t>
        </is>
      </c>
      <c r="K753" s="19" t="inlineStr">
        <is>
          <t>Credited as Safiya Begum, the other of the two Begums in the household of Kapoor's Nur Shahjenabadi. The article has no plot section.</t>
        </is>
      </c>
      <c r="L753" s="5" t="n"/>
      <c r="M753" s="5" t="inlineStr">
        <is>
          <t>SOURCE-122</t>
        </is>
      </c>
    </row>
    <row r="754" ht="49" customHeight="1">
      <c r="A754" s="15" t="inlineStr">
        <is>
          <t>CAST-753</t>
        </is>
      </c>
      <c r="B754" s="18" t="inlineStr">
        <is>
          <t>FILM-148</t>
        </is>
      </c>
      <c r="C754" s="5" t="inlineStr">
        <is>
          <t>In Custody</t>
        </is>
      </c>
      <c r="D754" s="17" t="n">
        <v>1993</v>
      </c>
      <c r="E754" s="5" t="inlineStr">
        <is>
          <t>Neena Gupta</t>
        </is>
      </c>
      <c r="F754" s="5" t="inlineStr">
        <is>
          <t>Sarla Sharma</t>
        </is>
      </c>
      <c r="G754" s="5" t="inlineStr">
        <is>
          <t>Supporting</t>
        </is>
      </c>
      <c r="H754" s="5" t="inlineStr">
        <is>
          <t>Medium</t>
        </is>
      </c>
      <c r="I754" s="5" t="inlineStr">
        <is>
          <t>No documented dealings with the poet; the cast list credits her as Deven's wife.</t>
        </is>
      </c>
      <c r="J754" s="5" t="inlineStr">
        <is>
          <t>Not documented.</t>
        </is>
      </c>
      <c r="K754" s="19" t="inlineStr">
        <is>
          <t>Credited as Sarla Sharma, Deven's wife, the one family relation the article's cast list establishes.</t>
        </is>
      </c>
      <c r="L754" s="5" t="n"/>
      <c r="M754" s="5" t="inlineStr">
        <is>
          <t>SOURCE-122</t>
        </is>
      </c>
    </row>
    <row r="755" ht="49" customHeight="1">
      <c r="A755" s="15" t="inlineStr">
        <is>
          <t>CAST-754</t>
        </is>
      </c>
      <c r="B755" s="18" t="inlineStr">
        <is>
          <t>FILM-148</t>
        </is>
      </c>
      <c r="C755" s="5" t="inlineStr">
        <is>
          <t>In Custody</t>
        </is>
      </c>
      <c r="D755" s="17" t="n">
        <v>1993</v>
      </c>
      <c r="E755" s="5" t="inlineStr">
        <is>
          <t>Amjad Khan</t>
        </is>
      </c>
      <c r="F755" s="5" t="inlineStr">
        <is>
          <t>Musician</t>
        </is>
      </c>
      <c r="G755" s="5" t="inlineStr">
        <is>
          <t>Supporting</t>
        </is>
      </c>
      <c r="H755" s="5" t="inlineStr">
        <is>
          <t>Medium</t>
        </is>
      </c>
      <c r="I755" s="5" t="inlineStr">
        <is>
          <t>Credited as a musician in the world around the poet; the article gives no plot to detail it.</t>
        </is>
      </c>
      <c r="J755" s="5" t="inlineStr">
        <is>
          <t>Not documented.</t>
        </is>
      </c>
      <c r="K755" s="19" t="inlineStr">
        <is>
          <t>Credited as a musician. Amjad Khan died in July 1992, before the film's release, making this among his last appearances.</t>
        </is>
      </c>
      <c r="L755" s="5" t="n"/>
      <c r="M755" s="5" t="inlineStr">
        <is>
          <t>SOURCE-122</t>
        </is>
      </c>
    </row>
    <row r="756" ht="34" customHeight="1">
      <c r="A756" s="15" t="inlineStr">
        <is>
          <t>CAST-755</t>
        </is>
      </c>
      <c r="B756" s="18" t="inlineStr">
        <is>
          <t>FILM-148</t>
        </is>
      </c>
      <c r="C756" s="5" t="inlineStr">
        <is>
          <t>In Custody</t>
        </is>
      </c>
      <c r="D756" s="17" t="n">
        <v>1993</v>
      </c>
      <c r="E756" s="5" t="inlineStr">
        <is>
          <t>Parikshat Sahni</t>
        </is>
      </c>
      <c r="F756" s="5" t="inlineStr">
        <is>
          <t>Siddiqui</t>
        </is>
      </c>
      <c r="G756" s="5" t="inlineStr">
        <is>
          <t>Supporting</t>
        </is>
      </c>
      <c r="H756" s="5" t="inlineStr">
        <is>
          <t>Medium</t>
        </is>
      </c>
      <c r="I756" s="5" t="inlineStr">
        <is>
          <t>Not documented.</t>
        </is>
      </c>
      <c r="J756" s="5" t="inlineStr">
        <is>
          <t>Not documented.</t>
        </is>
      </c>
      <c r="K756" s="19" t="inlineStr">
        <is>
          <t>Credited as Siddiqui. The article carries no plot section, so the part's function is unrecorded.</t>
        </is>
      </c>
      <c r="L756" s="5" t="n"/>
      <c r="M756" s="5" t="inlineStr">
        <is>
          <t>SOURCE-122</t>
        </is>
      </c>
    </row>
    <row r="757" ht="34" customHeight="1">
      <c r="A757" s="15" t="inlineStr">
        <is>
          <t>CAST-756</t>
        </is>
      </c>
      <c r="B757" s="18" t="inlineStr">
        <is>
          <t>FILM-148</t>
        </is>
      </c>
      <c r="C757" s="5" t="inlineStr">
        <is>
          <t>In Custody</t>
        </is>
      </c>
      <c r="D757" s="17" t="n">
        <v>1993</v>
      </c>
      <c r="E757" s="5" t="inlineStr">
        <is>
          <t>Tinnu Anand</t>
        </is>
      </c>
      <c r="F757" s="5" t="inlineStr">
        <is>
          <t>Murad</t>
        </is>
      </c>
      <c r="G757" s="5" t="inlineStr">
        <is>
          <t>Supporting</t>
        </is>
      </c>
      <c r="H757" s="5" t="inlineStr">
        <is>
          <t>Medium</t>
        </is>
      </c>
      <c r="I757" s="5" t="inlineStr">
        <is>
          <t>Not documented.</t>
        </is>
      </c>
      <c r="J757" s="5" t="inlineStr">
        <is>
          <t>Not documented.</t>
        </is>
      </c>
      <c r="K757" s="19" t="inlineStr">
        <is>
          <t>Credited as Murad, last in the article's cast list for the film.</t>
        </is>
      </c>
      <c r="L757" s="5" t="n"/>
      <c r="M757" s="5" t="inlineStr">
        <is>
          <t>SOURCE-122</t>
        </is>
      </c>
    </row>
    <row r="758" ht="79" customHeight="1">
      <c r="A758" s="15" t="inlineStr">
        <is>
          <t>CAST-757</t>
        </is>
      </c>
      <c r="B758" s="18" t="inlineStr">
        <is>
          <t>FILM-151</t>
        </is>
      </c>
      <c r="C758" s="5" t="inlineStr">
        <is>
          <t>Ghar Bazar</t>
        </is>
      </c>
      <c r="D758" s="17" t="n">
        <v>1998</v>
      </c>
      <c r="E758" s="5" t="inlineStr">
        <is>
          <t>Sharmila Tagore</t>
        </is>
      </c>
      <c r="F758" s="5" t="inlineStr">
        <is>
          <t>Gul</t>
        </is>
      </c>
      <c r="G758" s="5" t="inlineStr">
        <is>
          <t>Co-lead</t>
        </is>
      </c>
      <c r="H758" s="5" t="inlineStr">
        <is>
          <t>Major</t>
        </is>
      </c>
      <c r="I758" s="5" t="inlineStr">
        <is>
          <t>First-billed in a film where Kapoor's Amar is a special appearance. The article has no plot section, so the relation is undocumented. Their last film together, of many.</t>
        </is>
      </c>
      <c r="J758" s="5" t="inlineStr">
        <is>
          <t>Not documented. Romance presence is left blank for the film and no Romances row was created.</t>
        </is>
      </c>
      <c r="K758" s="19" t="inlineStr">
        <is>
          <t>Credited as Gul and billed first. The article carries a cast list and no synopsis. This was Kapoor's last acting appearance, and the last of his many films opposite Sharmila Tagore.</t>
        </is>
      </c>
      <c r="L758" s="5" t="n"/>
      <c r="M758" s="5" t="inlineStr">
        <is>
          <t>SOURCE-126</t>
        </is>
      </c>
    </row>
    <row r="759" ht="79" customHeight="1">
      <c r="A759" s="15" t="inlineStr">
        <is>
          <t>CAST-758</t>
        </is>
      </c>
      <c r="B759" s="18" t="inlineStr">
        <is>
          <t>FILM-151</t>
        </is>
      </c>
      <c r="C759" s="5" t="inlineStr">
        <is>
          <t>Ghar Bazar</t>
        </is>
      </c>
      <c r="D759" s="17" t="n">
        <v>1998</v>
      </c>
      <c r="E759" s="5" t="inlineStr">
        <is>
          <t>Shekhar Suman</t>
        </is>
      </c>
      <c r="F759" s="5" t="inlineStr">
        <is>
          <t>Pandit Ravishankar Bhatt</t>
        </is>
      </c>
      <c r="G759" s="5" t="inlineStr">
        <is>
          <t>Co-lead</t>
        </is>
      </c>
      <c r="H759" s="5" t="inlineStr">
        <is>
          <t>Major</t>
        </is>
      </c>
      <c r="I759" s="5" t="inlineStr">
        <is>
          <t>Second-billed; the two had appeared together in Utsav fourteen years earlier, where Suman played the Brahmin Kapoor's character pursued the courtesan against.</t>
        </is>
      </c>
      <c r="J759" s="5" t="inlineStr">
        <is>
          <t>Not documented.</t>
        </is>
      </c>
      <c r="K759" s="19" t="inlineStr">
        <is>
          <t>Credited as Pandit Ravishankar Bhatt. The article gives no plot section.</t>
        </is>
      </c>
      <c r="L759" s="5" t="n"/>
      <c r="M759" s="5" t="inlineStr">
        <is>
          <t>SOURCE-126</t>
        </is>
      </c>
    </row>
    <row r="760" ht="49" customHeight="1">
      <c r="A760" s="15" t="inlineStr">
        <is>
          <t>CAST-759</t>
        </is>
      </c>
      <c r="B760" s="18" t="inlineStr">
        <is>
          <t>FILM-151</t>
        </is>
      </c>
      <c r="C760" s="5" t="inlineStr">
        <is>
          <t>Ghar Bazar</t>
        </is>
      </c>
      <c r="D760" s="17" t="n">
        <v>1998</v>
      </c>
      <c r="E760" s="5" t="inlineStr">
        <is>
          <t>Gulshan Grover</t>
        </is>
      </c>
      <c r="F760" s="5" t="inlineStr">
        <is>
          <t>Mohan</t>
        </is>
      </c>
      <c r="G760" s="5" t="inlineStr">
        <is>
          <t>Antagonist</t>
        </is>
      </c>
      <c r="H760" s="5" t="inlineStr">
        <is>
          <t>Medium</t>
        </is>
      </c>
      <c r="I760" s="5" t="inlineStr">
        <is>
          <t>Not documented.</t>
        </is>
      </c>
      <c r="J760" s="5" t="inlineStr">
        <is>
          <t>Not documented.</t>
        </is>
      </c>
      <c r="K760" s="19" t="inlineStr">
        <is>
          <t>Credited as Mohan. With no synopsis in the article the function is taken from the actor's standing casting rather than from evidence.</t>
        </is>
      </c>
      <c r="L760" s="5" t="n"/>
      <c r="M760" s="5" t="inlineStr">
        <is>
          <t>SOURCE-126</t>
        </is>
      </c>
    </row>
    <row r="761" ht="34" customHeight="1">
      <c r="A761" s="15" t="inlineStr">
        <is>
          <t>CAST-760</t>
        </is>
      </c>
      <c r="B761" s="18" t="inlineStr">
        <is>
          <t>FILM-151</t>
        </is>
      </c>
      <c r="C761" s="5" t="inlineStr">
        <is>
          <t>Ghar Bazar</t>
        </is>
      </c>
      <c r="D761" s="17" t="n">
        <v>1998</v>
      </c>
      <c r="E761" s="5" t="inlineStr">
        <is>
          <t>Nilu Phule</t>
        </is>
      </c>
      <c r="F761" s="5" t="inlineStr">
        <is>
          <t>Kishan Murari</t>
        </is>
      </c>
      <c r="G761" s="5" t="inlineStr">
        <is>
          <t>Supporting</t>
        </is>
      </c>
      <c r="H761" s="5" t="inlineStr">
        <is>
          <t>Medium</t>
        </is>
      </c>
      <c r="I761" s="5" t="inlineStr">
        <is>
          <t>Not documented.</t>
        </is>
      </c>
      <c r="J761" s="5" t="inlineStr">
        <is>
          <t>Not documented.</t>
        </is>
      </c>
      <c r="K761" s="19" t="inlineStr">
        <is>
          <t>Credited as Kishan Murari, in the last of his three films with Kapoor. The article has no plot section.</t>
        </is>
      </c>
      <c r="L761" s="5" t="n"/>
      <c r="M761" s="5" t="inlineStr">
        <is>
          <t>SOURCE-126</t>
        </is>
      </c>
    </row>
    <row r="762" ht="49" customHeight="1">
      <c r="A762" s="15" t="inlineStr">
        <is>
          <t>CAST-761</t>
        </is>
      </c>
      <c r="B762" s="18" t="inlineStr">
        <is>
          <t>FILM-151</t>
        </is>
      </c>
      <c r="C762" s="5" t="inlineStr">
        <is>
          <t>Ghar Bazar</t>
        </is>
      </c>
      <c r="D762" s="17" t="n">
        <v>1998</v>
      </c>
      <c r="E762" s="5" t="inlineStr">
        <is>
          <t>Mehmood</t>
        </is>
      </c>
      <c r="F762" s="5" t="inlineStr">
        <is>
          <t>Balaam Hyderabadi</t>
        </is>
      </c>
      <c r="G762" s="5" t="inlineStr">
        <is>
          <t>Comic support</t>
        </is>
      </c>
      <c r="H762" s="5" t="inlineStr">
        <is>
          <t>Medium</t>
        </is>
      </c>
      <c r="I762" s="5" t="inlineStr">
        <is>
          <t>Not documented; the two had worked together from Pyar Kiye Jaa in 1966 onward.</t>
        </is>
      </c>
      <c r="J762" s="5" t="inlineStr">
        <is>
          <t>Not documented.</t>
        </is>
      </c>
      <c r="K762" s="19" t="inlineStr">
        <is>
          <t>Credited as Balaam Hyderabadi, in a late comic part. The article gives no plot section.</t>
        </is>
      </c>
      <c r="L762" s="5" t="n"/>
      <c r="M762" s="5" t="inlineStr">
        <is>
          <t>SOURCE-126</t>
        </is>
      </c>
    </row>
    <row r="763" ht="64" customHeight="1">
      <c r="A763" s="15" t="inlineStr">
        <is>
          <t>CAST-762</t>
        </is>
      </c>
      <c r="B763" s="18" t="inlineStr">
        <is>
          <t>FILM-152</t>
        </is>
      </c>
      <c r="C763" s="5" t="inlineStr">
        <is>
          <t>Swami Vivekananda</t>
        </is>
      </c>
      <c r="D763" s="17" t="n">
        <v>1998</v>
      </c>
      <c r="E763" s="5" t="inlineStr">
        <is>
          <t>Sarvadaman D. Banerjee</t>
        </is>
      </c>
      <c r="F763" s="5" t="inlineStr">
        <is>
          <t>Swami Vivekananda</t>
        </is>
      </c>
      <c r="G763" s="5" t="inlineStr">
        <is>
          <t>Co-lead</t>
        </is>
      </c>
      <c r="H763" s="5" t="inlineStr">
        <is>
          <t>Major</t>
        </is>
      </c>
      <c r="I763" s="5" t="inlineStr">
        <is>
          <t>The film's subject; Kapoor's part is a cameo as a Rajasthani husband and the article's plot does not place it.</t>
        </is>
      </c>
      <c r="J763" s="5" t="inlineStr">
        <is>
          <t>Romance presence is left blank for Kapoor's part and no Romances row was created.</t>
        </is>
      </c>
      <c r="K763" s="19" t="inlineStr">
        <is>
          <t>Narendranath Datta, later Swami Vivekananda, followed from his birth through his childhood, his college acquaintance with European literature and the Brahmo Samaj, his meeting with Ramakrishna, and his return from the West in 1897.</t>
        </is>
      </c>
      <c r="L763" s="5" t="n"/>
      <c r="M763" s="5" t="inlineStr">
        <is>
          <t>SOURCE-124</t>
        </is>
      </c>
    </row>
    <row r="764" ht="49" customHeight="1">
      <c r="A764" s="15" t="inlineStr">
        <is>
          <t>CAST-763</t>
        </is>
      </c>
      <c r="B764" s="18" t="inlineStr">
        <is>
          <t>FILM-152</t>
        </is>
      </c>
      <c r="C764" s="5" t="inlineStr">
        <is>
          <t>Swami Vivekananda</t>
        </is>
      </c>
      <c r="D764" s="17" t="n">
        <v>1998</v>
      </c>
      <c r="E764" s="5" t="inlineStr">
        <is>
          <t>Mithun Chakraborty</t>
        </is>
      </c>
      <c r="F764" s="5" t="inlineStr">
        <is>
          <t>Ramakrishna</t>
        </is>
      </c>
      <c r="G764" s="5" t="inlineStr">
        <is>
          <t>Mentor</t>
        </is>
      </c>
      <c r="H764" s="5" t="inlineStr">
        <is>
          <t>Major</t>
        </is>
      </c>
      <c r="I764" s="5" t="inlineStr">
        <is>
          <t>No documented connection to Kapoor's cameo; he is the teacher the film's subject finds.</t>
        </is>
      </c>
      <c r="J764" s="5" t="inlineStr">
        <is>
          <t>No part in it.</t>
        </is>
      </c>
      <c r="K764" s="19" t="inlineStr">
        <is>
          <t>Ramakrishna, whom Narendranath meets at a friend's house and impresses with the devotional song 'Bina Prem Dhiraj Nahi', credited with Debashree Roy as Sarada Devi.</t>
        </is>
      </c>
      <c r="L764" s="5" t="n"/>
      <c r="M764" s="5" t="inlineStr">
        <is>
          <t>SOURCE-124</t>
        </is>
      </c>
    </row>
    <row r="765" ht="64" customHeight="1">
      <c r="A765" s="15" t="inlineStr">
        <is>
          <t>CAST-764</t>
        </is>
      </c>
      <c r="B765" s="18" t="inlineStr">
        <is>
          <t>FILM-152</t>
        </is>
      </c>
      <c r="C765" s="5" t="inlineStr">
        <is>
          <t>Swami Vivekananda</t>
        </is>
      </c>
      <c r="D765" s="17" t="n">
        <v>1998</v>
      </c>
      <c r="E765" s="5" t="inlineStr">
        <is>
          <t>Shammi Kapoor</t>
        </is>
      </c>
      <c r="F765" s="5" t="inlineStr">
        <is>
          <t>Mangal Singh</t>
        </is>
      </c>
      <c r="G765" s="5" t="inlineStr">
        <is>
          <t>Cameo</t>
        </is>
      </c>
      <c r="H765" s="5" t="inlineStr">
        <is>
          <t>Medium</t>
        </is>
      </c>
      <c r="I765" s="5" t="inlineStr">
        <is>
          <t>No documented scenes with Kapoor's cameo; the two brothers appear in the same large cast of guest parts, as they had in Ijaazat.</t>
        </is>
      </c>
      <c r="J765" s="5" t="inlineStr">
        <is>
          <t>No part in it.</t>
        </is>
      </c>
      <c r="K765" s="19" t="inlineStr">
        <is>
          <t>Mangal Singh, King of Alwar, one of many cameo appearances by established stars in a film that also casts Mammootty as a Maharaja, Hema Malini as the goddess Bhavatarini and Anupam Kher as a station master.</t>
        </is>
      </c>
      <c r="L765" s="5" t="n"/>
      <c r="M765" s="5" t="inlineStr">
        <is>
          <t>SOURCE-124</t>
        </is>
      </c>
    </row>
    <row r="766" ht="79" customHeight="1">
      <c r="A766" s="15" t="inlineStr">
        <is>
          <t>CAST-765</t>
        </is>
      </c>
      <c r="B766" s="18" t="inlineStr">
        <is>
          <t>FILM-152</t>
        </is>
      </c>
      <c r="C766" s="5" t="inlineStr">
        <is>
          <t>Swami Vivekananda</t>
        </is>
      </c>
      <c r="D766" s="17" t="n">
        <v>1998</v>
      </c>
      <c r="E766" s="5" t="inlineStr">
        <is>
          <t>Raakhee</t>
        </is>
      </c>
      <c r="F766" s="5" t="inlineStr">
        <is>
          <t>Rajasthani tribal woman</t>
        </is>
      </c>
      <c r="G766" s="5" t="inlineStr">
        <is>
          <t>Cameo</t>
        </is>
      </c>
      <c r="H766" s="5" t="inlineStr">
        <is>
          <t>Minor</t>
        </is>
      </c>
      <c r="I766" s="5" t="inlineStr">
        <is>
          <t>Credited as a Rajasthani tribal woman alongside Kapoor's credit as a Rajasthani husband; the article's plot does not confirm that the two parts are connected.</t>
        </is>
      </c>
      <c r="J766" s="5" t="inlineStr">
        <is>
          <t>Not documented.</t>
        </is>
      </c>
      <c r="K766" s="19" t="inlineStr">
        <is>
          <t>Credited as a Rajasthani tribal woman in one of the film's many cameos. Whether the part is paired with Kapoor's Rajasthani husband is not established by the article.</t>
        </is>
      </c>
      <c r="L766" s="5" t="n"/>
      <c r="M766" s="5" t="inlineStr">
        <is>
          <t>SOURCE-124</t>
        </is>
      </c>
    </row>
    <row r="767" ht="94" customHeight="1">
      <c r="A767" s="15" t="inlineStr">
        <is>
          <t>CAST-766</t>
        </is>
      </c>
      <c r="B767" s="18" t="inlineStr">
        <is>
          <t>FILM-153</t>
        </is>
      </c>
      <c r="C767" s="5" t="inlineStr">
        <is>
          <t>Jinnah</t>
        </is>
      </c>
      <c r="D767" s="17" t="n">
        <v>1998</v>
      </c>
      <c r="E767" s="5" t="inlineStr">
        <is>
          <t>Christopher Lee</t>
        </is>
      </c>
      <c r="F767" s="5" t="inlineStr">
        <is>
          <t>Muhammad Ali Jinnah</t>
        </is>
      </c>
      <c r="G767" s="5" t="inlineStr">
        <is>
          <t>Co-lead</t>
        </is>
      </c>
      <c r="H767" s="5" t="inlineStr">
        <is>
          <t>Major</t>
        </is>
      </c>
      <c r="I767" s="5" t="inlineStr">
        <is>
          <t>The film's subject, and Kapoor's direct scene partner: his narrator is the Guide who conducts Jinnah through his own life and questions him.</t>
        </is>
      </c>
      <c r="J767" s="5" t="inlineStr">
        <is>
          <t>Romance presence is recorded as None for Kapoor's part; the romance in the film is Jinnah's own marriage.</t>
        </is>
      </c>
      <c r="K767" s="19" t="inlineStr">
        <is>
          <t>Muhammad Ali Jinnah, taken by a guide through the events of his life: the Cromwell Conference demand for a Muslim homeland, his marriage to the Parsi Rattanbai, his political isolation, his daughter's marriage against his wishes, his rejection of the fanatics, Partition, and the governor-generalship.</t>
        </is>
      </c>
      <c r="L767" s="5" t="n"/>
      <c r="M767" s="5" t="inlineStr">
        <is>
          <t>SOURCE-123</t>
        </is>
      </c>
    </row>
    <row r="768" ht="79" customHeight="1">
      <c r="A768" s="15" t="inlineStr">
        <is>
          <t>CAST-767</t>
        </is>
      </c>
      <c r="B768" s="18" t="inlineStr">
        <is>
          <t>FILM-153</t>
        </is>
      </c>
      <c r="C768" s="5" t="inlineStr">
        <is>
          <t>Jinnah</t>
        </is>
      </c>
      <c r="D768" s="17" t="n">
        <v>1998</v>
      </c>
      <c r="E768" s="5" t="inlineStr">
        <is>
          <t>Indira Varma</t>
        </is>
      </c>
      <c r="F768" s="5" t="inlineStr">
        <is>
          <t>Rattanbai Jinnah</t>
        </is>
      </c>
      <c r="G768" s="5" t="inlineStr">
        <is>
          <t>Supporting</t>
        </is>
      </c>
      <c r="H768" s="5" t="inlineStr">
        <is>
          <t>Major</t>
        </is>
      </c>
      <c r="I768" s="5" t="inlineStr">
        <is>
          <t>Belongs to the flashbacks Kapoor's Guide recounts rather than to the frame he shares with Jinnah.</t>
        </is>
      </c>
      <c r="J768" s="5" t="inlineStr">
        <is>
          <t>The film's romance: a marriage across religion and age that politics strains and ends.</t>
        </is>
      </c>
      <c r="K768" s="19" t="inlineStr">
        <is>
          <t>The Parsi Rattanbai Petit, called Ruttie, married to Jinnah against her parents' wishes over religion and the age gap, estranged as he devotes himself to moderation amid Hindu-Muslim hostility, and dead of cancer after leaving him with their daughter.</t>
        </is>
      </c>
      <c r="L768" s="5" t="n"/>
      <c r="M768" s="5" t="inlineStr">
        <is>
          <t>SOURCE-123</t>
        </is>
      </c>
    </row>
    <row r="769" ht="49" customHeight="1">
      <c r="A769" s="15" t="inlineStr">
        <is>
          <t>CAST-768</t>
        </is>
      </c>
      <c r="B769" s="18" t="inlineStr">
        <is>
          <t>FILM-153</t>
        </is>
      </c>
      <c r="C769" s="5" t="inlineStr">
        <is>
          <t>Jinnah</t>
        </is>
      </c>
      <c r="D769" s="17" t="n">
        <v>1998</v>
      </c>
      <c r="E769" s="5" t="inlineStr">
        <is>
          <t>James Fox</t>
        </is>
      </c>
      <c r="F769" s="5" t="inlineStr">
        <is>
          <t>Lord Louis Mountbatten</t>
        </is>
      </c>
      <c r="G769" s="5" t="inlineStr">
        <is>
          <t>Authority figure</t>
        </is>
      </c>
      <c r="H769" s="5" t="inlineStr">
        <is>
          <t>Major</t>
        </is>
      </c>
      <c r="I769" s="5" t="inlineStr">
        <is>
          <t>In the 1947 scenes the Guide takes Jinnah to, rather than in dialogue with the narrator.</t>
        </is>
      </c>
      <c r="J769" s="5" t="inlineStr">
        <is>
          <t>No part in it.</t>
        </is>
      </c>
      <c r="K769" s="19" t="inlineStr">
        <is>
          <t>Lord Mountbatten, at the Cromwell Conference where Jinnah demands a homeland for Indian Muslims, credited with Maria Aitken as Edwina Mountbatten.</t>
        </is>
      </c>
      <c r="L769" s="5" t="n"/>
      <c r="M769" s="5" t="inlineStr">
        <is>
          <t>SOURCE-123</t>
        </is>
      </c>
    </row>
    <row r="770" ht="49" customHeight="1">
      <c r="A770" s="15" t="inlineStr">
        <is>
          <t>CAST-769</t>
        </is>
      </c>
      <c r="B770" s="18" t="inlineStr">
        <is>
          <t>FILM-153</t>
        </is>
      </c>
      <c r="C770" s="5" t="inlineStr">
        <is>
          <t>Jinnah</t>
        </is>
      </c>
      <c r="D770" s="17" t="n">
        <v>1998</v>
      </c>
      <c r="E770" s="5" t="inlineStr">
        <is>
          <t>Shireen Shah</t>
        </is>
      </c>
      <c r="F770" s="5" t="inlineStr">
        <is>
          <t>Fatima Jinnah</t>
        </is>
      </c>
      <c r="G770" s="5" t="inlineStr">
        <is>
          <t>Family</t>
        </is>
      </c>
      <c r="H770" s="5" t="inlineStr">
        <is>
          <t>Medium</t>
        </is>
      </c>
      <c r="I770" s="5" t="inlineStr">
        <is>
          <t>Named by Jinnah, when the Guide asks whom he loves most, alongside Ruttie and his daughter.</t>
        </is>
      </c>
      <c r="J770" s="5" t="inlineStr">
        <is>
          <t>No part in it.</t>
        </is>
      </c>
      <c r="K770" s="19" t="inlineStr">
        <is>
          <t>Jinnah's sister, one of the three people he names when the Guide asks whom he loves most.</t>
        </is>
      </c>
      <c r="L770" s="5" t="n"/>
      <c r="M770" s="5" t="inlineStr">
        <is>
          <t>SOURCE-123</t>
        </is>
      </c>
    </row>
    <row r="771" ht="49" customHeight="1">
      <c r="A771" s="15" t="inlineStr">
        <is>
          <t>CAST-770</t>
        </is>
      </c>
      <c r="B771" s="18" t="inlineStr">
        <is>
          <t>FILM-153</t>
        </is>
      </c>
      <c r="C771" s="5" t="inlineStr">
        <is>
          <t>Jinnah</t>
        </is>
      </c>
      <c r="D771" s="17" t="n">
        <v>1998</v>
      </c>
      <c r="E771" s="5" t="inlineStr">
        <is>
          <t>Sam Dastor</t>
        </is>
      </c>
      <c r="F771" s="5" t="inlineStr">
        <is>
          <t>Mahatma Gandhi</t>
        </is>
      </c>
      <c r="G771" s="5" t="inlineStr">
        <is>
          <t>Supporting</t>
        </is>
      </c>
      <c r="H771" s="5" t="inlineStr">
        <is>
          <t>Medium</t>
        </is>
      </c>
      <c r="I771" s="5" t="inlineStr">
        <is>
          <t>In the historical narrative the Guide conducts rather than in the frame.</t>
        </is>
      </c>
      <c r="J771" s="5" t="inlineStr">
        <is>
          <t>No part in it.</t>
        </is>
      </c>
      <c r="K771" s="19" t="inlineStr">
        <is>
          <t>Mahatma Gandhi, in the account of the growing Hindu-Muslim hostility and the two-nation theory that the film traces to Partition.</t>
        </is>
      </c>
      <c r="L771" s="5" t="n"/>
      <c r="M771" s="5" t="inlineStr">
        <is>
          <t>SOURCE-123</t>
        </is>
      </c>
    </row>
    <row r="772" ht="34" customHeight="1">
      <c r="A772" s="15" t="inlineStr">
        <is>
          <t>CAST-771</t>
        </is>
      </c>
      <c r="B772" s="18" t="inlineStr">
        <is>
          <t>FILM-153</t>
        </is>
      </c>
      <c r="C772" s="5" t="inlineStr">
        <is>
          <t>Jinnah</t>
        </is>
      </c>
      <c r="D772" s="17" t="n">
        <v>1998</v>
      </c>
      <c r="E772" s="5" t="inlineStr">
        <is>
          <t>Robert Ashby</t>
        </is>
      </c>
      <c r="F772" s="5" t="inlineStr">
        <is>
          <t>Jawaharlal Nehru</t>
        </is>
      </c>
      <c r="G772" s="5" t="inlineStr">
        <is>
          <t>Supporting</t>
        </is>
      </c>
      <c r="H772" s="5" t="inlineStr">
        <is>
          <t>Medium</t>
        </is>
      </c>
      <c r="I772" s="5" t="inlineStr">
        <is>
          <t>In the historical narrative rather than the frame.</t>
        </is>
      </c>
      <c r="J772" s="5" t="inlineStr">
        <is>
          <t>No part in it.</t>
        </is>
      </c>
      <c r="K772" s="19" t="inlineStr">
        <is>
          <t>Jawaharlal Nehru, among the political figures of the Partition negotiations the film sets against Jinnah.</t>
        </is>
      </c>
      <c r="L772" s="5" t="n"/>
      <c r="M772" s="5" t="inlineStr">
        <is>
          <t>SOURCE-123</t>
        </is>
      </c>
    </row>
    <row r="773" ht="79" customHeight="1">
      <c r="A773" s="15" t="inlineStr">
        <is>
          <t>CAST-772</t>
        </is>
      </c>
      <c r="B773" s="18" t="inlineStr">
        <is>
          <t>FILM-154</t>
        </is>
      </c>
      <c r="C773" s="5" t="inlineStr">
        <is>
          <t>Side Streets</t>
        </is>
      </c>
      <c r="D773" s="17" t="n">
        <v>1998</v>
      </c>
      <c r="E773" s="5" t="inlineStr">
        <is>
          <t>Shabana Azmi</t>
        </is>
      </c>
      <c r="F773" s="5" t="inlineStr">
        <is>
          <t>Mrs. Chandra Bipin Raj</t>
        </is>
      </c>
      <c r="G773" s="5" t="inlineStr">
        <is>
          <t>Co-lead</t>
        </is>
      </c>
      <c r="H773" s="5" t="inlineStr">
        <is>
          <t>Major</t>
        </is>
      </c>
      <c r="I773" s="5" t="inlineStr">
        <is>
          <t>Credited with the Raj surname Kapoor's Vikram Raj carries, and as the wife of Art Malik's Bipin Raj. The article has no plot section, so the relation is undocumented.</t>
        </is>
      </c>
      <c r="J773" s="5" t="inlineStr">
        <is>
          <t>Not documented. Romance presence is left blank for the film and no Romances row was created.</t>
        </is>
      </c>
      <c r="K773" s="19" t="inlineStr">
        <is>
          <t>Credited as Mrs. Chandra Bipin Raj, third-billed, in the last of her several films with Kapoor. The article gives a long cast list and no synopsis.</t>
        </is>
      </c>
      <c r="L773" s="5" t="n"/>
      <c r="M773" s="5" t="inlineStr">
        <is>
          <t>SOURCE-125</t>
        </is>
      </c>
    </row>
    <row r="774" ht="64" customHeight="1">
      <c r="A774" s="15" t="inlineStr">
        <is>
          <t>CAST-773</t>
        </is>
      </c>
      <c r="B774" s="18" t="inlineStr">
        <is>
          <t>FILM-154</t>
        </is>
      </c>
      <c r="C774" s="5" t="inlineStr">
        <is>
          <t>Side Streets</t>
        </is>
      </c>
      <c r="D774" s="17" t="n">
        <v>1998</v>
      </c>
      <c r="E774" s="5" t="inlineStr">
        <is>
          <t>Valeria Golino</t>
        </is>
      </c>
      <c r="F774" s="5" t="inlineStr">
        <is>
          <t>Sylvie Otti</t>
        </is>
      </c>
      <c r="G774" s="5" t="inlineStr">
        <is>
          <t>Co-lead</t>
        </is>
      </c>
      <c r="H774" s="5" t="inlineStr">
        <is>
          <t>Major</t>
        </is>
      </c>
      <c r="I774" s="5" t="inlineStr">
        <is>
          <t>First-billed in an ensemble film set among immigrants in New York; the article does not place her against Kapoor's part.</t>
        </is>
      </c>
      <c r="J774" s="5" t="inlineStr">
        <is>
          <t>Not documented.</t>
        </is>
      </c>
      <c r="K774" s="19" t="inlineStr">
        <is>
          <t>Credited as Sylvie Otti and billed first. The article carries a large cast list, no plot section, and no indication of how the strands connect.</t>
        </is>
      </c>
      <c r="L774" s="5" t="n"/>
      <c r="M774" s="5" t="inlineStr">
        <is>
          <t>SOURCE-125</t>
        </is>
      </c>
    </row>
    <row r="775" ht="94" customHeight="1">
      <c r="A775" s="15" t="inlineStr">
        <is>
          <t>CAST-774</t>
        </is>
      </c>
      <c r="B775" s="18" t="inlineStr">
        <is>
          <t>FILM-154</t>
        </is>
      </c>
      <c r="C775" s="5" t="inlineStr">
        <is>
          <t>Side Streets</t>
        </is>
      </c>
      <c r="D775" s="17" t="n">
        <v>1998</v>
      </c>
      <c r="E775" s="5" t="inlineStr">
        <is>
          <t>Art Malik</t>
        </is>
      </c>
      <c r="F775" s="5" t="inlineStr">
        <is>
          <t>Bipin Raj</t>
        </is>
      </c>
      <c r="G775" s="5" t="inlineStr">
        <is>
          <t>Family</t>
        </is>
      </c>
      <c r="H775" s="5" t="inlineStr">
        <is>
          <t>Major</t>
        </is>
      </c>
      <c r="I775" s="5" t="inlineStr">
        <is>
          <t>Shares the Raj surname with Kapoor's Vikram Raj and is credited as the husband of Shabana Azmi's Chandra, so the three form one household; the article does not confirm the relations.</t>
        </is>
      </c>
      <c r="J775" s="5" t="inlineStr">
        <is>
          <t>Not documented.</t>
        </is>
      </c>
      <c r="K775" s="19" t="inlineStr">
        <is>
          <t>Credited as Bipin Raj, husband of Mrs. Chandra Bipin Raj, in the Indian family strand of a New York ensemble film the article does not summarise.</t>
        </is>
      </c>
      <c r="L775" s="5" t="n"/>
      <c r="M775" s="5" t="inlineStr">
        <is>
          <t>SOURCE-125</t>
        </is>
      </c>
    </row>
    <row r="776" ht="49" customHeight="1">
      <c r="A776" s="15" t="inlineStr">
        <is>
          <t>CAST-775</t>
        </is>
      </c>
      <c r="B776" s="18" t="inlineStr">
        <is>
          <t>FILM-154</t>
        </is>
      </c>
      <c r="C776" s="5" t="inlineStr">
        <is>
          <t>Side Streets</t>
        </is>
      </c>
      <c r="D776" s="17" t="n">
        <v>1998</v>
      </c>
      <c r="E776" s="5" t="inlineStr">
        <is>
          <t>Miho Nikaido</t>
        </is>
      </c>
      <c r="F776" s="5" t="inlineStr">
        <is>
          <t>Yuki Shimamura</t>
        </is>
      </c>
      <c r="G776" s="5" t="inlineStr">
        <is>
          <t>Supporting</t>
        </is>
      </c>
      <c r="H776" s="5" t="inlineStr">
        <is>
          <t>Medium</t>
        </is>
      </c>
      <c r="I776" s="5" t="inlineStr">
        <is>
          <t>Not documented; one of several immigrant strands the cast list implies.</t>
        </is>
      </c>
      <c r="J776" s="5" t="inlineStr">
        <is>
          <t>Not documented.</t>
        </is>
      </c>
      <c r="K776" s="19" t="inlineStr">
        <is>
          <t>Credited as Yuki Shimamura, in a cast list that gathers Indian, Japanese, Eastern European and Latin American names for a film about New York side streets.</t>
        </is>
      </c>
      <c r="L776" s="5" t="n"/>
      <c r="M776" s="5" t="inlineStr">
        <is>
          <t>SOURCE-125</t>
        </is>
      </c>
    </row>
    <row r="777" ht="49" customHeight="1">
      <c r="A777" s="15" t="inlineStr">
        <is>
          <t>CAST-776</t>
        </is>
      </c>
      <c r="B777" s="18" t="inlineStr">
        <is>
          <t>FILM-154</t>
        </is>
      </c>
      <c r="C777" s="5" t="inlineStr">
        <is>
          <t>Side Streets</t>
        </is>
      </c>
      <c r="D777" s="17" t="n">
        <v>1998</v>
      </c>
      <c r="E777" s="5" t="inlineStr">
        <is>
          <t>David Vadim</t>
        </is>
      </c>
      <c r="F777" s="5" t="inlineStr">
        <is>
          <t>Josif Iscovescu</t>
        </is>
      </c>
      <c r="G777" s="5" t="inlineStr">
        <is>
          <t>Supporting</t>
        </is>
      </c>
      <c r="H777" s="5" t="inlineStr">
        <is>
          <t>Medium</t>
        </is>
      </c>
      <c r="I777" s="5" t="inlineStr">
        <is>
          <t>Not documented.</t>
        </is>
      </c>
      <c r="J777" s="5" t="inlineStr">
        <is>
          <t>Not documented.</t>
        </is>
      </c>
      <c r="K777" s="19" t="inlineStr">
        <is>
          <t>Credited as Josif Iscovescu, with Mirjana Jokovic as Elena Iscovescu, one of the film's several immigrant households. The article has no plot section.</t>
        </is>
      </c>
      <c r="L777" s="5" t="n"/>
      <c r="M777" s="5" t="inlineStr">
        <is>
          <t>SOURCE-125</t>
        </is>
      </c>
    </row>
    <row r="778" ht="49" customHeight="1">
      <c r="A778" s="15" t="inlineStr">
        <is>
          <t>CAST-777</t>
        </is>
      </c>
      <c r="B778" s="18" t="inlineStr">
        <is>
          <t>FILM-154</t>
        </is>
      </c>
      <c r="C778" s="5" t="inlineStr">
        <is>
          <t>Side Streets</t>
        </is>
      </c>
      <c r="D778" s="17" t="n">
        <v>1998</v>
      </c>
      <c r="E778" s="5" t="inlineStr">
        <is>
          <t>Rosario Dawson</t>
        </is>
      </c>
      <c r="F778" s="5" t="inlineStr">
        <is>
          <t>Marisol Hidalgo</t>
        </is>
      </c>
      <c r="G778" s="5" t="inlineStr">
        <is>
          <t>Supporting</t>
        </is>
      </c>
      <c r="H778" s="5" t="inlineStr">
        <is>
          <t>Minor</t>
        </is>
      </c>
      <c r="I778" s="5" t="inlineStr">
        <is>
          <t>Not documented.</t>
        </is>
      </c>
      <c r="J778" s="5" t="inlineStr">
        <is>
          <t>Not documented.</t>
        </is>
      </c>
      <c r="K778" s="19" t="inlineStr">
        <is>
          <t>Credited as Marisol Hidalgo, of the Hidalgo family in the cast list, in an early screen appearance. The article carries no synopsis.</t>
        </is>
      </c>
      <c r="L778" s="5" t="n"/>
      <c r="M778" s="5" t="inlineStr">
        <is>
          <t>SOURCE-125</t>
        </is>
      </c>
    </row>
  </sheetData>
  <autoFilter ref="A1:M778"/>
  <dataValidations count="2">
    <dataValidation sqref="G2:G978" showDropDown="0" showInputMessage="0" showErrorMessage="1" allowBlank="1" errorTitle="Cast Function" error="Choose a value from the list." type="list">
      <formula1>"Co-lead,Supporting,Antagonist,Mentor,Family,Friend,Comic support,Romantic rival,Authority figure,Cameo,Self appearance"</formula1>
    </dataValidation>
    <dataValidation sqref="H2:H978" showDropDown="0" showInputMessage="0" showErrorMessage="1" allowBlank="1" errorTitle="Importance Level" error="Choose a value from the list." type="list">
      <formula1>"Major,Medium,Minor"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6" customWidth="1" min="5" max="5"/>
    <col width="30" customWidth="1" min="6" max="6"/>
    <col width="24" customWidth="1" min="7" max="7"/>
    <col width="16" customWidth="1" min="8" max="8"/>
    <col width="14" customWidth="1" min="9" max="9"/>
    <col width="14" customWidth="1" min="10" max="10"/>
    <col width="36" customWidth="1" min="11" max="11"/>
    <col width="22" customWidth="1" min="12" max="12"/>
    <col width="12" customWidth="1" min="13" max="13"/>
  </cols>
  <sheetData>
    <row r="1" ht="36" customHeight="1">
      <c r="A1" s="12" t="inlineStr">
        <is>
          <t>Award ID</t>
        </is>
      </c>
      <c r="B1" s="12" t="inlineStr">
        <is>
          <t>Film ID</t>
        </is>
      </c>
      <c r="C1" s="12" t="inlineStr">
        <is>
          <t>Film</t>
        </is>
      </c>
      <c r="D1" s="12" t="inlineStr">
        <is>
          <t>Ceremony Year</t>
        </is>
      </c>
      <c r="E1" s="12" t="inlineStr">
        <is>
          <t>Award Organization</t>
        </is>
      </c>
      <c r="F1" s="12" t="inlineStr">
        <is>
          <t>Category</t>
        </is>
      </c>
      <c r="G1" s="12" t="inlineStr">
        <is>
          <t>Recipient</t>
        </is>
      </c>
      <c r="H1" s="12" t="inlineStr">
        <is>
          <t>Recipient Type</t>
        </is>
      </c>
      <c r="I1" s="12" t="inlineStr">
        <is>
          <t>Win or Nomination</t>
        </is>
      </c>
      <c r="J1" s="12" t="inlineStr">
        <is>
          <t>Competitive or Honorary</t>
        </is>
      </c>
      <c r="K1" s="12" t="inlineStr">
        <is>
          <t>Notes</t>
        </is>
      </c>
      <c r="L1" s="12" t="inlineStr">
        <is>
          <t>Source IDs</t>
        </is>
      </c>
      <c r="M1" s="12" t="inlineStr">
        <is>
          <t>Confidence Grade</t>
        </is>
      </c>
    </row>
    <row r="2" ht="64" customHeight="1">
      <c r="A2" s="15" t="inlineStr">
        <is>
          <t>AWARD-001</t>
        </is>
      </c>
      <c r="B2" s="18" t="inlineStr">
        <is>
          <t>FILM-004</t>
        </is>
      </c>
      <c r="C2" s="5" t="inlineStr">
        <is>
          <t>Awaara</t>
        </is>
      </c>
      <c r="D2" s="17" t="n">
        <v>1953</v>
      </c>
      <c r="E2" s="5" t="inlineStr">
        <is>
          <t>Cannes Film Festival</t>
        </is>
      </c>
      <c r="F2" s="5" t="inlineStr">
        <is>
          <t>Grand Prize of the Festival (Palme d'Or)</t>
        </is>
      </c>
      <c r="G2" s="5" t="inlineStr">
        <is>
          <t>Raj Kapoor</t>
        </is>
      </c>
      <c r="H2" s="5" t="inlineStr">
        <is>
          <t>Director</t>
        </is>
      </c>
      <c r="I2" s="5" t="inlineStr">
        <is>
          <t>Nomination</t>
        </is>
      </c>
      <c r="J2" s="5" t="inlineStr">
        <is>
          <t>Competitive</t>
        </is>
      </c>
      <c r="K2" s="5" t="inlineStr">
        <is>
          <t>6th Cannes Film Festival, 15-29 April 1953. Awaara competed in the main competition; the Grand Prize went to The Wages of Fear. Kapoor appears as the child Raju.</t>
        </is>
      </c>
      <c r="L2" s="5" t="inlineStr">
        <is>
          <t>SOURCE-004; SOURCE-333</t>
        </is>
      </c>
      <c r="M2" s="5" t="inlineStr">
        <is>
          <t>High</t>
        </is>
      </c>
    </row>
    <row r="3" ht="49" customHeight="1">
      <c r="A3" s="15" t="inlineStr">
        <is>
          <t>AWARD-002</t>
        </is>
      </c>
      <c r="B3" s="18" t="inlineStr">
        <is>
          <t>FILM-007</t>
        </is>
      </c>
      <c r="C3" s="5" t="inlineStr">
        <is>
          <t>Dharmputra</t>
        </is>
      </c>
      <c r="D3" s="17" t="n">
        <v>1962</v>
      </c>
      <c r="E3" s="5" t="inlineStr">
        <is>
          <t>National Film Awards</t>
        </is>
      </c>
      <c r="F3" s="5" t="inlineStr">
        <is>
          <t>President's Silver Medal for Best Feature Film in Hindi</t>
        </is>
      </c>
      <c r="G3" s="5" t="inlineStr">
        <is>
          <t>B. R. Chopra (producer) and Yash Chopra (director)</t>
        </is>
      </c>
      <c r="H3" s="5" t="inlineStr">
        <is>
          <t>Film</t>
        </is>
      </c>
      <c r="I3" s="5" t="inlineStr">
        <is>
          <t>Win</t>
        </is>
      </c>
      <c r="J3" s="5" t="inlineStr">
        <is>
          <t>Competitive</t>
        </is>
      </c>
      <c r="K3" s="5" t="inlineStr">
        <is>
          <t>9th National Film Awards, announced 5 April and presented 21 April 1962, for films of 1961.</t>
        </is>
      </c>
      <c r="L3" s="5" t="inlineStr">
        <is>
          <t>SOURCE-006; SOURCE-324</t>
        </is>
      </c>
      <c r="M3" s="5" t="inlineStr">
        <is>
          <t>High</t>
        </is>
      </c>
    </row>
    <row r="4" ht="109" customHeight="1">
      <c r="A4" s="15" t="inlineStr">
        <is>
          <t>AWARD-003</t>
        </is>
      </c>
      <c r="B4" s="18" t="inlineStr">
        <is>
          <t>FILM-007</t>
        </is>
      </c>
      <c r="C4" s="5" t="inlineStr">
        <is>
          <t>Dharmputra</t>
        </is>
      </c>
      <c r="D4" s="17" t="n">
        <v>1963</v>
      </c>
      <c r="E4" s="5" t="inlineStr">
        <is>
          <t>Filmfare Awards</t>
        </is>
      </c>
      <c r="F4" s="5" t="inlineStr">
        <is>
          <t>Best Dialogue</t>
        </is>
      </c>
      <c r="G4" s="5" t="inlineStr">
        <is>
          <t>Akhtar ul Iman</t>
        </is>
      </c>
      <c r="H4" s="5" t="inlineStr">
        <is>
          <t>Writer</t>
        </is>
      </c>
      <c r="I4" s="5" t="inlineStr">
        <is>
          <t>Win</t>
        </is>
      </c>
      <c r="J4" s="5" t="inlineStr">
        <is>
          <t>Competitive</t>
        </is>
      </c>
      <c r="K4" s="5" t="inlineStr">
        <is>
          <t>10th Filmfare Awards, 13 June 1963. The film article tags this claim citation-needed; the ceremony page's winners list confirms it. Dharmputra is a 1961 release honoured at the 1963 ceremony, which is out of step with the usual one-year lag, so the row is graded Medium.</t>
        </is>
      </c>
      <c r="L4" s="5" t="inlineStr">
        <is>
          <t>SOURCE-006; SOURCE-306</t>
        </is>
      </c>
      <c r="M4" s="5" t="inlineStr">
        <is>
          <t>Medium</t>
        </is>
      </c>
    </row>
    <row r="5" ht="34" customHeight="1">
      <c r="A5" s="15" t="inlineStr">
        <is>
          <t>AWARD-004</t>
        </is>
      </c>
      <c r="B5" s="18" t="inlineStr">
        <is>
          <t>FILM-015</t>
        </is>
      </c>
      <c r="C5" s="5" t="inlineStr">
        <is>
          <t>Shakespeare Wallah</t>
        </is>
      </c>
      <c r="D5" s="17" t="n">
        <v>1965</v>
      </c>
      <c r="E5" s="5" t="inlineStr">
        <is>
          <t>Berlin International Film Festival</t>
        </is>
      </c>
      <c r="F5" s="5" t="inlineStr">
        <is>
          <t>Silver Bear for Best Actress</t>
        </is>
      </c>
      <c r="G5" s="5" t="inlineStr">
        <is>
          <t>Madhur Jaffrey</t>
        </is>
      </c>
      <c r="H5" s="5" t="inlineStr">
        <is>
          <t>Actress</t>
        </is>
      </c>
      <c r="I5" s="5" t="inlineStr">
        <is>
          <t>Win</t>
        </is>
      </c>
      <c r="J5" s="5" t="inlineStr">
        <is>
          <t>Competitive</t>
        </is>
      </c>
      <c r="K5" s="5" t="inlineStr">
        <is>
          <t>15th Berlin International Film Festival, 25 June - 6 July 1965.</t>
        </is>
      </c>
      <c r="L5" s="5" t="inlineStr">
        <is>
          <t>SOURCE-011; SOURCE-334</t>
        </is>
      </c>
      <c r="M5" s="5" t="inlineStr">
        <is>
          <t>High</t>
        </is>
      </c>
    </row>
    <row r="6" ht="64" customHeight="1">
      <c r="A6" s="15" t="inlineStr">
        <is>
          <t>AWARD-005</t>
        </is>
      </c>
      <c r="B6" s="18" t="inlineStr">
        <is>
          <t>FILM-015</t>
        </is>
      </c>
      <c r="C6" s="5" t="inlineStr">
        <is>
          <t>Shakespeare Wallah</t>
        </is>
      </c>
      <c r="D6" s="17" t="n">
        <v>1965</v>
      </c>
      <c r="E6" s="5" t="inlineStr">
        <is>
          <t>Berlin International Film Festival</t>
        </is>
      </c>
      <c r="F6" s="5" t="inlineStr">
        <is>
          <t>Golden Bear</t>
        </is>
      </c>
      <c r="G6" s="5" t="inlineStr">
        <is>
          <t>James Ivory</t>
        </is>
      </c>
      <c r="H6" s="5" t="inlineStr">
        <is>
          <t>Director</t>
        </is>
      </c>
      <c r="I6" s="5" t="inlineStr">
        <is>
          <t>Nomination</t>
        </is>
      </c>
      <c r="J6" s="5" t="inlineStr">
        <is>
          <t>Competitive</t>
        </is>
      </c>
      <c r="K6" s="5" t="inlineStr">
        <is>
          <t>15th Berlin International Film Festival, 25 June - 6 July 1965. Selected for the main competition; the Golden Bear went to Jean-Luc Godard's Alphaville.</t>
        </is>
      </c>
      <c r="L6" s="5" t="inlineStr">
        <is>
          <t>SOURCE-011; SOURCE-334</t>
        </is>
      </c>
      <c r="M6" s="5" t="inlineStr">
        <is>
          <t>High</t>
        </is>
      </c>
    </row>
    <row r="7" ht="49" customHeight="1">
      <c r="A7" s="15" t="inlineStr">
        <is>
          <t>AWARD-006</t>
        </is>
      </c>
      <c r="B7" s="18" t="inlineStr">
        <is>
          <t>FILM-017</t>
        </is>
      </c>
      <c r="C7" s="5" t="inlineStr">
        <is>
          <t>Waqt</t>
        </is>
      </c>
      <c r="D7" s="17" t="n">
        <v>1966</v>
      </c>
      <c r="E7" s="5" t="inlineStr">
        <is>
          <t>Filmfare Awards</t>
        </is>
      </c>
      <c r="F7" s="5" t="inlineStr">
        <is>
          <t>Best Cinematography (Colour)</t>
        </is>
      </c>
      <c r="G7" s="5" t="inlineStr">
        <is>
          <t>Dharam Chopra</t>
        </is>
      </c>
      <c r="H7" s="5" t="inlineStr">
        <is>
          <t>Cinematographer</t>
        </is>
      </c>
      <c r="I7" s="5" t="inlineStr">
        <is>
          <t>Win</t>
        </is>
      </c>
      <c r="J7" s="5" t="inlineStr">
        <is>
          <t>Competitive</t>
        </is>
      </c>
      <c r="K7" s="5" t="inlineStr">
        <is>
          <t>13th Filmfare Awards, 7 May 1966. Waqt took 5 awards from 7 nominations, the most of any film at the ceremony.</t>
        </is>
      </c>
      <c r="L7" s="5" t="inlineStr">
        <is>
          <t>SOURCE-012; SOURCE-307</t>
        </is>
      </c>
      <c r="M7" s="5" t="inlineStr">
        <is>
          <t>High</t>
        </is>
      </c>
    </row>
    <row r="8" ht="49" customHeight="1">
      <c r="A8" s="15" t="inlineStr">
        <is>
          <t>AWARD-007</t>
        </is>
      </c>
      <c r="B8" s="18" t="inlineStr">
        <is>
          <t>FILM-017</t>
        </is>
      </c>
      <c r="C8" s="5" t="inlineStr">
        <is>
          <t>Waqt</t>
        </is>
      </c>
      <c r="D8" s="17" t="n">
        <v>1966</v>
      </c>
      <c r="E8" s="5" t="inlineStr">
        <is>
          <t>Filmfare Awards</t>
        </is>
      </c>
      <c r="F8" s="5" t="inlineStr">
        <is>
          <t>Best Dialogue</t>
        </is>
      </c>
      <c r="G8" s="5" t="inlineStr">
        <is>
          <t>Akhtar-ul-Iman</t>
        </is>
      </c>
      <c r="H8" s="5" t="inlineStr">
        <is>
          <t>Writer</t>
        </is>
      </c>
      <c r="I8" s="5" t="inlineStr">
        <is>
          <t>Win</t>
        </is>
      </c>
      <c r="J8" s="5" t="inlineStr">
        <is>
          <t>Competitive</t>
        </is>
      </c>
      <c r="K8" s="5" t="inlineStr">
        <is>
          <t>13th Filmfare Awards, 7 May 1966. Waqt took 5 awards from 7 nominations, the most of any film at the ceremony.</t>
        </is>
      </c>
      <c r="L8" s="5" t="inlineStr">
        <is>
          <t>SOURCE-012; SOURCE-307</t>
        </is>
      </c>
      <c r="M8" s="5" t="inlineStr">
        <is>
          <t>High</t>
        </is>
      </c>
    </row>
    <row r="9" ht="49" customHeight="1">
      <c r="A9" s="15" t="inlineStr">
        <is>
          <t>AWARD-008</t>
        </is>
      </c>
      <c r="B9" s="18" t="inlineStr">
        <is>
          <t>FILM-017</t>
        </is>
      </c>
      <c r="C9" s="5" t="inlineStr">
        <is>
          <t>Waqt</t>
        </is>
      </c>
      <c r="D9" s="17" t="n">
        <v>1966</v>
      </c>
      <c r="E9" s="5" t="inlineStr">
        <is>
          <t>Filmfare Awards</t>
        </is>
      </c>
      <c r="F9" s="5" t="inlineStr">
        <is>
          <t>Best Director</t>
        </is>
      </c>
      <c r="G9" s="5" t="inlineStr">
        <is>
          <t>Yash Chopra</t>
        </is>
      </c>
      <c r="H9" s="5" t="inlineStr">
        <is>
          <t>Director</t>
        </is>
      </c>
      <c r="I9" s="5" t="inlineStr">
        <is>
          <t>Win</t>
        </is>
      </c>
      <c r="J9" s="5" t="inlineStr">
        <is>
          <t>Competitive</t>
        </is>
      </c>
      <c r="K9" s="5" t="inlineStr">
        <is>
          <t>13th Filmfare Awards, 7 May 1966. Waqt took 5 awards from 7 nominations, the most of any film at the ceremony.</t>
        </is>
      </c>
      <c r="L9" s="5" t="inlineStr">
        <is>
          <t>SOURCE-012; SOURCE-307</t>
        </is>
      </c>
      <c r="M9" s="5" t="inlineStr">
        <is>
          <t>High</t>
        </is>
      </c>
    </row>
    <row r="10" ht="49" customHeight="1">
      <c r="A10" s="15" t="inlineStr">
        <is>
          <t>AWARD-009</t>
        </is>
      </c>
      <c r="B10" s="18" t="inlineStr">
        <is>
          <t>FILM-017</t>
        </is>
      </c>
      <c r="C10" s="5" t="inlineStr">
        <is>
          <t>Waqt</t>
        </is>
      </c>
      <c r="D10" s="17" t="n">
        <v>1966</v>
      </c>
      <c r="E10" s="5" t="inlineStr">
        <is>
          <t>Filmfare Awards</t>
        </is>
      </c>
      <c r="F10" s="5" t="inlineStr">
        <is>
          <t>Best Story</t>
        </is>
      </c>
      <c r="G10" s="5" t="inlineStr">
        <is>
          <t>Akhtar Mirza</t>
        </is>
      </c>
      <c r="H10" s="5" t="inlineStr">
        <is>
          <t>Writer</t>
        </is>
      </c>
      <c r="I10" s="5" t="inlineStr">
        <is>
          <t>Win</t>
        </is>
      </c>
      <c r="J10" s="5" t="inlineStr">
        <is>
          <t>Competitive</t>
        </is>
      </c>
      <c r="K10" s="5" t="inlineStr">
        <is>
          <t>13th Filmfare Awards, 7 May 1966. Waqt took 5 awards from 7 nominations, the most of any film at the ceremony.</t>
        </is>
      </c>
      <c r="L10" s="5" t="inlineStr">
        <is>
          <t>SOURCE-012; SOURCE-307</t>
        </is>
      </c>
      <c r="M10" s="5" t="inlineStr">
        <is>
          <t>High</t>
        </is>
      </c>
    </row>
    <row r="11" ht="109" customHeight="1">
      <c r="A11" s="15" t="inlineStr">
        <is>
          <t>AWARD-010</t>
        </is>
      </c>
      <c r="B11" s="18" t="inlineStr">
        <is>
          <t>FILM-017</t>
        </is>
      </c>
      <c r="C11" s="5" t="inlineStr">
        <is>
          <t>Waqt</t>
        </is>
      </c>
      <c r="D11" s="17" t="n">
        <v>1966</v>
      </c>
      <c r="E11" s="5" t="inlineStr">
        <is>
          <t>Filmfare Awards</t>
        </is>
      </c>
      <c r="F11" s="5" t="inlineStr">
        <is>
          <t>Best Supporting Actor</t>
        </is>
      </c>
      <c r="G11" s="5" t="inlineStr">
        <is>
          <t>Raaj Kumar</t>
        </is>
      </c>
      <c r="H11" s="5" t="inlineStr">
        <is>
          <t>Actor</t>
        </is>
      </c>
      <c r="I11" s="5" t="inlineStr">
        <is>
          <t>Win</t>
        </is>
      </c>
      <c r="J11" s="5" t="inlineStr">
        <is>
          <t>Competitive</t>
        </is>
      </c>
      <c r="K11" s="5" t="inlineStr">
        <is>
          <t>13th Filmfare Awards, 7 May 1966. The ceremony page contradicts itself: its prose says Raaj Kumar won for Kaajal, but its winners list bolds him for Waqt and indents Kaajal beneath as the losing nomination. The winners list is followed here, matching the film article.</t>
        </is>
      </c>
      <c r="L11" s="5" t="inlineStr">
        <is>
          <t>SOURCE-012; SOURCE-307</t>
        </is>
      </c>
      <c r="M11" s="5" t="inlineStr">
        <is>
          <t>Medium</t>
        </is>
      </c>
    </row>
    <row r="12" ht="49" customHeight="1">
      <c r="A12" s="15" t="inlineStr">
        <is>
          <t>AWARD-011</t>
        </is>
      </c>
      <c r="B12" s="18" t="inlineStr">
        <is>
          <t>FILM-017</t>
        </is>
      </c>
      <c r="C12" s="5" t="inlineStr">
        <is>
          <t>Waqt</t>
        </is>
      </c>
      <c r="D12" s="17" t="n">
        <v>1966</v>
      </c>
      <c r="E12" s="5" t="inlineStr">
        <is>
          <t>Filmfare Awards</t>
        </is>
      </c>
      <c r="F12" s="5" t="inlineStr">
        <is>
          <t>Best Actress</t>
        </is>
      </c>
      <c r="G12" s="5" t="inlineStr">
        <is>
          <t>Sadhana</t>
        </is>
      </c>
      <c r="H12" s="5" t="inlineStr">
        <is>
          <t>Actress</t>
        </is>
      </c>
      <c r="I12" s="5" t="inlineStr">
        <is>
          <t>Nomination</t>
        </is>
      </c>
      <c r="J12" s="5" t="inlineStr">
        <is>
          <t>Competitive</t>
        </is>
      </c>
      <c r="K12" s="5" t="inlineStr">
        <is>
          <t>13th Filmfare Awards, 7 May 1966. Waqt took 5 awards from 7 nominations, the most of any film at the ceremony.</t>
        </is>
      </c>
      <c r="L12" s="5" t="inlineStr">
        <is>
          <t>SOURCE-012; SOURCE-307</t>
        </is>
      </c>
      <c r="M12" s="5" t="inlineStr">
        <is>
          <t>High</t>
        </is>
      </c>
    </row>
    <row r="13" ht="49" customHeight="1">
      <c r="A13" s="15" t="inlineStr">
        <is>
          <t>AWARD-012</t>
        </is>
      </c>
      <c r="B13" s="18" t="inlineStr">
        <is>
          <t>FILM-017</t>
        </is>
      </c>
      <c r="C13" s="5" t="inlineStr">
        <is>
          <t>Waqt</t>
        </is>
      </c>
      <c r="D13" s="17" t="n">
        <v>1966</v>
      </c>
      <c r="E13" s="5" t="inlineStr">
        <is>
          <t>Filmfare Awards</t>
        </is>
      </c>
      <c r="F13" s="5" t="inlineStr">
        <is>
          <t>Best Film</t>
        </is>
      </c>
      <c r="G13" s="5" t="inlineStr">
        <is>
          <t>B. R. Chopra</t>
        </is>
      </c>
      <c r="H13" s="5" t="inlineStr">
        <is>
          <t>Producer</t>
        </is>
      </c>
      <c r="I13" s="5" t="inlineStr">
        <is>
          <t>Nomination</t>
        </is>
      </c>
      <c r="J13" s="5" t="inlineStr">
        <is>
          <t>Competitive</t>
        </is>
      </c>
      <c r="K13" s="5" t="inlineStr">
        <is>
          <t>13th Filmfare Awards, 7 May 1966. Waqt took 5 awards from 7 nominations, the most of any film at the ceremony.</t>
        </is>
      </c>
      <c r="L13" s="5" t="inlineStr">
        <is>
          <t>SOURCE-012; SOURCE-307</t>
        </is>
      </c>
      <c r="M13" s="5" t="inlineStr">
        <is>
          <t>High</t>
        </is>
      </c>
    </row>
    <row r="14" ht="94" customHeight="1">
      <c r="A14" s="15" t="inlineStr">
        <is>
          <t>AWARD-013</t>
        </is>
      </c>
      <c r="B14" s="18" t="inlineStr">
        <is>
          <t>FILM-018</t>
        </is>
      </c>
      <c r="C14" s="5" t="inlineStr">
        <is>
          <t>Jab Jab Phool Khile</t>
        </is>
      </c>
      <c r="D14" s="17" t="n">
        <v>1966</v>
      </c>
      <c r="E14" s="5" t="inlineStr">
        <is>
          <t>Bengal Film Journalists' Association Awards</t>
        </is>
      </c>
      <c r="F14" s="5" t="inlineStr">
        <is>
          <t>Best Actor (Hindi)</t>
        </is>
      </c>
      <c r="G14" s="5" t="inlineStr">
        <is>
          <t>Shashi Kapoor</t>
        </is>
      </c>
      <c r="H14" s="5" t="inlineStr">
        <is>
          <t>Actor</t>
        </is>
      </c>
      <c r="I14" s="5" t="inlineStr">
        <is>
          <t>Win</t>
        </is>
      </c>
      <c r="J14" s="5" t="inlineStr">
        <is>
          <t>Competitive</t>
        </is>
      </c>
      <c r="K14" s="5" t="inlineStr">
        <is>
          <t>The roles-and-awards page lists this as 1965, by film year, but the BFJA legacy page it cites (pastwin/196629.htm) is the 1966 list, for films of 1965. Recorded by ceremony year. Wikipedia carries no BFJA recipient lists, so this rests on a single page.</t>
        </is>
      </c>
      <c r="L14" s="5" t="inlineStr">
        <is>
          <t>SOURCE-001; SOURCE-013</t>
        </is>
      </c>
      <c r="M14" s="5" t="inlineStr">
        <is>
          <t>Medium</t>
        </is>
      </c>
    </row>
    <row r="15" ht="19" customHeight="1">
      <c r="A15" s="15" t="inlineStr">
        <is>
          <t>AWARD-014</t>
        </is>
      </c>
      <c r="B15" s="18" t="inlineStr">
        <is>
          <t>FILM-019</t>
        </is>
      </c>
      <c r="C15" s="5" t="inlineStr">
        <is>
          <t>Pyar Kiye Jaa</t>
        </is>
      </c>
      <c r="D15" s="17" t="n">
        <v>1967</v>
      </c>
      <c r="E15" s="5" t="inlineStr">
        <is>
          <t>Filmfare Awards</t>
        </is>
      </c>
      <c r="F15" s="5" t="inlineStr">
        <is>
          <t>Best Comedian</t>
        </is>
      </c>
      <c r="G15" s="5" t="inlineStr">
        <is>
          <t>Mehmood</t>
        </is>
      </c>
      <c r="H15" s="5" t="inlineStr">
        <is>
          <t>Actor</t>
        </is>
      </c>
      <c r="I15" s="5" t="inlineStr">
        <is>
          <t>Win</t>
        </is>
      </c>
      <c r="J15" s="5" t="inlineStr">
        <is>
          <t>Competitive</t>
        </is>
      </c>
      <c r="K15" s="5" t="inlineStr">
        <is>
          <t>14th Filmfare Awards, 1967.</t>
        </is>
      </c>
      <c r="L15" s="5" t="inlineStr">
        <is>
          <t>SOURCE-014; SOURCE-308</t>
        </is>
      </c>
      <c r="M15" s="5" t="inlineStr">
        <is>
          <t>High</t>
        </is>
      </c>
    </row>
    <row r="16" ht="19" customHeight="1">
      <c r="A16" s="15" t="inlineStr">
        <is>
          <t>AWARD-015</t>
        </is>
      </c>
      <c r="B16" s="18" t="inlineStr">
        <is>
          <t>FILM-019</t>
        </is>
      </c>
      <c r="C16" s="5" t="inlineStr">
        <is>
          <t>Pyar Kiye Jaa</t>
        </is>
      </c>
      <c r="D16" s="17" t="n">
        <v>1967</v>
      </c>
      <c r="E16" s="5" t="inlineStr">
        <is>
          <t>Filmfare Awards</t>
        </is>
      </c>
      <c r="F16" s="5" t="inlineStr">
        <is>
          <t>Best Comedian</t>
        </is>
      </c>
      <c r="G16" s="5" t="inlineStr">
        <is>
          <t>Om Prakash</t>
        </is>
      </c>
      <c r="H16" s="5" t="inlineStr">
        <is>
          <t>Actor</t>
        </is>
      </c>
      <c r="I16" s="5" t="inlineStr">
        <is>
          <t>Nomination</t>
        </is>
      </c>
      <c r="J16" s="5" t="inlineStr">
        <is>
          <t>Competitive</t>
        </is>
      </c>
      <c r="K16" s="5" t="inlineStr">
        <is>
          <t>14th Filmfare Awards, 1967.</t>
        </is>
      </c>
      <c r="L16" s="5" t="inlineStr">
        <is>
          <t>SOURCE-014; SOURCE-308</t>
        </is>
      </c>
      <c r="M16" s="5" t="inlineStr">
        <is>
          <t>High</t>
        </is>
      </c>
    </row>
    <row r="17" ht="34" customHeight="1">
      <c r="A17" s="15" t="inlineStr">
        <is>
          <t>AWARD-016</t>
        </is>
      </c>
      <c r="B17" s="18" t="inlineStr">
        <is>
          <t>FILM-035</t>
        </is>
      </c>
      <c r="C17" s="5" t="inlineStr">
        <is>
          <t>Jahan Pyar Mile</t>
        </is>
      </c>
      <c r="D17" s="17" t="n">
        <v>1971</v>
      </c>
      <c r="E17" s="5" t="inlineStr">
        <is>
          <t>Filmfare Awards</t>
        </is>
      </c>
      <c r="F17" s="5" t="inlineStr">
        <is>
          <t>Best Female Playback Singer</t>
        </is>
      </c>
      <c r="G17" s="5" t="inlineStr">
        <is>
          <t>Sharda</t>
        </is>
      </c>
      <c r="H17" s="5" t="inlineStr">
        <is>
          <t>Playback singer</t>
        </is>
      </c>
      <c r="I17" s="5" t="inlineStr">
        <is>
          <t>Win</t>
        </is>
      </c>
      <c r="J17" s="5" t="inlineStr">
        <is>
          <t>Competitive</t>
        </is>
      </c>
      <c r="K17" s="5" t="inlineStr">
        <is>
          <t>18th Filmfare Awards, 18 April 1971. For the song 'Baat Zara Hai Aapas Ki'.</t>
        </is>
      </c>
      <c r="L17" s="5" t="inlineStr">
        <is>
          <t>SOURCE-022; SOURCE-309</t>
        </is>
      </c>
      <c r="M17" s="5" t="inlineStr">
        <is>
          <t>High</t>
        </is>
      </c>
    </row>
    <row r="18" ht="49" customHeight="1">
      <c r="A18" s="15" t="inlineStr">
        <is>
          <t>AWARD-017</t>
        </is>
      </c>
      <c r="B18" s="18" t="inlineStr">
        <is>
          <t>FILM-042</t>
        </is>
      </c>
      <c r="C18" s="5" t="inlineStr">
        <is>
          <t>Naina</t>
        </is>
      </c>
      <c r="D18" s="17" t="n">
        <v>1974</v>
      </c>
      <c r="E18" s="5" t="inlineStr">
        <is>
          <t>Filmfare Awards</t>
        </is>
      </c>
      <c r="F18" s="5" t="inlineStr">
        <is>
          <t>Best Female Playback Singer</t>
        </is>
      </c>
      <c r="G18" s="5" t="inlineStr">
        <is>
          <t>Asha Bhosle</t>
        </is>
      </c>
      <c r="H18" s="5" t="inlineStr">
        <is>
          <t>Playback singer</t>
        </is>
      </c>
      <c r="I18" s="5" t="inlineStr">
        <is>
          <t>Win</t>
        </is>
      </c>
      <c r="J18" s="5" t="inlineStr">
        <is>
          <t>Competitive</t>
        </is>
      </c>
      <c r="K18" s="5" t="inlineStr">
        <is>
          <t>21st Filmfare Awards, 11 April 1974. For 'Hone Lagi Hai Raat Jawaan'; the film article calls it her fifth Filmfare award.</t>
        </is>
      </c>
      <c r="L18" s="5" t="inlineStr">
        <is>
          <t>SOURCE-034; SOURCE-310</t>
        </is>
      </c>
      <c r="M18" s="5" t="inlineStr">
        <is>
          <t>High</t>
        </is>
      </c>
    </row>
    <row r="19" ht="49" customHeight="1">
      <c r="A19" s="15" t="inlineStr">
        <is>
          <t>AWARD-018</t>
        </is>
      </c>
      <c r="B19" s="18" t="inlineStr">
        <is>
          <t>FILM-042</t>
        </is>
      </c>
      <c r="C19" s="5" t="inlineStr">
        <is>
          <t>Naina</t>
        </is>
      </c>
      <c r="D19" s="17" t="n">
        <v>1974</v>
      </c>
      <c r="E19" s="5" t="inlineStr">
        <is>
          <t>Filmfare Awards</t>
        </is>
      </c>
      <c r="F19" s="5" t="inlineStr">
        <is>
          <t>Best Male Playback Singer</t>
        </is>
      </c>
      <c r="G19" s="5" t="inlineStr">
        <is>
          <t>Mohammed Rafi</t>
        </is>
      </c>
      <c r="H19" s="5" t="inlineStr">
        <is>
          <t>Playback singer</t>
        </is>
      </c>
      <c r="I19" s="5" t="inlineStr">
        <is>
          <t>Nomination</t>
        </is>
      </c>
      <c r="J19" s="5" t="inlineStr">
        <is>
          <t>Competitive</t>
        </is>
      </c>
      <c r="K19" s="5" t="inlineStr">
        <is>
          <t>21st Filmfare Awards, 11 April 1974. For 'Humko To Jaan Se Pyari Hai', titled 'Hum Ko Jaan Se Pyaari' on the ceremony page.</t>
        </is>
      </c>
      <c r="L19" s="5" t="inlineStr">
        <is>
          <t>SOURCE-034; SOURCE-310</t>
        </is>
      </c>
      <c r="M19" s="5" t="inlineStr">
        <is>
          <t>High</t>
        </is>
      </c>
    </row>
    <row r="20" ht="64" customHeight="1">
      <c r="A20" s="15" t="inlineStr">
        <is>
          <t>AWARD-019</t>
        </is>
      </c>
      <c r="B20" s="18" t="inlineStr">
        <is>
          <t>FILM-043</t>
        </is>
      </c>
      <c r="C20" s="5" t="inlineStr">
        <is>
          <t>Aa Gale Lag Jaa</t>
        </is>
      </c>
      <c r="D20" s="17" t="n">
        <v>1974</v>
      </c>
      <c r="E20" s="5" t="inlineStr">
        <is>
          <t>Filmfare Awards</t>
        </is>
      </c>
      <c r="F20" s="5" t="inlineStr">
        <is>
          <t>Best Female Playback Singer</t>
        </is>
      </c>
      <c r="G20" s="5" t="inlineStr">
        <is>
          <t>Sushma Shrestha</t>
        </is>
      </c>
      <c r="H20" s="5" t="inlineStr">
        <is>
          <t>Playback singer</t>
        </is>
      </c>
      <c r="I20" s="5" t="inlineStr">
        <is>
          <t>Nomination</t>
        </is>
      </c>
      <c r="J20" s="5" t="inlineStr">
        <is>
          <t>Competitive</t>
        </is>
      </c>
      <c r="K20" s="5" t="inlineStr">
        <is>
          <t>21st Filmfare Awards, 11 April 1974. For 'Tera Mujhse Hai', and the film's only Filmfare nomination. The film article credits her under her later screen name, Poornima.</t>
        </is>
      </c>
      <c r="L20" s="5" t="inlineStr">
        <is>
          <t>SOURCE-033; SOURCE-310</t>
        </is>
      </c>
      <c r="M20" s="5" t="inlineStr">
        <is>
          <t>High</t>
        </is>
      </c>
    </row>
    <row r="21" ht="34" customHeight="1">
      <c r="A21" s="15" t="inlineStr">
        <is>
          <t>AWARD-020</t>
        </is>
      </c>
      <c r="B21" s="18" t="inlineStr">
        <is>
          <t>FILM-048</t>
        </is>
      </c>
      <c r="C21" s="5" t="inlineStr">
        <is>
          <t>Chor Machaye Shor</t>
        </is>
      </c>
      <c r="D21" s="17" t="n">
        <v>1975</v>
      </c>
      <c r="E21" s="5" t="inlineStr">
        <is>
          <t>Filmfare Awards</t>
        </is>
      </c>
      <c r="F21" s="5" t="inlineStr">
        <is>
          <t>Best Comedian</t>
        </is>
      </c>
      <c r="G21" s="5" t="inlineStr">
        <is>
          <t>Asrani</t>
        </is>
      </c>
      <c r="H21" s="5" t="inlineStr">
        <is>
          <t>Actor</t>
        </is>
      </c>
      <c r="I21" s="5" t="inlineStr">
        <is>
          <t>Nomination</t>
        </is>
      </c>
      <c r="J21" s="5" t="inlineStr">
        <is>
          <t>Competitive</t>
        </is>
      </c>
      <c r="K21" s="5" t="inlineStr">
        <is>
          <t>22nd Filmfare Awards, 1975. The film's only nomination.</t>
        </is>
      </c>
      <c r="L21" s="5" t="inlineStr">
        <is>
          <t>SOURCE-035; SOURCE-311</t>
        </is>
      </c>
      <c r="M21" s="5" t="inlineStr">
        <is>
          <t>High</t>
        </is>
      </c>
    </row>
    <row r="22" ht="49" customHeight="1">
      <c r="A22" s="15" t="inlineStr">
        <is>
          <t>AWARD-021</t>
        </is>
      </c>
      <c r="B22" s="18" t="inlineStr">
        <is>
          <t>FILM-050</t>
        </is>
      </c>
      <c r="C22" s="5" t="inlineStr">
        <is>
          <t>Roti Kapda Aur Makaan</t>
        </is>
      </c>
      <c r="D22" s="17" t="n">
        <v>1975</v>
      </c>
      <c r="E22" s="5" t="inlineStr">
        <is>
          <t>Filmfare Awards</t>
        </is>
      </c>
      <c r="F22" s="5" t="inlineStr">
        <is>
          <t>Best Director</t>
        </is>
      </c>
      <c r="G22" s="5" t="inlineStr">
        <is>
          <t>Manoj Kumar</t>
        </is>
      </c>
      <c r="H22" s="5" t="inlineStr">
        <is>
          <t>Director</t>
        </is>
      </c>
      <c r="I22" s="5" t="inlineStr">
        <is>
          <t>Win</t>
        </is>
      </c>
      <c r="J22" s="5" t="inlineStr">
        <is>
          <t>Competitive</t>
        </is>
      </c>
      <c r="K22" s="5" t="inlineStr">
        <is>
          <t>22nd Filmfare Awards, 1975. The film led the ceremony with 11 nominations and converted 3.</t>
        </is>
      </c>
      <c r="L22" s="5" t="inlineStr">
        <is>
          <t>SOURCE-037; SOURCE-311</t>
        </is>
      </c>
      <c r="M22" s="5" t="inlineStr">
        <is>
          <t>High</t>
        </is>
      </c>
    </row>
    <row r="23" ht="49" customHeight="1">
      <c r="A23" s="15" t="inlineStr">
        <is>
          <t>AWARD-022</t>
        </is>
      </c>
      <c r="B23" s="18" t="inlineStr">
        <is>
          <t>FILM-050</t>
        </is>
      </c>
      <c r="C23" s="5" t="inlineStr">
        <is>
          <t>Roti Kapda Aur Makaan</t>
        </is>
      </c>
      <c r="D23" s="17" t="n">
        <v>1975</v>
      </c>
      <c r="E23" s="5" t="inlineStr">
        <is>
          <t>Filmfare Awards</t>
        </is>
      </c>
      <c r="F23" s="5" t="inlineStr">
        <is>
          <t>Best Lyricist</t>
        </is>
      </c>
      <c r="G23" s="5" t="inlineStr">
        <is>
          <t>Santosh Anand</t>
        </is>
      </c>
      <c r="H23" s="5" t="inlineStr">
        <is>
          <t>Lyricist</t>
        </is>
      </c>
      <c r="I23" s="5" t="inlineStr">
        <is>
          <t>Win</t>
        </is>
      </c>
      <c r="J23" s="5" t="inlineStr">
        <is>
          <t>Competitive</t>
        </is>
      </c>
      <c r="K23" s="5" t="inlineStr">
        <is>
          <t>22nd Filmfare Awards, 1975. The film led the ceremony with 11 nominations and converted 3. For 'Main Na Bhoolunga'.</t>
        </is>
      </c>
      <c r="L23" s="5" t="inlineStr">
        <is>
          <t>SOURCE-037; SOURCE-311</t>
        </is>
      </c>
      <c r="M23" s="5" t="inlineStr">
        <is>
          <t>High</t>
        </is>
      </c>
    </row>
    <row r="24" ht="49" customHeight="1">
      <c r="A24" s="15" t="inlineStr">
        <is>
          <t>AWARD-023</t>
        </is>
      </c>
      <c r="B24" s="18" t="inlineStr">
        <is>
          <t>FILM-050</t>
        </is>
      </c>
      <c r="C24" s="5" t="inlineStr">
        <is>
          <t>Roti Kapda Aur Makaan</t>
        </is>
      </c>
      <c r="D24" s="17" t="n">
        <v>1975</v>
      </c>
      <c r="E24" s="5" t="inlineStr">
        <is>
          <t>Filmfare Awards</t>
        </is>
      </c>
      <c r="F24" s="5" t="inlineStr">
        <is>
          <t>Best Male Playback Singer</t>
        </is>
      </c>
      <c r="G24" s="5" t="inlineStr">
        <is>
          <t>Mahendra Kapoor</t>
        </is>
      </c>
      <c r="H24" s="5" t="inlineStr">
        <is>
          <t>Playback singer</t>
        </is>
      </c>
      <c r="I24" s="5" t="inlineStr">
        <is>
          <t>Win</t>
        </is>
      </c>
      <c r="J24" s="5" t="inlineStr">
        <is>
          <t>Competitive</t>
        </is>
      </c>
      <c r="K24" s="5" t="inlineStr">
        <is>
          <t>22nd Filmfare Awards, 1975. The film led the ceremony with 11 nominations and converted 3. For 'Aur Nahin Bus Aur Nahin'.</t>
        </is>
      </c>
      <c r="L24" s="5" t="inlineStr">
        <is>
          <t>SOURCE-037; SOURCE-311</t>
        </is>
      </c>
      <c r="M24" s="5" t="inlineStr">
        <is>
          <t>High</t>
        </is>
      </c>
    </row>
    <row r="25" ht="49" customHeight="1">
      <c r="A25" s="15" t="inlineStr">
        <is>
          <t>AWARD-024</t>
        </is>
      </c>
      <c r="B25" s="18" t="inlineStr">
        <is>
          <t>FILM-050</t>
        </is>
      </c>
      <c r="C25" s="5" t="inlineStr">
        <is>
          <t>Roti Kapda Aur Makaan</t>
        </is>
      </c>
      <c r="D25" s="17" t="n">
        <v>1975</v>
      </c>
      <c r="E25" s="5" t="inlineStr">
        <is>
          <t>Filmfare Awards</t>
        </is>
      </c>
      <c r="F25" s="5" t="inlineStr">
        <is>
          <t>Best Actor</t>
        </is>
      </c>
      <c r="G25" s="5" t="inlineStr">
        <is>
          <t>Manoj Kumar</t>
        </is>
      </c>
      <c r="H25" s="5" t="inlineStr">
        <is>
          <t>Actor</t>
        </is>
      </c>
      <c r="I25" s="5" t="inlineStr">
        <is>
          <t>Nomination</t>
        </is>
      </c>
      <c r="J25" s="5" t="inlineStr">
        <is>
          <t>Competitive</t>
        </is>
      </c>
      <c r="K25" s="5" t="inlineStr">
        <is>
          <t>22nd Filmfare Awards, 1975. The film led the ceremony with 11 nominations and converted 3.</t>
        </is>
      </c>
      <c r="L25" s="5" t="inlineStr">
        <is>
          <t>SOURCE-037; SOURCE-311</t>
        </is>
      </c>
      <c r="M25" s="5" t="inlineStr">
        <is>
          <t>High</t>
        </is>
      </c>
    </row>
    <row r="26" ht="49" customHeight="1">
      <c r="A26" s="15" t="inlineStr">
        <is>
          <t>AWARD-025</t>
        </is>
      </c>
      <c r="B26" s="18" t="inlineStr">
        <is>
          <t>FILM-050</t>
        </is>
      </c>
      <c r="C26" s="5" t="inlineStr">
        <is>
          <t>Roti Kapda Aur Makaan</t>
        </is>
      </c>
      <c r="D26" s="17" t="n">
        <v>1975</v>
      </c>
      <c r="E26" s="5" t="inlineStr">
        <is>
          <t>Filmfare Awards</t>
        </is>
      </c>
      <c r="F26" s="5" t="inlineStr">
        <is>
          <t>Best Film</t>
        </is>
      </c>
      <c r="G26" s="5" t="inlineStr">
        <is>
          <t>Manoj Kumar</t>
        </is>
      </c>
      <c r="H26" s="5" t="inlineStr">
        <is>
          <t>Producer</t>
        </is>
      </c>
      <c r="I26" s="5" t="inlineStr">
        <is>
          <t>Nomination</t>
        </is>
      </c>
      <c r="J26" s="5" t="inlineStr">
        <is>
          <t>Competitive</t>
        </is>
      </c>
      <c r="K26" s="5" t="inlineStr">
        <is>
          <t>22nd Filmfare Awards, 1975. The film led the ceremony with 11 nominations and converted 3.</t>
        </is>
      </c>
      <c r="L26" s="5" t="inlineStr">
        <is>
          <t>SOURCE-037; SOURCE-311</t>
        </is>
      </c>
      <c r="M26" s="5" t="inlineStr">
        <is>
          <t>High</t>
        </is>
      </c>
    </row>
    <row r="27" ht="64" customHeight="1">
      <c r="A27" s="15" t="inlineStr">
        <is>
          <t>AWARD-026</t>
        </is>
      </c>
      <c r="B27" s="18" t="inlineStr">
        <is>
          <t>FILM-050</t>
        </is>
      </c>
      <c r="C27" s="5" t="inlineStr">
        <is>
          <t>Roti Kapda Aur Makaan</t>
        </is>
      </c>
      <c r="D27" s="17" t="n">
        <v>1975</v>
      </c>
      <c r="E27" s="5" t="inlineStr">
        <is>
          <t>Filmfare Awards</t>
        </is>
      </c>
      <c r="F27" s="5" t="inlineStr">
        <is>
          <t>Best Lyricist</t>
        </is>
      </c>
      <c r="G27" s="5" t="inlineStr">
        <is>
          <t>Santosh Anand</t>
        </is>
      </c>
      <c r="H27" s="5" t="inlineStr">
        <is>
          <t>Lyricist</t>
        </is>
      </c>
      <c r="I27" s="5" t="inlineStr">
        <is>
          <t>Nomination</t>
        </is>
      </c>
      <c r="J27" s="5" t="inlineStr">
        <is>
          <t>Competitive</t>
        </is>
      </c>
      <c r="K27" s="5" t="inlineStr">
        <is>
          <t>22nd Filmfare Awards, 1975. The film led the ceremony with 11 nominations and converted 3. A second nomination in the category, for 'Aur Nahin Bus Aur Nahin'.</t>
        </is>
      </c>
      <c r="L27" s="5" t="inlineStr">
        <is>
          <t>SOURCE-037; SOURCE-311</t>
        </is>
      </c>
      <c r="M27" s="5" t="inlineStr">
        <is>
          <t>High</t>
        </is>
      </c>
    </row>
    <row r="28" ht="49" customHeight="1">
      <c r="A28" s="15" t="inlineStr">
        <is>
          <t>AWARD-027</t>
        </is>
      </c>
      <c r="B28" s="18" t="inlineStr">
        <is>
          <t>FILM-050</t>
        </is>
      </c>
      <c r="C28" s="5" t="inlineStr">
        <is>
          <t>Roti Kapda Aur Makaan</t>
        </is>
      </c>
      <c r="D28" s="17" t="n">
        <v>1975</v>
      </c>
      <c r="E28" s="5" t="inlineStr">
        <is>
          <t>Filmfare Awards</t>
        </is>
      </c>
      <c r="F28" s="5" t="inlineStr">
        <is>
          <t>Best Male Playback Singer</t>
        </is>
      </c>
      <c r="G28" s="5" t="inlineStr">
        <is>
          <t>Mukesh</t>
        </is>
      </c>
      <c r="H28" s="5" t="inlineStr">
        <is>
          <t>Playback singer</t>
        </is>
      </c>
      <c r="I28" s="5" t="inlineStr">
        <is>
          <t>Nomination</t>
        </is>
      </c>
      <c r="J28" s="5" t="inlineStr">
        <is>
          <t>Competitive</t>
        </is>
      </c>
      <c r="K28" s="5" t="inlineStr">
        <is>
          <t>22nd Filmfare Awards, 1975. The film led the ceremony with 11 nominations and converted 3. For 'Main Na Bhoolunga'.</t>
        </is>
      </c>
      <c r="L28" s="5" t="inlineStr">
        <is>
          <t>SOURCE-037; SOURCE-311</t>
        </is>
      </c>
      <c r="M28" s="5" t="inlineStr">
        <is>
          <t>High</t>
        </is>
      </c>
    </row>
    <row r="29" ht="49" customHeight="1">
      <c r="A29" s="15" t="inlineStr">
        <is>
          <t>AWARD-028</t>
        </is>
      </c>
      <c r="B29" s="18" t="inlineStr">
        <is>
          <t>FILM-050</t>
        </is>
      </c>
      <c r="C29" s="5" t="inlineStr">
        <is>
          <t>Roti Kapda Aur Makaan</t>
        </is>
      </c>
      <c r="D29" s="17" t="n">
        <v>1975</v>
      </c>
      <c r="E29" s="5" t="inlineStr">
        <is>
          <t>Filmfare Awards</t>
        </is>
      </c>
      <c r="F29" s="5" t="inlineStr">
        <is>
          <t>Best Music Director</t>
        </is>
      </c>
      <c r="G29" s="5" t="inlineStr">
        <is>
          <t>Laxmikant-Pyarelal</t>
        </is>
      </c>
      <c r="H29" s="5" t="inlineStr">
        <is>
          <t>Music director</t>
        </is>
      </c>
      <c r="I29" s="5" t="inlineStr">
        <is>
          <t>Nomination</t>
        </is>
      </c>
      <c r="J29" s="5" t="inlineStr">
        <is>
          <t>Competitive</t>
        </is>
      </c>
      <c r="K29" s="5" t="inlineStr">
        <is>
          <t>22nd Filmfare Awards, 1975. The film led the ceremony with 11 nominations and converted 3.</t>
        </is>
      </c>
      <c r="L29" s="5" t="inlineStr">
        <is>
          <t>SOURCE-037; SOURCE-311</t>
        </is>
      </c>
      <c r="M29" s="5" t="inlineStr">
        <is>
          <t>High</t>
        </is>
      </c>
    </row>
    <row r="30" ht="49" customHeight="1">
      <c r="A30" s="15" t="inlineStr">
        <is>
          <t>AWARD-029</t>
        </is>
      </c>
      <c r="B30" s="18" t="inlineStr">
        <is>
          <t>FILM-050</t>
        </is>
      </c>
      <c r="C30" s="5" t="inlineStr">
        <is>
          <t>Roti Kapda Aur Makaan</t>
        </is>
      </c>
      <c r="D30" s="17" t="n">
        <v>1975</v>
      </c>
      <c r="E30" s="5" t="inlineStr">
        <is>
          <t>Filmfare Awards</t>
        </is>
      </c>
      <c r="F30" s="5" t="inlineStr">
        <is>
          <t>Best Story</t>
        </is>
      </c>
      <c r="G30" s="5" t="inlineStr">
        <is>
          <t>Manoj Kumar</t>
        </is>
      </c>
      <c r="H30" s="5" t="inlineStr">
        <is>
          <t>Writer</t>
        </is>
      </c>
      <c r="I30" s="5" t="inlineStr">
        <is>
          <t>Nomination</t>
        </is>
      </c>
      <c r="J30" s="5" t="inlineStr">
        <is>
          <t>Competitive</t>
        </is>
      </c>
      <c r="K30" s="5" t="inlineStr">
        <is>
          <t>22nd Filmfare Awards, 1975. The film led the ceremony with 11 nominations and converted 3.</t>
        </is>
      </c>
      <c r="L30" s="5" t="inlineStr">
        <is>
          <t>SOURCE-037; SOURCE-311</t>
        </is>
      </c>
      <c r="M30" s="5" t="inlineStr">
        <is>
          <t>High</t>
        </is>
      </c>
    </row>
    <row r="31" ht="79" customHeight="1">
      <c r="A31" s="15" t="inlineStr">
        <is>
          <t>AWARD-030</t>
        </is>
      </c>
      <c r="B31" s="18" t="inlineStr">
        <is>
          <t>FILM-050</t>
        </is>
      </c>
      <c r="C31" s="5" t="inlineStr">
        <is>
          <t>Roti Kapda Aur Makaan</t>
        </is>
      </c>
      <c r="D31" s="17" t="n">
        <v>1975</v>
      </c>
      <c r="E31" s="5" t="inlineStr">
        <is>
          <t>Filmfare Awards</t>
        </is>
      </c>
      <c r="F31" s="5" t="inlineStr">
        <is>
          <t>Best Supporting Actor</t>
        </is>
      </c>
      <c r="G31" s="5" t="inlineStr">
        <is>
          <t>Prem Nath</t>
        </is>
      </c>
      <c r="H31" s="5" t="inlineStr">
        <is>
          <t>Actor</t>
        </is>
      </c>
      <c r="I31" s="5" t="inlineStr">
        <is>
          <t>Nomination</t>
        </is>
      </c>
      <c r="J31" s="5" t="inlineStr">
        <is>
          <t>Competitive</t>
        </is>
      </c>
      <c r="K31" s="5" t="inlineStr">
        <is>
          <t>22nd Filmfare Awards, 1975. The film led the ceremony with 11 nominations and converted 3. A dual nomination with Amir Garib; the award went to Vinod Khanna for Haath Ki Safai.</t>
        </is>
      </c>
      <c r="L31" s="5" t="inlineStr">
        <is>
          <t>SOURCE-037; SOURCE-311</t>
        </is>
      </c>
      <c r="M31" s="5" t="inlineStr">
        <is>
          <t>High</t>
        </is>
      </c>
    </row>
    <row r="32" ht="49" customHeight="1">
      <c r="A32" s="15" t="inlineStr">
        <is>
          <t>AWARD-031</t>
        </is>
      </c>
      <c r="B32" s="18" t="inlineStr">
        <is>
          <t>FILM-050</t>
        </is>
      </c>
      <c r="C32" s="5" t="inlineStr">
        <is>
          <t>Roti Kapda Aur Makaan</t>
        </is>
      </c>
      <c r="D32" s="17" t="n">
        <v>1975</v>
      </c>
      <c r="E32" s="5" t="inlineStr">
        <is>
          <t>Filmfare Awards</t>
        </is>
      </c>
      <c r="F32" s="5" t="inlineStr">
        <is>
          <t>Best Supporting Actress</t>
        </is>
      </c>
      <c r="G32" s="5" t="inlineStr">
        <is>
          <t>Moushumi Chatterjee</t>
        </is>
      </c>
      <c r="H32" s="5" t="inlineStr">
        <is>
          <t>Actress</t>
        </is>
      </c>
      <c r="I32" s="5" t="inlineStr">
        <is>
          <t>Nomination</t>
        </is>
      </c>
      <c r="J32" s="5" t="inlineStr">
        <is>
          <t>Competitive</t>
        </is>
      </c>
      <c r="K32" s="5" t="inlineStr">
        <is>
          <t>22nd Filmfare Awards, 1975. The film led the ceremony with 11 nominations and converted 3.</t>
        </is>
      </c>
      <c r="L32" s="5" t="inlineStr">
        <is>
          <t>SOURCE-037; SOURCE-311</t>
        </is>
      </c>
      <c r="M32" s="5" t="inlineStr">
        <is>
          <t>High</t>
        </is>
      </c>
    </row>
    <row r="33" ht="49" customHeight="1">
      <c r="A33" s="15" t="inlineStr">
        <is>
          <t>AWARD-032</t>
        </is>
      </c>
      <c r="B33" s="18" t="inlineStr">
        <is>
          <t>FILM-052</t>
        </is>
      </c>
      <c r="C33" s="5" t="inlineStr">
        <is>
          <t>Deewaar</t>
        </is>
      </c>
      <c r="D33" s="17" t="n">
        <v>1976</v>
      </c>
      <c r="E33" s="5" t="inlineStr">
        <is>
          <t>Filmfare Awards</t>
        </is>
      </c>
      <c r="F33" s="5" t="inlineStr">
        <is>
          <t>Best Dialogue</t>
        </is>
      </c>
      <c r="G33" s="5" t="inlineStr">
        <is>
          <t>Salim-Javed</t>
        </is>
      </c>
      <c r="H33" s="5" t="inlineStr">
        <is>
          <t>Writer</t>
        </is>
      </c>
      <c r="I33" s="5" t="inlineStr">
        <is>
          <t>Win</t>
        </is>
      </c>
      <c r="J33" s="5" t="inlineStr">
        <is>
          <t>Competitive</t>
        </is>
      </c>
      <c r="K33" s="5" t="inlineStr">
        <is>
          <t>23rd Filmfare Awards, 1976. Deewaar won 7 awards from 9 nominations, the most of any film at the ceremony.</t>
        </is>
      </c>
      <c r="L33" s="5" t="inlineStr">
        <is>
          <t>SOURCE-041; SOURCE-312</t>
        </is>
      </c>
      <c r="M33" s="5" t="inlineStr">
        <is>
          <t>High</t>
        </is>
      </c>
    </row>
    <row r="34" ht="49" customHeight="1">
      <c r="A34" s="15" t="inlineStr">
        <is>
          <t>AWARD-033</t>
        </is>
      </c>
      <c r="B34" s="18" t="inlineStr">
        <is>
          <t>FILM-052</t>
        </is>
      </c>
      <c r="C34" s="5" t="inlineStr">
        <is>
          <t>Deewaar</t>
        </is>
      </c>
      <c r="D34" s="17" t="n">
        <v>1976</v>
      </c>
      <c r="E34" s="5" t="inlineStr">
        <is>
          <t>Filmfare Awards</t>
        </is>
      </c>
      <c r="F34" s="5" t="inlineStr">
        <is>
          <t>Best Director</t>
        </is>
      </c>
      <c r="G34" s="5" t="inlineStr">
        <is>
          <t>Yash Chopra</t>
        </is>
      </c>
      <c r="H34" s="5" t="inlineStr">
        <is>
          <t>Director</t>
        </is>
      </c>
      <c r="I34" s="5" t="inlineStr">
        <is>
          <t>Win</t>
        </is>
      </c>
      <c r="J34" s="5" t="inlineStr">
        <is>
          <t>Competitive</t>
        </is>
      </c>
      <c r="K34" s="5" t="inlineStr">
        <is>
          <t>23rd Filmfare Awards, 1976. Deewaar won 7 awards from 9 nominations, the most of any film at the ceremony.</t>
        </is>
      </c>
      <c r="L34" s="5" t="inlineStr">
        <is>
          <t>SOURCE-041; SOURCE-312</t>
        </is>
      </c>
      <c r="M34" s="5" t="inlineStr">
        <is>
          <t>High</t>
        </is>
      </c>
    </row>
    <row r="35" ht="49" customHeight="1">
      <c r="A35" s="15" t="inlineStr">
        <is>
          <t>AWARD-034</t>
        </is>
      </c>
      <c r="B35" s="18" t="inlineStr">
        <is>
          <t>FILM-052</t>
        </is>
      </c>
      <c r="C35" s="5" t="inlineStr">
        <is>
          <t>Deewaar</t>
        </is>
      </c>
      <c r="D35" s="17" t="n">
        <v>1976</v>
      </c>
      <c r="E35" s="5" t="inlineStr">
        <is>
          <t>Filmfare Awards</t>
        </is>
      </c>
      <c r="F35" s="5" t="inlineStr">
        <is>
          <t>Best Film</t>
        </is>
      </c>
      <c r="G35" s="5" t="inlineStr">
        <is>
          <t>Gulshan Rai</t>
        </is>
      </c>
      <c r="H35" s="5" t="inlineStr">
        <is>
          <t>Producer</t>
        </is>
      </c>
      <c r="I35" s="5" t="inlineStr">
        <is>
          <t>Win</t>
        </is>
      </c>
      <c r="J35" s="5" t="inlineStr">
        <is>
          <t>Competitive</t>
        </is>
      </c>
      <c r="K35" s="5" t="inlineStr">
        <is>
          <t>23rd Filmfare Awards, 1976. Deewaar won 7 awards from 9 nominations, the most of any film at the ceremony.</t>
        </is>
      </c>
      <c r="L35" s="5" t="inlineStr">
        <is>
          <t>SOURCE-041; SOURCE-312</t>
        </is>
      </c>
      <c r="M35" s="5" t="inlineStr">
        <is>
          <t>High</t>
        </is>
      </c>
    </row>
    <row r="36" ht="49" customHeight="1">
      <c r="A36" s="15" t="inlineStr">
        <is>
          <t>AWARD-035</t>
        </is>
      </c>
      <c r="B36" s="18" t="inlineStr">
        <is>
          <t>FILM-052</t>
        </is>
      </c>
      <c r="C36" s="5" t="inlineStr">
        <is>
          <t>Deewaar</t>
        </is>
      </c>
      <c r="D36" s="17" t="n">
        <v>1976</v>
      </c>
      <c r="E36" s="5" t="inlineStr">
        <is>
          <t>Filmfare Awards</t>
        </is>
      </c>
      <c r="F36" s="5" t="inlineStr">
        <is>
          <t>Best Screenplay</t>
        </is>
      </c>
      <c r="G36" s="5" t="inlineStr">
        <is>
          <t>Salim-Javed</t>
        </is>
      </c>
      <c r="H36" s="5" t="inlineStr">
        <is>
          <t>Writer</t>
        </is>
      </c>
      <c r="I36" s="5" t="inlineStr">
        <is>
          <t>Win</t>
        </is>
      </c>
      <c r="J36" s="5" t="inlineStr">
        <is>
          <t>Competitive</t>
        </is>
      </c>
      <c r="K36" s="5" t="inlineStr">
        <is>
          <t>23rd Filmfare Awards, 1976. Deewaar won 7 awards from 9 nominations, the most of any film at the ceremony.</t>
        </is>
      </c>
      <c r="L36" s="5" t="inlineStr">
        <is>
          <t>SOURCE-041; SOURCE-312</t>
        </is>
      </c>
      <c r="M36" s="5" t="inlineStr">
        <is>
          <t>High</t>
        </is>
      </c>
    </row>
    <row r="37" ht="49" customHeight="1">
      <c r="A37" s="15" t="inlineStr">
        <is>
          <t>AWARD-036</t>
        </is>
      </c>
      <c r="B37" s="18" t="inlineStr">
        <is>
          <t>FILM-052</t>
        </is>
      </c>
      <c r="C37" s="5" t="inlineStr">
        <is>
          <t>Deewaar</t>
        </is>
      </c>
      <c r="D37" s="17" t="n">
        <v>1976</v>
      </c>
      <c r="E37" s="5" t="inlineStr">
        <is>
          <t>Filmfare Awards</t>
        </is>
      </c>
      <c r="F37" s="5" t="inlineStr">
        <is>
          <t>Best Sound</t>
        </is>
      </c>
      <c r="G37" s="5" t="inlineStr">
        <is>
          <t>M. A. Shaikh</t>
        </is>
      </c>
      <c r="H37" s="5" t="inlineStr">
        <is>
          <t>Technician</t>
        </is>
      </c>
      <c r="I37" s="5" t="inlineStr">
        <is>
          <t>Win</t>
        </is>
      </c>
      <c r="J37" s="5" t="inlineStr">
        <is>
          <t>Competitive</t>
        </is>
      </c>
      <c r="K37" s="5" t="inlineStr">
        <is>
          <t>23rd Filmfare Awards, 1976. Deewaar won 7 awards from 9 nominations, the most of any film at the ceremony.</t>
        </is>
      </c>
      <c r="L37" s="5" t="inlineStr">
        <is>
          <t>SOURCE-041; SOURCE-312</t>
        </is>
      </c>
      <c r="M37" s="5" t="inlineStr">
        <is>
          <t>High</t>
        </is>
      </c>
    </row>
    <row r="38" ht="49" customHeight="1">
      <c r="A38" s="15" t="inlineStr">
        <is>
          <t>AWARD-037</t>
        </is>
      </c>
      <c r="B38" s="18" t="inlineStr">
        <is>
          <t>FILM-052</t>
        </is>
      </c>
      <c r="C38" s="5" t="inlineStr">
        <is>
          <t>Deewaar</t>
        </is>
      </c>
      <c r="D38" s="17" t="n">
        <v>1976</v>
      </c>
      <c r="E38" s="5" t="inlineStr">
        <is>
          <t>Filmfare Awards</t>
        </is>
      </c>
      <c r="F38" s="5" t="inlineStr">
        <is>
          <t>Best Story</t>
        </is>
      </c>
      <c r="G38" s="5" t="inlineStr">
        <is>
          <t>Salim-Javed</t>
        </is>
      </c>
      <c r="H38" s="5" t="inlineStr">
        <is>
          <t>Writer</t>
        </is>
      </c>
      <c r="I38" s="5" t="inlineStr">
        <is>
          <t>Win</t>
        </is>
      </c>
      <c r="J38" s="5" t="inlineStr">
        <is>
          <t>Competitive</t>
        </is>
      </c>
      <c r="K38" s="5" t="inlineStr">
        <is>
          <t>23rd Filmfare Awards, 1976. Deewaar won 7 awards from 9 nominations, the most of any film at the ceremony.</t>
        </is>
      </c>
      <c r="L38" s="5" t="inlineStr">
        <is>
          <t>SOURCE-041; SOURCE-312</t>
        </is>
      </c>
      <c r="M38" s="5" t="inlineStr">
        <is>
          <t>High</t>
        </is>
      </c>
    </row>
    <row r="39" ht="109" customHeight="1">
      <c r="A39" s="15" t="inlineStr">
        <is>
          <t>AWARD-038</t>
        </is>
      </c>
      <c r="B39" s="18" t="inlineStr">
        <is>
          <t>FILM-052</t>
        </is>
      </c>
      <c r="C39" s="5" t="inlineStr">
        <is>
          <t>Deewaar</t>
        </is>
      </c>
      <c r="D39" s="17" t="n">
        <v>1976</v>
      </c>
      <c r="E39" s="5" t="inlineStr">
        <is>
          <t>Filmfare Awards</t>
        </is>
      </c>
      <c r="F39" s="5" t="inlineStr">
        <is>
          <t>Best Supporting Actor</t>
        </is>
      </c>
      <c r="G39" s="5" t="inlineStr">
        <is>
          <t>Shashi Kapoor</t>
        </is>
      </c>
      <c r="H39" s="5" t="inlineStr">
        <is>
          <t>Actor</t>
        </is>
      </c>
      <c r="I39" s="5" t="inlineStr">
        <is>
          <t>Win</t>
        </is>
      </c>
      <c r="J39" s="5" t="inlineStr">
        <is>
          <t>Competitive</t>
        </is>
      </c>
      <c r="K39" s="5" t="inlineStr">
        <is>
          <t>23rd Filmfare Awards, 1976. Kapoor's only acting Filmfare award in a career of 154 films. The ceremony page notes Pran lost the category to him. The award is in the supporting category, but Films scores the role as a co-lead because the picture is built as a two-hander between the brothers.</t>
        </is>
      </c>
      <c r="L39" s="5" t="inlineStr">
        <is>
          <t>SOURCE-041; SOURCE-312</t>
        </is>
      </c>
      <c r="M39" s="5" t="inlineStr">
        <is>
          <t>High</t>
        </is>
      </c>
    </row>
    <row r="40" ht="49" customHeight="1">
      <c r="A40" s="15" t="inlineStr">
        <is>
          <t>AWARD-039</t>
        </is>
      </c>
      <c r="B40" s="18" t="inlineStr">
        <is>
          <t>FILM-052</t>
        </is>
      </c>
      <c r="C40" s="5" t="inlineStr">
        <is>
          <t>Deewaar</t>
        </is>
      </c>
      <c r="D40" s="17" t="n">
        <v>1976</v>
      </c>
      <c r="E40" s="5" t="inlineStr">
        <is>
          <t>Filmfare Awards</t>
        </is>
      </c>
      <c r="F40" s="5" t="inlineStr">
        <is>
          <t>Best Actor</t>
        </is>
      </c>
      <c r="G40" s="5" t="inlineStr">
        <is>
          <t>Amitabh Bachchan</t>
        </is>
      </c>
      <c r="H40" s="5" t="inlineStr">
        <is>
          <t>Actor</t>
        </is>
      </c>
      <c r="I40" s="5" t="inlineStr">
        <is>
          <t>Nomination</t>
        </is>
      </c>
      <c r="J40" s="5" t="inlineStr">
        <is>
          <t>Competitive</t>
        </is>
      </c>
      <c r="K40" s="5" t="inlineStr">
        <is>
          <t>23rd Filmfare Awards, 1976. Deewaar won 7 awards from 9 nominations, the most of any film at the ceremony.</t>
        </is>
      </c>
      <c r="L40" s="5" t="inlineStr">
        <is>
          <t>SOURCE-041; SOURCE-312</t>
        </is>
      </c>
      <c r="M40" s="5" t="inlineStr">
        <is>
          <t>High</t>
        </is>
      </c>
    </row>
    <row r="41" ht="49" customHeight="1">
      <c r="A41" s="15" t="inlineStr">
        <is>
          <t>AWARD-040</t>
        </is>
      </c>
      <c r="B41" s="18" t="inlineStr">
        <is>
          <t>FILM-052</t>
        </is>
      </c>
      <c r="C41" s="5" t="inlineStr">
        <is>
          <t>Deewaar</t>
        </is>
      </c>
      <c r="D41" s="17" t="n">
        <v>1976</v>
      </c>
      <c r="E41" s="5" t="inlineStr">
        <is>
          <t>Filmfare Awards</t>
        </is>
      </c>
      <c r="F41" s="5" t="inlineStr">
        <is>
          <t>Best Supporting Actress</t>
        </is>
      </c>
      <c r="G41" s="5" t="inlineStr">
        <is>
          <t>Nirupa Roy</t>
        </is>
      </c>
      <c r="H41" s="5" t="inlineStr">
        <is>
          <t>Actress</t>
        </is>
      </c>
      <c r="I41" s="5" t="inlineStr">
        <is>
          <t>Nomination</t>
        </is>
      </c>
      <c r="J41" s="5" t="inlineStr">
        <is>
          <t>Competitive</t>
        </is>
      </c>
      <c r="K41" s="5" t="inlineStr">
        <is>
          <t>23rd Filmfare Awards, 1976. Deewaar won 7 awards from 9 nominations, the most of any film at the ceremony.</t>
        </is>
      </c>
      <c r="L41" s="5" t="inlineStr">
        <is>
          <t>SOURCE-041; SOURCE-312</t>
        </is>
      </c>
      <c r="M41" s="5" t="inlineStr">
        <is>
          <t>High</t>
        </is>
      </c>
    </row>
    <row r="42" ht="34" customHeight="1">
      <c r="A42" s="15" t="inlineStr">
        <is>
          <t>AWARD-041</t>
        </is>
      </c>
      <c r="B42" s="18" t="inlineStr">
        <is>
          <t>FILM-054</t>
        </is>
      </c>
      <c r="C42" s="5" t="inlineStr">
        <is>
          <t>Chori Mera Kaam</t>
        </is>
      </c>
      <c r="D42" s="17" t="n">
        <v>1976</v>
      </c>
      <c r="E42" s="5" t="inlineStr">
        <is>
          <t>Filmfare Awards</t>
        </is>
      </c>
      <c r="F42" s="5" t="inlineStr">
        <is>
          <t>Best Comedian</t>
        </is>
      </c>
      <c r="G42" s="5" t="inlineStr">
        <is>
          <t>Deven Verma</t>
        </is>
      </c>
      <c r="H42" s="5" t="inlineStr">
        <is>
          <t>Actor</t>
        </is>
      </c>
      <c r="I42" s="5" t="inlineStr">
        <is>
          <t>Win</t>
        </is>
      </c>
      <c r="J42" s="5" t="inlineStr">
        <is>
          <t>Competitive</t>
        </is>
      </c>
      <c r="K42" s="5" t="inlineStr">
        <is>
          <t>23rd Filmfare Awards, 1976. His first Filmfare award.</t>
        </is>
      </c>
      <c r="L42" s="5" t="inlineStr">
        <is>
          <t>SOURCE-043; SOURCE-312</t>
        </is>
      </c>
      <c r="M42" s="5" t="inlineStr">
        <is>
          <t>High</t>
        </is>
      </c>
    </row>
    <row r="43" ht="49" customHeight="1">
      <c r="A43" s="15" t="inlineStr">
        <is>
          <t>AWARD-042</t>
        </is>
      </c>
      <c r="B43" s="18" t="inlineStr">
        <is>
          <t>FILM-060</t>
        </is>
      </c>
      <c r="C43" s="5" t="inlineStr">
        <is>
          <t>Kabhi Kabhie</t>
        </is>
      </c>
      <c r="D43" s="17" t="n">
        <v>1977</v>
      </c>
      <c r="E43" s="5" t="inlineStr">
        <is>
          <t>Filmfare Awards</t>
        </is>
      </c>
      <c r="F43" s="5" t="inlineStr">
        <is>
          <t>Best Dialogue</t>
        </is>
      </c>
      <c r="G43" s="5" t="inlineStr">
        <is>
          <t>Sagar Sarhadi</t>
        </is>
      </c>
      <c r="H43" s="5" t="inlineStr">
        <is>
          <t>Writer</t>
        </is>
      </c>
      <c r="I43" s="5" t="inlineStr">
        <is>
          <t>Win</t>
        </is>
      </c>
      <c r="J43" s="5" t="inlineStr">
        <is>
          <t>Competitive</t>
        </is>
      </c>
      <c r="K43" s="5" t="inlineStr">
        <is>
          <t>24th Filmfare Awards, 20 June 1977. Kabhi Kabhie led the ceremony with 13 nominations and won 4.</t>
        </is>
      </c>
      <c r="L43" s="5" t="inlineStr">
        <is>
          <t>SOURCE-045; SOURCE-313</t>
        </is>
      </c>
      <c r="M43" s="5" t="inlineStr">
        <is>
          <t>High</t>
        </is>
      </c>
    </row>
    <row r="44" ht="64" customHeight="1">
      <c r="A44" s="15" t="inlineStr">
        <is>
          <t>AWARD-043</t>
        </is>
      </c>
      <c r="B44" s="18" t="inlineStr">
        <is>
          <t>FILM-060</t>
        </is>
      </c>
      <c r="C44" s="5" t="inlineStr">
        <is>
          <t>Kabhi Kabhie</t>
        </is>
      </c>
      <c r="D44" s="17" t="n">
        <v>1977</v>
      </c>
      <c r="E44" s="5" t="inlineStr">
        <is>
          <t>Filmfare Awards</t>
        </is>
      </c>
      <c r="F44" s="5" t="inlineStr">
        <is>
          <t>Best Lyricist</t>
        </is>
      </c>
      <c r="G44" s="5" t="inlineStr">
        <is>
          <t>Sahir Ludhianvi</t>
        </is>
      </c>
      <c r="H44" s="5" t="inlineStr">
        <is>
          <t>Lyricist</t>
        </is>
      </c>
      <c r="I44" s="5" t="inlineStr">
        <is>
          <t>Win</t>
        </is>
      </c>
      <c r="J44" s="5" t="inlineStr">
        <is>
          <t>Competitive</t>
        </is>
      </c>
      <c r="K44" s="5" t="inlineStr">
        <is>
          <t>24th Filmfare Awards, 20 June 1977. Kabhi Kabhie led the ceremony with 13 nominations and won 4. For 'Kabhi Kabhie Mere Dil Mein'.</t>
        </is>
      </c>
      <c r="L44" s="5" t="inlineStr">
        <is>
          <t>SOURCE-045; SOURCE-313</t>
        </is>
      </c>
      <c r="M44" s="5" t="inlineStr">
        <is>
          <t>High</t>
        </is>
      </c>
    </row>
    <row r="45" ht="94" customHeight="1">
      <c r="A45" s="15" t="inlineStr">
        <is>
          <t>AWARD-044</t>
        </is>
      </c>
      <c r="B45" s="18" t="inlineStr">
        <is>
          <t>FILM-060</t>
        </is>
      </c>
      <c r="C45" s="5" t="inlineStr">
        <is>
          <t>Kabhi Kabhie</t>
        </is>
      </c>
      <c r="D45" s="17" t="n">
        <v>1977</v>
      </c>
      <c r="E45" s="5" t="inlineStr">
        <is>
          <t>Filmfare Awards</t>
        </is>
      </c>
      <c r="F45" s="5" t="inlineStr">
        <is>
          <t>Best Male Playback Singer</t>
        </is>
      </c>
      <c r="G45" s="5" t="inlineStr">
        <is>
          <t>Mukesh</t>
        </is>
      </c>
      <c r="H45" s="5" t="inlineStr">
        <is>
          <t>Playback singer</t>
        </is>
      </c>
      <c r="I45" s="5" t="inlineStr">
        <is>
          <t>Win</t>
        </is>
      </c>
      <c r="J45" s="5" t="inlineStr">
        <is>
          <t>Competitive</t>
        </is>
      </c>
      <c r="K45" s="5" t="inlineStr">
        <is>
          <t>24th Filmfare Awards, 20 June 1977. Kabhi Kabhie led the ceremony with 13 nominations and won 4. For 'Kabhi Kabhie Mere Dil Mein', and his final Filmfare award, won posthumously: he died in August 1976, ten months before the ceremony.</t>
        </is>
      </c>
      <c r="L45" s="5" t="inlineStr">
        <is>
          <t>SOURCE-045; SOURCE-313</t>
        </is>
      </c>
      <c r="M45" s="5" t="inlineStr">
        <is>
          <t>High</t>
        </is>
      </c>
    </row>
    <row r="46" ht="49" customHeight="1">
      <c r="A46" s="15" t="inlineStr">
        <is>
          <t>AWARD-045</t>
        </is>
      </c>
      <c r="B46" s="18" t="inlineStr">
        <is>
          <t>FILM-060</t>
        </is>
      </c>
      <c r="C46" s="5" t="inlineStr">
        <is>
          <t>Kabhi Kabhie</t>
        </is>
      </c>
      <c r="D46" s="17" t="n">
        <v>1977</v>
      </c>
      <c r="E46" s="5" t="inlineStr">
        <is>
          <t>Filmfare Awards</t>
        </is>
      </c>
      <c r="F46" s="5" t="inlineStr">
        <is>
          <t>Best Music Director</t>
        </is>
      </c>
      <c r="G46" s="5" t="inlineStr">
        <is>
          <t>Khayyam</t>
        </is>
      </c>
      <c r="H46" s="5" t="inlineStr">
        <is>
          <t>Music director</t>
        </is>
      </c>
      <c r="I46" s="5" t="inlineStr">
        <is>
          <t>Win</t>
        </is>
      </c>
      <c r="J46" s="5" t="inlineStr">
        <is>
          <t>Competitive</t>
        </is>
      </c>
      <c r="K46" s="5" t="inlineStr">
        <is>
          <t>24th Filmfare Awards, 20 June 1977. Kabhi Kabhie led the ceremony with 13 nominations and won 4.</t>
        </is>
      </c>
      <c r="L46" s="5" t="inlineStr">
        <is>
          <t>SOURCE-045; SOURCE-313</t>
        </is>
      </c>
      <c r="M46" s="5" t="inlineStr">
        <is>
          <t>High</t>
        </is>
      </c>
    </row>
    <row r="47" ht="49" customHeight="1">
      <c r="A47" s="15" t="inlineStr">
        <is>
          <t>AWARD-046</t>
        </is>
      </c>
      <c r="B47" s="18" t="inlineStr">
        <is>
          <t>FILM-060</t>
        </is>
      </c>
      <c r="C47" s="5" t="inlineStr">
        <is>
          <t>Kabhi Kabhie</t>
        </is>
      </c>
      <c r="D47" s="17" t="n">
        <v>1977</v>
      </c>
      <c r="E47" s="5" t="inlineStr">
        <is>
          <t>Filmfare Awards</t>
        </is>
      </c>
      <c r="F47" s="5" t="inlineStr">
        <is>
          <t>Best Actor</t>
        </is>
      </c>
      <c r="G47" s="5" t="inlineStr">
        <is>
          <t>Amitabh Bachchan</t>
        </is>
      </c>
      <c r="H47" s="5" t="inlineStr">
        <is>
          <t>Actor</t>
        </is>
      </c>
      <c r="I47" s="5" t="inlineStr">
        <is>
          <t>Nomination</t>
        </is>
      </c>
      <c r="J47" s="5" t="inlineStr">
        <is>
          <t>Competitive</t>
        </is>
      </c>
      <c r="K47" s="5" t="inlineStr">
        <is>
          <t>24th Filmfare Awards, 20 June 1977. Kabhi Kabhie led the ceremony with 13 nominations and won 4.</t>
        </is>
      </c>
      <c r="L47" s="5" t="inlineStr">
        <is>
          <t>SOURCE-045; SOURCE-313</t>
        </is>
      </c>
      <c r="M47" s="5" t="inlineStr">
        <is>
          <t>High</t>
        </is>
      </c>
    </row>
    <row r="48" ht="64" customHeight="1">
      <c r="A48" s="15" t="inlineStr">
        <is>
          <t>AWARD-047</t>
        </is>
      </c>
      <c r="B48" s="18" t="inlineStr">
        <is>
          <t>FILM-060</t>
        </is>
      </c>
      <c r="C48" s="5" t="inlineStr">
        <is>
          <t>Kabhi Kabhie</t>
        </is>
      </c>
      <c r="D48" s="17" t="n">
        <v>1977</v>
      </c>
      <c r="E48" s="5" t="inlineStr">
        <is>
          <t>Filmfare Awards</t>
        </is>
      </c>
      <c r="F48" s="5" t="inlineStr">
        <is>
          <t>Best Actress</t>
        </is>
      </c>
      <c r="G48" s="5" t="inlineStr">
        <is>
          <t>Raakhee</t>
        </is>
      </c>
      <c r="H48" s="5" t="inlineStr">
        <is>
          <t>Actress</t>
        </is>
      </c>
      <c r="I48" s="5" t="inlineStr">
        <is>
          <t>Nomination</t>
        </is>
      </c>
      <c r="J48" s="5" t="inlineStr">
        <is>
          <t>Competitive</t>
        </is>
      </c>
      <c r="K48" s="5" t="inlineStr">
        <is>
          <t>24th Filmfare Awards, 20 June 1977. Kabhi Kabhie led the ceremony with 13 nominations and won 4. A dual nomination with Tapasya, winning for the latter.</t>
        </is>
      </c>
      <c r="L48" s="5" t="inlineStr">
        <is>
          <t>SOURCE-045; SOURCE-313</t>
        </is>
      </c>
      <c r="M48" s="5" t="inlineStr">
        <is>
          <t>High</t>
        </is>
      </c>
    </row>
    <row r="49" ht="49" customHeight="1">
      <c r="A49" s="15" t="inlineStr">
        <is>
          <t>AWARD-048</t>
        </is>
      </c>
      <c r="B49" s="18" t="inlineStr">
        <is>
          <t>FILM-060</t>
        </is>
      </c>
      <c r="C49" s="5" t="inlineStr">
        <is>
          <t>Kabhi Kabhie</t>
        </is>
      </c>
      <c r="D49" s="17" t="n">
        <v>1977</v>
      </c>
      <c r="E49" s="5" t="inlineStr">
        <is>
          <t>Filmfare Awards</t>
        </is>
      </c>
      <c r="F49" s="5" t="inlineStr">
        <is>
          <t>Best Director</t>
        </is>
      </c>
      <c r="G49" s="5" t="inlineStr">
        <is>
          <t>Yash Chopra</t>
        </is>
      </c>
      <c r="H49" s="5" t="inlineStr">
        <is>
          <t>Director</t>
        </is>
      </c>
      <c r="I49" s="5" t="inlineStr">
        <is>
          <t>Nomination</t>
        </is>
      </c>
      <c r="J49" s="5" t="inlineStr">
        <is>
          <t>Competitive</t>
        </is>
      </c>
      <c r="K49" s="5" t="inlineStr">
        <is>
          <t>24th Filmfare Awards, 20 June 1977. Kabhi Kabhie led the ceremony with 13 nominations and won 4.</t>
        </is>
      </c>
      <c r="L49" s="5" t="inlineStr">
        <is>
          <t>SOURCE-045; SOURCE-313</t>
        </is>
      </c>
      <c r="M49" s="5" t="inlineStr">
        <is>
          <t>High</t>
        </is>
      </c>
    </row>
    <row r="50" ht="49" customHeight="1">
      <c r="A50" s="15" t="inlineStr">
        <is>
          <t>AWARD-049</t>
        </is>
      </c>
      <c r="B50" s="18" t="inlineStr">
        <is>
          <t>FILM-060</t>
        </is>
      </c>
      <c r="C50" s="5" t="inlineStr">
        <is>
          <t>Kabhi Kabhie</t>
        </is>
      </c>
      <c r="D50" s="17" t="n">
        <v>1977</v>
      </c>
      <c r="E50" s="5" t="inlineStr">
        <is>
          <t>Filmfare Awards</t>
        </is>
      </c>
      <c r="F50" s="5" t="inlineStr">
        <is>
          <t>Best Film</t>
        </is>
      </c>
      <c r="G50" s="5" t="inlineStr">
        <is>
          <t>Yash Chopra</t>
        </is>
      </c>
      <c r="H50" s="5" t="inlineStr">
        <is>
          <t>Producer</t>
        </is>
      </c>
      <c r="I50" s="5" t="inlineStr">
        <is>
          <t>Nomination</t>
        </is>
      </c>
      <c r="J50" s="5" t="inlineStr">
        <is>
          <t>Competitive</t>
        </is>
      </c>
      <c r="K50" s="5" t="inlineStr">
        <is>
          <t>24th Filmfare Awards, 20 June 1977. Kabhi Kabhie led the ceremony with 13 nominations and won 4.</t>
        </is>
      </c>
      <c r="L50" s="5" t="inlineStr">
        <is>
          <t>SOURCE-045; SOURCE-313</t>
        </is>
      </c>
      <c r="M50" s="5" t="inlineStr">
        <is>
          <t>High</t>
        </is>
      </c>
    </row>
    <row r="51" ht="64" customHeight="1">
      <c r="A51" s="15" t="inlineStr">
        <is>
          <t>AWARD-050</t>
        </is>
      </c>
      <c r="B51" s="18" t="inlineStr">
        <is>
          <t>FILM-060</t>
        </is>
      </c>
      <c r="C51" s="5" t="inlineStr">
        <is>
          <t>Kabhi Kabhie</t>
        </is>
      </c>
      <c r="D51" s="17" t="n">
        <v>1977</v>
      </c>
      <c r="E51" s="5" t="inlineStr">
        <is>
          <t>Filmfare Awards</t>
        </is>
      </c>
      <c r="F51" s="5" t="inlineStr">
        <is>
          <t>Best Lyricist</t>
        </is>
      </c>
      <c r="G51" s="5" t="inlineStr">
        <is>
          <t>Sahir Ludhianvi</t>
        </is>
      </c>
      <c r="H51" s="5" t="inlineStr">
        <is>
          <t>Lyricist</t>
        </is>
      </c>
      <c r="I51" s="5" t="inlineStr">
        <is>
          <t>Nomination</t>
        </is>
      </c>
      <c r="J51" s="5" t="inlineStr">
        <is>
          <t>Competitive</t>
        </is>
      </c>
      <c r="K51" s="5" t="inlineStr">
        <is>
          <t>24th Filmfare Awards, 20 June 1977. Kabhi Kabhie led the ceremony with 13 nominations and won 4. A second nomination in the category, for 'Main Pal Do Pal Ka Shayar Hoon'.</t>
        </is>
      </c>
      <c r="L51" s="5" t="inlineStr">
        <is>
          <t>SOURCE-045; SOURCE-313</t>
        </is>
      </c>
      <c r="M51" s="5" t="inlineStr">
        <is>
          <t>High</t>
        </is>
      </c>
    </row>
    <row r="52" ht="64" customHeight="1">
      <c r="A52" s="15" t="inlineStr">
        <is>
          <t>AWARD-051</t>
        </is>
      </c>
      <c r="B52" s="18" t="inlineStr">
        <is>
          <t>FILM-060</t>
        </is>
      </c>
      <c r="C52" s="5" t="inlineStr">
        <is>
          <t>Kabhi Kabhie</t>
        </is>
      </c>
      <c r="D52" s="17" t="n">
        <v>1977</v>
      </c>
      <c r="E52" s="5" t="inlineStr">
        <is>
          <t>Filmfare Awards</t>
        </is>
      </c>
      <c r="F52" s="5" t="inlineStr">
        <is>
          <t>Best Male Playback Singer</t>
        </is>
      </c>
      <c r="G52" s="5" t="inlineStr">
        <is>
          <t>Mukesh</t>
        </is>
      </c>
      <c r="H52" s="5" t="inlineStr">
        <is>
          <t>Playback singer</t>
        </is>
      </c>
      <c r="I52" s="5" t="inlineStr">
        <is>
          <t>Nomination</t>
        </is>
      </c>
      <c r="J52" s="5" t="inlineStr">
        <is>
          <t>Competitive</t>
        </is>
      </c>
      <c r="K52" s="5" t="inlineStr">
        <is>
          <t>24th Filmfare Awards, 20 June 1977. Kabhi Kabhie led the ceremony with 13 nominations and won 4. A second nomination in the category, for 'Main Pal Do Pal Ka Shayar Hoon'.</t>
        </is>
      </c>
      <c r="L52" s="5" t="inlineStr">
        <is>
          <t>SOURCE-045; SOURCE-313</t>
        </is>
      </c>
      <c r="M52" s="5" t="inlineStr">
        <is>
          <t>High</t>
        </is>
      </c>
    </row>
    <row r="53" ht="49" customHeight="1">
      <c r="A53" s="15" t="inlineStr">
        <is>
          <t>AWARD-052</t>
        </is>
      </c>
      <c r="B53" s="18" t="inlineStr">
        <is>
          <t>FILM-060</t>
        </is>
      </c>
      <c r="C53" s="5" t="inlineStr">
        <is>
          <t>Kabhi Kabhie</t>
        </is>
      </c>
      <c r="D53" s="17" t="n">
        <v>1977</v>
      </c>
      <c r="E53" s="5" t="inlineStr">
        <is>
          <t>Filmfare Awards</t>
        </is>
      </c>
      <c r="F53" s="5" t="inlineStr">
        <is>
          <t>Best Story</t>
        </is>
      </c>
      <c r="G53" s="5" t="inlineStr">
        <is>
          <t>Pamela Chopra</t>
        </is>
      </c>
      <c r="H53" s="5" t="inlineStr">
        <is>
          <t>Writer</t>
        </is>
      </c>
      <c r="I53" s="5" t="inlineStr">
        <is>
          <t>Nomination</t>
        </is>
      </c>
      <c r="J53" s="5" t="inlineStr">
        <is>
          <t>Competitive</t>
        </is>
      </c>
      <c r="K53" s="5" t="inlineStr">
        <is>
          <t>24th Filmfare Awards, 20 June 1977. Kabhi Kabhie led the ceremony with 13 nominations and won 4.</t>
        </is>
      </c>
      <c r="L53" s="5" t="inlineStr">
        <is>
          <t>SOURCE-045; SOURCE-313</t>
        </is>
      </c>
      <c r="M53" s="5" t="inlineStr">
        <is>
          <t>High</t>
        </is>
      </c>
    </row>
    <row r="54" ht="19" customHeight="1">
      <c r="A54" s="15" t="inlineStr">
        <is>
          <t>AWARD-053</t>
        </is>
      </c>
      <c r="B54" s="18" t="inlineStr">
        <is>
          <t>FILM-060</t>
        </is>
      </c>
      <c r="C54" s="5" t="inlineStr">
        <is>
          <t>Kabhi Kabhie</t>
        </is>
      </c>
      <c r="D54" s="17" t="n">
        <v>1977</v>
      </c>
      <c r="E54" s="5" t="inlineStr">
        <is>
          <t>Filmfare Awards</t>
        </is>
      </c>
      <c r="F54" s="5" t="inlineStr">
        <is>
          <t>Best Supporting Actor</t>
        </is>
      </c>
      <c r="G54" s="5" t="inlineStr">
        <is>
          <t>Shashi Kapoor</t>
        </is>
      </c>
      <c r="H54" s="5" t="inlineStr">
        <is>
          <t>Actor</t>
        </is>
      </c>
      <c r="I54" s="5" t="inlineStr">
        <is>
          <t>Nomination</t>
        </is>
      </c>
      <c r="J54" s="5" t="inlineStr">
        <is>
          <t>Competitive</t>
        </is>
      </c>
      <c r="K54" s="5" t="inlineStr">
        <is>
          <t>24th Filmfare Awards, 20 June 1977.</t>
        </is>
      </c>
      <c r="L54" s="5" t="inlineStr">
        <is>
          <t>SOURCE-045; SOURCE-313</t>
        </is>
      </c>
      <c r="M54" s="5" t="inlineStr">
        <is>
          <t>High</t>
        </is>
      </c>
    </row>
    <row r="55" ht="49" customHeight="1">
      <c r="A55" s="15" t="inlineStr">
        <is>
          <t>AWARD-054</t>
        </is>
      </c>
      <c r="B55" s="18" t="inlineStr">
        <is>
          <t>FILM-060</t>
        </is>
      </c>
      <c r="C55" s="5" t="inlineStr">
        <is>
          <t>Kabhi Kabhie</t>
        </is>
      </c>
      <c r="D55" s="17" t="n">
        <v>1977</v>
      </c>
      <c r="E55" s="5" t="inlineStr">
        <is>
          <t>Filmfare Awards</t>
        </is>
      </c>
      <c r="F55" s="5" t="inlineStr">
        <is>
          <t>Best Supporting Actress</t>
        </is>
      </c>
      <c r="G55" s="5" t="inlineStr">
        <is>
          <t>Waheeda Rehman</t>
        </is>
      </c>
      <c r="H55" s="5" t="inlineStr">
        <is>
          <t>Actress</t>
        </is>
      </c>
      <c r="I55" s="5" t="inlineStr">
        <is>
          <t>Nomination</t>
        </is>
      </c>
      <c r="J55" s="5" t="inlineStr">
        <is>
          <t>Competitive</t>
        </is>
      </c>
      <c r="K55" s="5" t="inlineStr">
        <is>
          <t>24th Filmfare Awards, 20 June 1977. Kabhi Kabhie led the ceremony with 13 nominations and won 4.</t>
        </is>
      </c>
      <c r="L55" s="5" t="inlineStr">
        <is>
          <t>SOURCE-045; SOURCE-313</t>
        </is>
      </c>
      <c r="M55" s="5" t="inlineStr">
        <is>
          <t>High</t>
        </is>
      </c>
    </row>
    <row r="56" ht="34" customHeight="1">
      <c r="A56" s="15" t="inlineStr">
        <is>
          <t>AWARD-055</t>
        </is>
      </c>
      <c r="B56" s="18" t="inlineStr">
        <is>
          <t>FILM-062</t>
        </is>
      </c>
      <c r="C56" s="5" t="inlineStr">
        <is>
          <t>Fakira</t>
        </is>
      </c>
      <c r="D56" s="17" t="n">
        <v>1977</v>
      </c>
      <c r="E56" s="5" t="inlineStr">
        <is>
          <t>Filmfare Awards</t>
        </is>
      </c>
      <c r="F56" s="5" t="inlineStr">
        <is>
          <t>Best Art Direction</t>
        </is>
      </c>
      <c r="G56" s="5" t="inlineStr">
        <is>
          <t>S. S. Samel</t>
        </is>
      </c>
      <c r="H56" s="5" t="inlineStr">
        <is>
          <t>Technician</t>
        </is>
      </c>
      <c r="I56" s="5" t="inlineStr">
        <is>
          <t>Win</t>
        </is>
      </c>
      <c r="J56" s="5" t="inlineStr">
        <is>
          <t>Competitive</t>
        </is>
      </c>
      <c r="K56" s="5" t="inlineStr">
        <is>
          <t>24th Filmfare Awards, 20 June 1977. Fakira won 2 of its 4 nominations.</t>
        </is>
      </c>
      <c r="L56" s="5" t="inlineStr">
        <is>
          <t>SOURCE-047; SOURCE-313</t>
        </is>
      </c>
      <c r="M56" s="5" t="inlineStr">
        <is>
          <t>High</t>
        </is>
      </c>
    </row>
    <row r="57" ht="34" customHeight="1">
      <c r="A57" s="15" t="inlineStr">
        <is>
          <t>AWARD-056</t>
        </is>
      </c>
      <c r="B57" s="18" t="inlineStr">
        <is>
          <t>FILM-062</t>
        </is>
      </c>
      <c r="C57" s="5" t="inlineStr">
        <is>
          <t>Fakira</t>
        </is>
      </c>
      <c r="D57" s="17" t="n">
        <v>1977</v>
      </c>
      <c r="E57" s="5" t="inlineStr">
        <is>
          <t>Filmfare Awards</t>
        </is>
      </c>
      <c r="F57" s="5" t="inlineStr">
        <is>
          <t>Best Cinematography</t>
        </is>
      </c>
      <c r="G57" s="5" t="inlineStr">
        <is>
          <t>Fali Mistry</t>
        </is>
      </c>
      <c r="H57" s="5" t="inlineStr">
        <is>
          <t>Cinematographer</t>
        </is>
      </c>
      <c r="I57" s="5" t="inlineStr">
        <is>
          <t>Win</t>
        </is>
      </c>
      <c r="J57" s="5" t="inlineStr">
        <is>
          <t>Competitive</t>
        </is>
      </c>
      <c r="K57" s="5" t="inlineStr">
        <is>
          <t>24th Filmfare Awards, 20 June 1977. Fakira won 2 of its 4 nominations.</t>
        </is>
      </c>
      <c r="L57" s="5" t="inlineStr">
        <is>
          <t>SOURCE-047; SOURCE-313</t>
        </is>
      </c>
      <c r="M57" s="5" t="inlineStr">
        <is>
          <t>High</t>
        </is>
      </c>
    </row>
    <row r="58" ht="49" customHeight="1">
      <c r="A58" s="15" t="inlineStr">
        <is>
          <t>AWARD-057</t>
        </is>
      </c>
      <c r="B58" s="18" t="inlineStr">
        <is>
          <t>FILM-062</t>
        </is>
      </c>
      <c r="C58" s="5" t="inlineStr">
        <is>
          <t>Fakira</t>
        </is>
      </c>
      <c r="D58" s="17" t="n">
        <v>1977</v>
      </c>
      <c r="E58" s="5" t="inlineStr">
        <is>
          <t>Filmfare Awards</t>
        </is>
      </c>
      <c r="F58" s="5" t="inlineStr">
        <is>
          <t>Best Female Playback Singer</t>
        </is>
      </c>
      <c r="G58" s="5" t="inlineStr">
        <is>
          <t>Hemlata</t>
        </is>
      </c>
      <c r="H58" s="5" t="inlineStr">
        <is>
          <t>Playback singer</t>
        </is>
      </c>
      <c r="I58" s="5" t="inlineStr">
        <is>
          <t>Nomination</t>
        </is>
      </c>
      <c r="J58" s="5" t="inlineStr">
        <is>
          <t>Competitive</t>
        </is>
      </c>
      <c r="K58" s="5" t="inlineStr">
        <is>
          <t>24th Filmfare Awards, 20 June 1977. Fakira won 2 of its 4 nominations. For 'Sunke Teri Pukar'.</t>
        </is>
      </c>
      <c r="L58" s="5" t="inlineStr">
        <is>
          <t>SOURCE-047; SOURCE-313</t>
        </is>
      </c>
      <c r="M58" s="5" t="inlineStr">
        <is>
          <t>High</t>
        </is>
      </c>
    </row>
    <row r="59" ht="49" customHeight="1">
      <c r="A59" s="15" t="inlineStr">
        <is>
          <t>AWARD-058</t>
        </is>
      </c>
      <c r="B59" s="18" t="inlineStr">
        <is>
          <t>FILM-062</t>
        </is>
      </c>
      <c r="C59" s="5" t="inlineStr">
        <is>
          <t>Fakira</t>
        </is>
      </c>
      <c r="D59" s="17" t="n">
        <v>1977</v>
      </c>
      <c r="E59" s="5" t="inlineStr">
        <is>
          <t>Filmfare Awards</t>
        </is>
      </c>
      <c r="F59" s="5" t="inlineStr">
        <is>
          <t>Best Male Playback Singer</t>
        </is>
      </c>
      <c r="G59" s="5" t="inlineStr">
        <is>
          <t>Mahendra Kapoor</t>
        </is>
      </c>
      <c r="H59" s="5" t="inlineStr">
        <is>
          <t>Playback singer</t>
        </is>
      </c>
      <c r="I59" s="5" t="inlineStr">
        <is>
          <t>Nomination</t>
        </is>
      </c>
      <c r="J59" s="5" t="inlineStr">
        <is>
          <t>Competitive</t>
        </is>
      </c>
      <c r="K59" s="5" t="inlineStr">
        <is>
          <t>24th Filmfare Awards, 20 June 1977. Fakira won 2 of its 4 nominations. For 'Sunke Teri Pukar'.</t>
        </is>
      </c>
      <c r="L59" s="5" t="inlineStr">
        <is>
          <t>SOURCE-047; SOURCE-313</t>
        </is>
      </c>
      <c r="M59" s="5" t="inlineStr">
        <is>
          <t>High</t>
        </is>
      </c>
    </row>
    <row r="60" ht="49" customHeight="1">
      <c r="A60" s="15" t="inlineStr">
        <is>
          <t>AWARD-059</t>
        </is>
      </c>
      <c r="B60" s="18" t="inlineStr">
        <is>
          <t>FILM-069</t>
        </is>
      </c>
      <c r="C60" s="5" t="inlineStr">
        <is>
          <t>Doosra Aadmi</t>
        </is>
      </c>
      <c r="D60" s="17" t="n">
        <v>1978</v>
      </c>
      <c r="E60" s="5" t="inlineStr">
        <is>
          <t>Filmfare Awards</t>
        </is>
      </c>
      <c r="F60" s="5" t="inlineStr">
        <is>
          <t>Best Actress</t>
        </is>
      </c>
      <c r="G60" s="5" t="inlineStr">
        <is>
          <t>Raakhee</t>
        </is>
      </c>
      <c r="H60" s="5" t="inlineStr">
        <is>
          <t>Actress</t>
        </is>
      </c>
      <c r="I60" s="5" t="inlineStr">
        <is>
          <t>Nomination</t>
        </is>
      </c>
      <c r="J60" s="5" t="inlineStr">
        <is>
          <t>Competitive</t>
        </is>
      </c>
      <c r="K60" s="5" t="inlineStr">
        <is>
          <t>25th Filmfare Awards, 1978. Four nominations, none converted. Raakhee was nominated in both actress categories for this film.</t>
        </is>
      </c>
      <c r="L60" s="5" t="inlineStr">
        <is>
          <t>SOURCE-055; SOURCE-314</t>
        </is>
      </c>
      <c r="M60" s="5" t="inlineStr">
        <is>
          <t>High</t>
        </is>
      </c>
    </row>
    <row r="61" ht="34" customHeight="1">
      <c r="A61" s="15" t="inlineStr">
        <is>
          <t>AWARD-060</t>
        </is>
      </c>
      <c r="B61" s="18" t="inlineStr">
        <is>
          <t>FILM-069</t>
        </is>
      </c>
      <c r="C61" s="5" t="inlineStr">
        <is>
          <t>Doosra Aadmi</t>
        </is>
      </c>
      <c r="D61" s="17" t="n">
        <v>1978</v>
      </c>
      <c r="E61" s="5" t="inlineStr">
        <is>
          <t>Filmfare Awards</t>
        </is>
      </c>
      <c r="F61" s="5" t="inlineStr">
        <is>
          <t>Best Comedian</t>
        </is>
      </c>
      <c r="G61" s="5" t="inlineStr">
        <is>
          <t>Deven Verma</t>
        </is>
      </c>
      <c r="H61" s="5" t="inlineStr">
        <is>
          <t>Actor</t>
        </is>
      </c>
      <c r="I61" s="5" t="inlineStr">
        <is>
          <t>Nomination</t>
        </is>
      </c>
      <c r="J61" s="5" t="inlineStr">
        <is>
          <t>Competitive</t>
        </is>
      </c>
      <c r="K61" s="5" t="inlineStr">
        <is>
          <t>25th Filmfare Awards, 1978. Four nominations, none converted.</t>
        </is>
      </c>
      <c r="L61" s="5" t="inlineStr">
        <is>
          <t>SOURCE-055; SOURCE-314</t>
        </is>
      </c>
      <c r="M61" s="5" t="inlineStr">
        <is>
          <t>High</t>
        </is>
      </c>
    </row>
    <row r="62" ht="34" customHeight="1">
      <c r="A62" s="15" t="inlineStr">
        <is>
          <t>AWARD-061</t>
        </is>
      </c>
      <c r="B62" s="18" t="inlineStr">
        <is>
          <t>FILM-069</t>
        </is>
      </c>
      <c r="C62" s="5" t="inlineStr">
        <is>
          <t>Doosra Aadmi</t>
        </is>
      </c>
      <c r="D62" s="17" t="n">
        <v>1978</v>
      </c>
      <c r="E62" s="5" t="inlineStr">
        <is>
          <t>Filmfare Awards</t>
        </is>
      </c>
      <c r="F62" s="5" t="inlineStr">
        <is>
          <t>Best Story</t>
        </is>
      </c>
      <c r="G62" s="5" t="inlineStr">
        <is>
          <t>Raju Saigal</t>
        </is>
      </c>
      <c r="H62" s="5" t="inlineStr">
        <is>
          <t>Writer</t>
        </is>
      </c>
      <c r="I62" s="5" t="inlineStr">
        <is>
          <t>Nomination</t>
        </is>
      </c>
      <c r="J62" s="5" t="inlineStr">
        <is>
          <t>Competitive</t>
        </is>
      </c>
      <c r="K62" s="5" t="inlineStr">
        <is>
          <t>25th Filmfare Awards, 1978. Four nominations, none converted.</t>
        </is>
      </c>
      <c r="L62" s="5" t="inlineStr">
        <is>
          <t>SOURCE-055; SOURCE-314</t>
        </is>
      </c>
      <c r="M62" s="5" t="inlineStr">
        <is>
          <t>High</t>
        </is>
      </c>
    </row>
    <row r="63" ht="64" customHeight="1">
      <c r="A63" s="15" t="inlineStr">
        <is>
          <t>AWARD-062</t>
        </is>
      </c>
      <c r="B63" s="18" t="inlineStr">
        <is>
          <t>FILM-069</t>
        </is>
      </c>
      <c r="C63" s="5" t="inlineStr">
        <is>
          <t>Doosra Aadmi</t>
        </is>
      </c>
      <c r="D63" s="17" t="n">
        <v>1978</v>
      </c>
      <c r="E63" s="5" t="inlineStr">
        <is>
          <t>Filmfare Awards</t>
        </is>
      </c>
      <c r="F63" s="5" t="inlineStr">
        <is>
          <t>Best Supporting Actress</t>
        </is>
      </c>
      <c r="G63" s="5" t="inlineStr">
        <is>
          <t>Raakhee</t>
        </is>
      </c>
      <c r="H63" s="5" t="inlineStr">
        <is>
          <t>Actress</t>
        </is>
      </c>
      <c r="I63" s="5" t="inlineStr">
        <is>
          <t>Nomination</t>
        </is>
      </c>
      <c r="J63" s="5" t="inlineStr">
        <is>
          <t>Competitive</t>
        </is>
      </c>
      <c r="K63" s="5" t="inlineStr">
        <is>
          <t>25th Filmfare Awards, 1978. Four nominations, none converted. Her second nomination for the same performance, in the supporting category.</t>
        </is>
      </c>
      <c r="L63" s="5" t="inlineStr">
        <is>
          <t>SOURCE-055; SOURCE-314</t>
        </is>
      </c>
      <c r="M63" s="5" t="inlineStr">
        <is>
          <t>High</t>
        </is>
      </c>
    </row>
    <row r="64" ht="19" customHeight="1">
      <c r="A64" s="15" t="inlineStr">
        <is>
          <t>AWARD-063</t>
        </is>
      </c>
      <c r="B64" s="18" t="inlineStr">
        <is>
          <t>FILM-072</t>
        </is>
      </c>
      <c r="C64" s="5" t="inlineStr">
        <is>
          <t>Trishna</t>
        </is>
      </c>
      <c r="D64" s="17" t="n">
        <v>1979</v>
      </c>
      <c r="E64" s="5" t="inlineStr">
        <is>
          <t>Filmfare Awards</t>
        </is>
      </c>
      <c r="F64" s="5" t="inlineStr">
        <is>
          <t>Best Actress</t>
        </is>
      </c>
      <c r="G64" s="5" t="inlineStr">
        <is>
          <t>Raakhee</t>
        </is>
      </c>
      <c r="H64" s="5" t="inlineStr">
        <is>
          <t>Actress</t>
        </is>
      </c>
      <c r="I64" s="5" t="inlineStr">
        <is>
          <t>Nomination</t>
        </is>
      </c>
      <c r="J64" s="5" t="inlineStr">
        <is>
          <t>Competitive</t>
        </is>
      </c>
      <c r="K64" s="5" t="inlineStr">
        <is>
          <t>26th Filmfare Awards, 6 April 1979.</t>
        </is>
      </c>
      <c r="L64" s="5" t="inlineStr">
        <is>
          <t>SOURCE-064; SOURCE-315</t>
        </is>
      </c>
      <c r="M64" s="5" t="inlineStr">
        <is>
          <t>High</t>
        </is>
      </c>
    </row>
    <row r="65" ht="64" customHeight="1">
      <c r="A65" s="15" t="inlineStr">
        <is>
          <t>AWARD-064</t>
        </is>
      </c>
      <c r="B65" s="18" t="inlineStr">
        <is>
          <t>FILM-076</t>
        </is>
      </c>
      <c r="C65" s="5" t="inlineStr">
        <is>
          <t>Satyam Shivam Sundaram</t>
        </is>
      </c>
      <c r="D65" s="17" t="n">
        <v>1979</v>
      </c>
      <c r="E65" s="5" t="inlineStr">
        <is>
          <t>Filmfare Awards</t>
        </is>
      </c>
      <c r="F65" s="5" t="inlineStr">
        <is>
          <t>Best Cinematography</t>
        </is>
      </c>
      <c r="G65" s="5" t="inlineStr">
        <is>
          <t>Radhu Karmakar</t>
        </is>
      </c>
      <c r="H65" s="5" t="inlineStr">
        <is>
          <t>Cinematographer</t>
        </is>
      </c>
      <c r="I65" s="5" t="inlineStr">
        <is>
          <t>Win</t>
        </is>
      </c>
      <c r="J65" s="5" t="inlineStr">
        <is>
          <t>Competitive</t>
        </is>
      </c>
      <c r="K65" s="5" t="inlineStr">
        <is>
          <t>26th Filmfare Awards, 6 April 1979. The film won 2 of its 6 nominations. The film article's own awards list omits this win; the ceremony page records it.</t>
        </is>
      </c>
      <c r="L65" s="5" t="inlineStr">
        <is>
          <t>SOURCE-061; SOURCE-315</t>
        </is>
      </c>
      <c r="M65" s="5" t="inlineStr">
        <is>
          <t>High</t>
        </is>
      </c>
    </row>
    <row r="66" ht="34" customHeight="1">
      <c r="A66" s="15" t="inlineStr">
        <is>
          <t>AWARD-065</t>
        </is>
      </c>
      <c r="B66" s="18" t="inlineStr">
        <is>
          <t>FILM-076</t>
        </is>
      </c>
      <c r="C66" s="5" t="inlineStr">
        <is>
          <t>Satyam Shivam Sundaram</t>
        </is>
      </c>
      <c r="D66" s="17" t="n">
        <v>1979</v>
      </c>
      <c r="E66" s="5" t="inlineStr">
        <is>
          <t>Filmfare Awards</t>
        </is>
      </c>
      <c r="F66" s="5" t="inlineStr">
        <is>
          <t>Best Music Director</t>
        </is>
      </c>
      <c r="G66" s="5" t="inlineStr">
        <is>
          <t>Laxmikant-Pyarelal</t>
        </is>
      </c>
      <c r="H66" s="5" t="inlineStr">
        <is>
          <t>Music director</t>
        </is>
      </c>
      <c r="I66" s="5" t="inlineStr">
        <is>
          <t>Win</t>
        </is>
      </c>
      <c r="J66" s="5" t="inlineStr">
        <is>
          <t>Competitive</t>
        </is>
      </c>
      <c r="K66" s="5" t="inlineStr">
        <is>
          <t>26th Filmfare Awards, 6 April 1979. The film won 2 of its 6 nominations.</t>
        </is>
      </c>
      <c r="L66" s="5" t="inlineStr">
        <is>
          <t>SOURCE-061; SOURCE-315</t>
        </is>
      </c>
      <c r="M66" s="5" t="inlineStr">
        <is>
          <t>High</t>
        </is>
      </c>
    </row>
    <row r="67" ht="34" customHeight="1">
      <c r="A67" s="15" t="inlineStr">
        <is>
          <t>AWARD-066</t>
        </is>
      </c>
      <c r="B67" s="18" t="inlineStr">
        <is>
          <t>FILM-076</t>
        </is>
      </c>
      <c r="C67" s="5" t="inlineStr">
        <is>
          <t>Satyam Shivam Sundaram</t>
        </is>
      </c>
      <c r="D67" s="17" t="n">
        <v>1979</v>
      </c>
      <c r="E67" s="5" t="inlineStr">
        <is>
          <t>Filmfare Awards</t>
        </is>
      </c>
      <c r="F67" s="5" t="inlineStr">
        <is>
          <t>Best Actress</t>
        </is>
      </c>
      <c r="G67" s="5" t="inlineStr">
        <is>
          <t>Zeenat Aman</t>
        </is>
      </c>
      <c r="H67" s="5" t="inlineStr">
        <is>
          <t>Actress</t>
        </is>
      </c>
      <c r="I67" s="5" t="inlineStr">
        <is>
          <t>Nomination</t>
        </is>
      </c>
      <c r="J67" s="5" t="inlineStr">
        <is>
          <t>Competitive</t>
        </is>
      </c>
      <c r="K67" s="5" t="inlineStr">
        <is>
          <t>26th Filmfare Awards, 6 April 1979. The film won 2 of its 6 nominations.</t>
        </is>
      </c>
      <c r="L67" s="5" t="inlineStr">
        <is>
          <t>SOURCE-061; SOURCE-315</t>
        </is>
      </c>
      <c r="M67" s="5" t="inlineStr">
        <is>
          <t>High</t>
        </is>
      </c>
    </row>
    <row r="68" ht="34" customHeight="1">
      <c r="A68" s="15" t="inlineStr">
        <is>
          <t>AWARD-067</t>
        </is>
      </c>
      <c r="B68" s="18" t="inlineStr">
        <is>
          <t>FILM-076</t>
        </is>
      </c>
      <c r="C68" s="5" t="inlineStr">
        <is>
          <t>Satyam Shivam Sundaram</t>
        </is>
      </c>
      <c r="D68" s="17" t="n">
        <v>1979</v>
      </c>
      <c r="E68" s="5" t="inlineStr">
        <is>
          <t>Filmfare Awards</t>
        </is>
      </c>
      <c r="F68" s="5" t="inlineStr">
        <is>
          <t>Best Director</t>
        </is>
      </c>
      <c r="G68" s="5" t="inlineStr">
        <is>
          <t>Raj Kapoor</t>
        </is>
      </c>
      <c r="H68" s="5" t="inlineStr">
        <is>
          <t>Director</t>
        </is>
      </c>
      <c r="I68" s="5" t="inlineStr">
        <is>
          <t>Nomination</t>
        </is>
      </c>
      <c r="J68" s="5" t="inlineStr">
        <is>
          <t>Competitive</t>
        </is>
      </c>
      <c r="K68" s="5" t="inlineStr">
        <is>
          <t>26th Filmfare Awards, 6 April 1979. The film won 2 of its 6 nominations.</t>
        </is>
      </c>
      <c r="L68" s="5" t="inlineStr">
        <is>
          <t>SOURCE-061; SOURCE-315</t>
        </is>
      </c>
      <c r="M68" s="5" t="inlineStr">
        <is>
          <t>High</t>
        </is>
      </c>
    </row>
    <row r="69" ht="49" customHeight="1">
      <c r="A69" s="15" t="inlineStr">
        <is>
          <t>AWARD-068</t>
        </is>
      </c>
      <c r="B69" s="18" t="inlineStr">
        <is>
          <t>FILM-076</t>
        </is>
      </c>
      <c r="C69" s="5" t="inlineStr">
        <is>
          <t>Satyam Shivam Sundaram</t>
        </is>
      </c>
      <c r="D69" s="17" t="n">
        <v>1979</v>
      </c>
      <c r="E69" s="5" t="inlineStr">
        <is>
          <t>Filmfare Awards</t>
        </is>
      </c>
      <c r="F69" s="5" t="inlineStr">
        <is>
          <t>Best Lyricist</t>
        </is>
      </c>
      <c r="G69" s="5" t="inlineStr">
        <is>
          <t>Pandit Narendra Sharma</t>
        </is>
      </c>
      <c r="H69" s="5" t="inlineStr">
        <is>
          <t>Lyricist</t>
        </is>
      </c>
      <c r="I69" s="5" t="inlineStr">
        <is>
          <t>Nomination</t>
        </is>
      </c>
      <c r="J69" s="5" t="inlineStr">
        <is>
          <t>Competitive</t>
        </is>
      </c>
      <c r="K69" s="5" t="inlineStr">
        <is>
          <t>26th Filmfare Awards, 6 April 1979. The film won 2 of its 6 nominations. For 'Satyam Shivam Sundaram'.</t>
        </is>
      </c>
      <c r="L69" s="5" t="inlineStr">
        <is>
          <t>SOURCE-061; SOURCE-315</t>
        </is>
      </c>
      <c r="M69" s="5" t="inlineStr">
        <is>
          <t>High</t>
        </is>
      </c>
    </row>
    <row r="70" ht="49" customHeight="1">
      <c r="A70" s="15" t="inlineStr">
        <is>
          <t>AWARD-069</t>
        </is>
      </c>
      <c r="B70" s="18" t="inlineStr">
        <is>
          <t>FILM-076</t>
        </is>
      </c>
      <c r="C70" s="5" t="inlineStr">
        <is>
          <t>Satyam Shivam Sundaram</t>
        </is>
      </c>
      <c r="D70" s="17" t="n">
        <v>1979</v>
      </c>
      <c r="E70" s="5" t="inlineStr">
        <is>
          <t>Filmfare Awards</t>
        </is>
      </c>
      <c r="F70" s="5" t="inlineStr">
        <is>
          <t>Best Male Playback Singer</t>
        </is>
      </c>
      <c r="G70" s="5" t="inlineStr">
        <is>
          <t>Mukesh</t>
        </is>
      </c>
      <c r="H70" s="5" t="inlineStr">
        <is>
          <t>Playback singer</t>
        </is>
      </c>
      <c r="I70" s="5" t="inlineStr">
        <is>
          <t>Nomination</t>
        </is>
      </c>
      <c r="J70" s="5" t="inlineStr">
        <is>
          <t>Competitive</t>
        </is>
      </c>
      <c r="K70" s="5" t="inlineStr">
        <is>
          <t>26th Filmfare Awards, 6 April 1979. The film won 2 of its 6 nominations. For 'Chanchal Sheetal', nominated posthumously.</t>
        </is>
      </c>
      <c r="L70" s="5" t="inlineStr">
        <is>
          <t>SOURCE-061; SOURCE-315</t>
        </is>
      </c>
      <c r="M70" s="5" t="inlineStr">
        <is>
          <t>High</t>
        </is>
      </c>
    </row>
    <row r="71" ht="34" customHeight="1">
      <c r="A71" s="15" t="inlineStr">
        <is>
          <t>AWARD-070</t>
        </is>
      </c>
      <c r="B71" s="18" t="inlineStr">
        <is>
          <t>FILM-078</t>
        </is>
      </c>
      <c r="C71" s="5" t="inlineStr">
        <is>
          <t>Trishul</t>
        </is>
      </c>
      <c r="D71" s="17" t="n">
        <v>1979</v>
      </c>
      <c r="E71" s="5" t="inlineStr">
        <is>
          <t>Filmfare Awards</t>
        </is>
      </c>
      <c r="F71" s="5" t="inlineStr">
        <is>
          <t>Best Actor</t>
        </is>
      </c>
      <c r="G71" s="5" t="inlineStr">
        <is>
          <t>Amitabh Bachchan</t>
        </is>
      </c>
      <c r="H71" s="5" t="inlineStr">
        <is>
          <t>Actor</t>
        </is>
      </c>
      <c r="I71" s="5" t="inlineStr">
        <is>
          <t>Nomination</t>
        </is>
      </c>
      <c r="J71" s="5" t="inlineStr">
        <is>
          <t>Competitive</t>
        </is>
      </c>
      <c r="K71" s="5" t="inlineStr">
        <is>
          <t>26th Filmfare Awards, 6 April 1979. Five nominations, none converted.</t>
        </is>
      </c>
      <c r="L71" s="5" t="inlineStr">
        <is>
          <t>SOURCE-062; SOURCE-315</t>
        </is>
      </c>
      <c r="M71" s="5" t="inlineStr">
        <is>
          <t>High</t>
        </is>
      </c>
    </row>
    <row r="72" ht="34" customHeight="1">
      <c r="A72" s="15" t="inlineStr">
        <is>
          <t>AWARD-071</t>
        </is>
      </c>
      <c r="B72" s="18" t="inlineStr">
        <is>
          <t>FILM-078</t>
        </is>
      </c>
      <c r="C72" s="5" t="inlineStr">
        <is>
          <t>Trishul</t>
        </is>
      </c>
      <c r="D72" s="17" t="n">
        <v>1979</v>
      </c>
      <c r="E72" s="5" t="inlineStr">
        <is>
          <t>Filmfare Awards</t>
        </is>
      </c>
      <c r="F72" s="5" t="inlineStr">
        <is>
          <t>Best Director</t>
        </is>
      </c>
      <c r="G72" s="5" t="inlineStr">
        <is>
          <t>Yash Chopra</t>
        </is>
      </c>
      <c r="H72" s="5" t="inlineStr">
        <is>
          <t>Director</t>
        </is>
      </c>
      <c r="I72" s="5" t="inlineStr">
        <is>
          <t>Nomination</t>
        </is>
      </c>
      <c r="J72" s="5" t="inlineStr">
        <is>
          <t>Competitive</t>
        </is>
      </c>
      <c r="K72" s="5" t="inlineStr">
        <is>
          <t>26th Filmfare Awards, 6 April 1979. Five nominations, none converted.</t>
        </is>
      </c>
      <c r="L72" s="5" t="inlineStr">
        <is>
          <t>SOURCE-062; SOURCE-315</t>
        </is>
      </c>
      <c r="M72" s="5" t="inlineStr">
        <is>
          <t>High</t>
        </is>
      </c>
    </row>
    <row r="73" ht="34" customHeight="1">
      <c r="A73" s="15" t="inlineStr">
        <is>
          <t>AWARD-072</t>
        </is>
      </c>
      <c r="B73" s="18" t="inlineStr">
        <is>
          <t>FILM-078</t>
        </is>
      </c>
      <c r="C73" s="5" t="inlineStr">
        <is>
          <t>Trishul</t>
        </is>
      </c>
      <c r="D73" s="17" t="n">
        <v>1979</v>
      </c>
      <c r="E73" s="5" t="inlineStr">
        <is>
          <t>Filmfare Awards</t>
        </is>
      </c>
      <c r="F73" s="5" t="inlineStr">
        <is>
          <t>Best Film</t>
        </is>
      </c>
      <c r="G73" s="5" t="inlineStr">
        <is>
          <t>Gulshan Rai</t>
        </is>
      </c>
      <c r="H73" s="5" t="inlineStr">
        <is>
          <t>Producer</t>
        </is>
      </c>
      <c r="I73" s="5" t="inlineStr">
        <is>
          <t>Nomination</t>
        </is>
      </c>
      <c r="J73" s="5" t="inlineStr">
        <is>
          <t>Competitive</t>
        </is>
      </c>
      <c r="K73" s="5" t="inlineStr">
        <is>
          <t>26th Filmfare Awards, 6 April 1979. Five nominations, none converted.</t>
        </is>
      </c>
      <c r="L73" s="5" t="inlineStr">
        <is>
          <t>SOURCE-062; SOURCE-315</t>
        </is>
      </c>
      <c r="M73" s="5" t="inlineStr">
        <is>
          <t>High</t>
        </is>
      </c>
    </row>
    <row r="74" ht="34" customHeight="1">
      <c r="A74" s="15" t="inlineStr">
        <is>
          <t>AWARD-073</t>
        </is>
      </c>
      <c r="B74" s="18" t="inlineStr">
        <is>
          <t>FILM-078</t>
        </is>
      </c>
      <c r="C74" s="5" t="inlineStr">
        <is>
          <t>Trishul</t>
        </is>
      </c>
      <c r="D74" s="17" t="n">
        <v>1979</v>
      </c>
      <c r="E74" s="5" t="inlineStr">
        <is>
          <t>Filmfare Awards</t>
        </is>
      </c>
      <c r="F74" s="5" t="inlineStr">
        <is>
          <t>Best Story</t>
        </is>
      </c>
      <c r="G74" s="5" t="inlineStr">
        <is>
          <t>Salim-Javed</t>
        </is>
      </c>
      <c r="H74" s="5" t="inlineStr">
        <is>
          <t>Writer</t>
        </is>
      </c>
      <c r="I74" s="5" t="inlineStr">
        <is>
          <t>Nomination</t>
        </is>
      </c>
      <c r="J74" s="5" t="inlineStr">
        <is>
          <t>Competitive</t>
        </is>
      </c>
      <c r="K74" s="5" t="inlineStr">
        <is>
          <t>26th Filmfare Awards, 6 April 1979. Five nominations, none converted.</t>
        </is>
      </c>
      <c r="L74" s="5" t="inlineStr">
        <is>
          <t>SOURCE-062; SOURCE-315</t>
        </is>
      </c>
      <c r="M74" s="5" t="inlineStr">
        <is>
          <t>High</t>
        </is>
      </c>
    </row>
    <row r="75" ht="34" customHeight="1">
      <c r="A75" s="15" t="inlineStr">
        <is>
          <t>AWARD-074</t>
        </is>
      </c>
      <c r="B75" s="18" t="inlineStr">
        <is>
          <t>FILM-078</t>
        </is>
      </c>
      <c r="C75" s="5" t="inlineStr">
        <is>
          <t>Trishul</t>
        </is>
      </c>
      <c r="D75" s="17" t="n">
        <v>1979</v>
      </c>
      <c r="E75" s="5" t="inlineStr">
        <is>
          <t>Filmfare Awards</t>
        </is>
      </c>
      <c r="F75" s="5" t="inlineStr">
        <is>
          <t>Best Supporting Actor</t>
        </is>
      </c>
      <c r="G75" s="5" t="inlineStr">
        <is>
          <t>Sanjeev Kumar</t>
        </is>
      </c>
      <c r="H75" s="5" t="inlineStr">
        <is>
          <t>Actor</t>
        </is>
      </c>
      <c r="I75" s="5" t="inlineStr">
        <is>
          <t>Nomination</t>
        </is>
      </c>
      <c r="J75" s="5" t="inlineStr">
        <is>
          <t>Competitive</t>
        </is>
      </c>
      <c r="K75" s="5" t="inlineStr">
        <is>
          <t>26th Filmfare Awards, 6 April 1979. Five nominations, none converted.</t>
        </is>
      </c>
      <c r="L75" s="5" t="inlineStr">
        <is>
          <t>SOURCE-062; SOURCE-315</t>
        </is>
      </c>
      <c r="M75" s="5" t="inlineStr">
        <is>
          <t>High</t>
        </is>
      </c>
    </row>
    <row r="76" ht="34" customHeight="1">
      <c r="A76" s="15" t="inlineStr">
        <is>
          <t>AWARD-075</t>
        </is>
      </c>
      <c r="B76" s="18" t="inlineStr">
        <is>
          <t>FILM-084</t>
        </is>
      </c>
      <c r="C76" s="5" t="inlineStr">
        <is>
          <t>Junoon</t>
        </is>
      </c>
      <c r="D76" s="17" t="n">
        <v>1979</v>
      </c>
      <c r="E76" s="5" t="inlineStr">
        <is>
          <t>National Film Awards</t>
        </is>
      </c>
      <c r="F76" s="5" t="inlineStr">
        <is>
          <t>Best Cinematography (Colour)</t>
        </is>
      </c>
      <c r="G76" s="5" t="inlineStr">
        <is>
          <t>Govind Nihalani</t>
        </is>
      </c>
      <c r="H76" s="5" t="inlineStr">
        <is>
          <t>Cinematographer</t>
        </is>
      </c>
      <c r="I76" s="5" t="inlineStr">
        <is>
          <t>Win</t>
        </is>
      </c>
      <c r="J76" s="5" t="inlineStr">
        <is>
          <t>Competitive</t>
        </is>
      </c>
      <c r="K76" s="5" t="inlineStr">
        <is>
          <t>26th National Film Awards, presented April 1979, for films of 1978.</t>
        </is>
      </c>
      <c r="L76" s="5" t="inlineStr">
        <is>
          <t>SOURCE-071; SOURCE-325</t>
        </is>
      </c>
      <c r="M76" s="5" t="inlineStr">
        <is>
          <t>High</t>
        </is>
      </c>
    </row>
    <row r="77" ht="94" customHeight="1">
      <c r="A77" s="15" t="inlineStr">
        <is>
          <t>AWARD-076</t>
        </is>
      </c>
      <c r="B77" s="18" t="inlineStr">
        <is>
          <t>FILM-084</t>
        </is>
      </c>
      <c r="C77" s="5" t="inlineStr">
        <is>
          <t>Junoon</t>
        </is>
      </c>
      <c r="D77" s="17" t="n">
        <v>1979</v>
      </c>
      <c r="E77" s="5" t="inlineStr">
        <is>
          <t>National Film Awards</t>
        </is>
      </c>
      <c r="F77" s="5" t="inlineStr">
        <is>
          <t>Best Feature Film in Hindi</t>
        </is>
      </c>
      <c r="G77" s="5" t="inlineStr">
        <is>
          <t>Shashi Kapoor</t>
        </is>
      </c>
      <c r="H77" s="5" t="inlineStr">
        <is>
          <t>Producer</t>
        </is>
      </c>
      <c r="I77" s="5" t="inlineStr">
        <is>
          <t>Win</t>
        </is>
      </c>
      <c r="J77" s="5" t="inlineStr">
        <is>
          <t>Competitive</t>
        </is>
      </c>
      <c r="K77" s="5" t="inlineStr">
        <is>
          <t>26th National Film Awards, presented April 1979, for films of 1978. Awarded to Kapoor as producer, with a Rajat Kamal and Rs 5,000. His first National Film Award, and the first of the two he won as producer rather than as an actor.</t>
        </is>
      </c>
      <c r="L77" s="5" t="inlineStr">
        <is>
          <t>SOURCE-071; SOURCE-325</t>
        </is>
      </c>
      <c r="M77" s="5" t="inlineStr">
        <is>
          <t>High</t>
        </is>
      </c>
    </row>
    <row r="78" ht="64" customHeight="1">
      <c r="A78" s="15" t="inlineStr">
        <is>
          <t>AWARD-077</t>
        </is>
      </c>
      <c r="B78" s="18" t="inlineStr">
        <is>
          <t>FILM-084</t>
        </is>
      </c>
      <c r="C78" s="5" t="inlineStr">
        <is>
          <t>Junoon</t>
        </is>
      </c>
      <c r="D78" s="17" t="n">
        <v>1979</v>
      </c>
      <c r="E78" s="5" t="inlineStr">
        <is>
          <t>National Film Awards</t>
        </is>
      </c>
      <c r="F78" s="5" t="inlineStr">
        <is>
          <t>Best Sound Recording</t>
        </is>
      </c>
      <c r="G78" s="5" t="inlineStr">
        <is>
          <t>Hitendra Ghosh</t>
        </is>
      </c>
      <c r="H78" s="5" t="inlineStr">
        <is>
          <t>Technician</t>
        </is>
      </c>
      <c r="I78" s="5" t="inlineStr">
        <is>
          <t>Win</t>
        </is>
      </c>
      <c r="J78" s="5" t="inlineStr">
        <is>
          <t>Competitive</t>
        </is>
      </c>
      <c r="K78" s="5" t="inlineStr">
        <is>
          <t>26th National Film Awards, presented April 1979, for films of 1978. The ceremony names the category Best Sound Recording; the film article calls it Best Audiography.</t>
        </is>
      </c>
      <c r="L78" s="5" t="inlineStr">
        <is>
          <t>SOURCE-071; SOURCE-325</t>
        </is>
      </c>
      <c r="M78" s="5" t="inlineStr">
        <is>
          <t>High</t>
        </is>
      </c>
    </row>
    <row r="79" ht="49" customHeight="1">
      <c r="A79" s="15" t="inlineStr">
        <is>
          <t>AWARD-078</t>
        </is>
      </c>
      <c r="B79" s="18" t="inlineStr">
        <is>
          <t>FILM-084</t>
        </is>
      </c>
      <c r="C79" s="5" t="inlineStr">
        <is>
          <t>Junoon</t>
        </is>
      </c>
      <c r="D79" s="17" t="n">
        <v>1980</v>
      </c>
      <c r="E79" s="5" t="inlineStr">
        <is>
          <t>Filmfare Awards</t>
        </is>
      </c>
      <c r="F79" s="5" t="inlineStr">
        <is>
          <t>Best Cinematography</t>
        </is>
      </c>
      <c r="G79" s="5" t="inlineStr">
        <is>
          <t>Govind Nihalani</t>
        </is>
      </c>
      <c r="H79" s="5" t="inlineStr">
        <is>
          <t>Cinematographer</t>
        </is>
      </c>
      <c r="I79" s="5" t="inlineStr">
        <is>
          <t>Win</t>
        </is>
      </c>
      <c r="J79" s="5" t="inlineStr">
        <is>
          <t>Competitive</t>
        </is>
      </c>
      <c r="K79" s="5" t="inlineStr">
        <is>
          <t>27th Filmfare Awards, 1980. Junoon led the ceremony with 9 nominations and won 6, the most of any film that year.</t>
        </is>
      </c>
      <c r="L79" s="5" t="inlineStr">
        <is>
          <t>SOURCE-071; SOURCE-316</t>
        </is>
      </c>
      <c r="M79" s="5" t="inlineStr">
        <is>
          <t>High</t>
        </is>
      </c>
    </row>
    <row r="80" ht="49" customHeight="1">
      <c r="A80" s="15" t="inlineStr">
        <is>
          <t>AWARD-079</t>
        </is>
      </c>
      <c r="B80" s="18" t="inlineStr">
        <is>
          <t>FILM-084</t>
        </is>
      </c>
      <c r="C80" s="5" t="inlineStr">
        <is>
          <t>Junoon</t>
        </is>
      </c>
      <c r="D80" s="17" t="n">
        <v>1980</v>
      </c>
      <c r="E80" s="5" t="inlineStr">
        <is>
          <t>Filmfare Awards</t>
        </is>
      </c>
      <c r="F80" s="5" t="inlineStr">
        <is>
          <t>Best Dialogue</t>
        </is>
      </c>
      <c r="G80" s="5" t="inlineStr">
        <is>
          <t>Satyadev Dubey</t>
        </is>
      </c>
      <c r="H80" s="5" t="inlineStr">
        <is>
          <t>Writer</t>
        </is>
      </c>
      <c r="I80" s="5" t="inlineStr">
        <is>
          <t>Win</t>
        </is>
      </c>
      <c r="J80" s="5" t="inlineStr">
        <is>
          <t>Competitive</t>
        </is>
      </c>
      <c r="K80" s="5" t="inlineStr">
        <is>
          <t>27th Filmfare Awards, 1980. Junoon led the ceremony with 9 nominations and won 6, the most of any film that year.</t>
        </is>
      </c>
      <c r="L80" s="5" t="inlineStr">
        <is>
          <t>SOURCE-071; SOURCE-316</t>
        </is>
      </c>
      <c r="M80" s="5" t="inlineStr">
        <is>
          <t>High</t>
        </is>
      </c>
    </row>
    <row r="81" ht="49" customHeight="1">
      <c r="A81" s="15" t="inlineStr">
        <is>
          <t>AWARD-080</t>
        </is>
      </c>
      <c r="B81" s="18" t="inlineStr">
        <is>
          <t>FILM-084</t>
        </is>
      </c>
      <c r="C81" s="5" t="inlineStr">
        <is>
          <t>Junoon</t>
        </is>
      </c>
      <c r="D81" s="17" t="n">
        <v>1980</v>
      </c>
      <c r="E81" s="5" t="inlineStr">
        <is>
          <t>Filmfare Awards</t>
        </is>
      </c>
      <c r="F81" s="5" t="inlineStr">
        <is>
          <t>Best Director</t>
        </is>
      </c>
      <c r="G81" s="5" t="inlineStr">
        <is>
          <t>Shyam Benegal</t>
        </is>
      </c>
      <c r="H81" s="5" t="inlineStr">
        <is>
          <t>Director</t>
        </is>
      </c>
      <c r="I81" s="5" t="inlineStr">
        <is>
          <t>Win</t>
        </is>
      </c>
      <c r="J81" s="5" t="inlineStr">
        <is>
          <t>Competitive</t>
        </is>
      </c>
      <c r="K81" s="5" t="inlineStr">
        <is>
          <t>27th Filmfare Awards, 1980. Junoon led the ceremony with 9 nominations and won 6, the most of any film that year.</t>
        </is>
      </c>
      <c r="L81" s="5" t="inlineStr">
        <is>
          <t>SOURCE-071; SOURCE-316</t>
        </is>
      </c>
      <c r="M81" s="5" t="inlineStr">
        <is>
          <t>High</t>
        </is>
      </c>
    </row>
    <row r="82" ht="49" customHeight="1">
      <c r="A82" s="15" t="inlineStr">
        <is>
          <t>AWARD-081</t>
        </is>
      </c>
      <c r="B82" s="18" t="inlineStr">
        <is>
          <t>FILM-084</t>
        </is>
      </c>
      <c r="C82" s="5" t="inlineStr">
        <is>
          <t>Junoon</t>
        </is>
      </c>
      <c r="D82" s="17" t="n">
        <v>1980</v>
      </c>
      <c r="E82" s="5" t="inlineStr">
        <is>
          <t>Filmfare Awards</t>
        </is>
      </c>
      <c r="F82" s="5" t="inlineStr">
        <is>
          <t>Best Editing</t>
        </is>
      </c>
      <c r="G82" s="5" t="inlineStr">
        <is>
          <t>Bhanudas Divakar</t>
        </is>
      </c>
      <c r="H82" s="5" t="inlineStr">
        <is>
          <t>Editor</t>
        </is>
      </c>
      <c r="I82" s="5" t="inlineStr">
        <is>
          <t>Win</t>
        </is>
      </c>
      <c r="J82" s="5" t="inlineStr">
        <is>
          <t>Competitive</t>
        </is>
      </c>
      <c r="K82" s="5" t="inlineStr">
        <is>
          <t>27th Filmfare Awards, 1980. Junoon led the ceremony with 9 nominations and won 6, the most of any film that year.</t>
        </is>
      </c>
      <c r="L82" s="5" t="inlineStr">
        <is>
          <t>SOURCE-071; SOURCE-316</t>
        </is>
      </c>
      <c r="M82" s="5" t="inlineStr">
        <is>
          <t>High</t>
        </is>
      </c>
    </row>
    <row r="83" ht="79" customHeight="1">
      <c r="A83" s="15" t="inlineStr">
        <is>
          <t>AWARD-082</t>
        </is>
      </c>
      <c r="B83" s="18" t="inlineStr">
        <is>
          <t>FILM-084</t>
        </is>
      </c>
      <c r="C83" s="5" t="inlineStr">
        <is>
          <t>Junoon</t>
        </is>
      </c>
      <c r="D83" s="17" t="n">
        <v>1980</v>
      </c>
      <c r="E83" s="5" t="inlineStr">
        <is>
          <t>Filmfare Awards</t>
        </is>
      </c>
      <c r="F83" s="5" t="inlineStr">
        <is>
          <t>Best Film</t>
        </is>
      </c>
      <c r="G83" s="5" t="inlineStr">
        <is>
          <t>Shashi Kapoor</t>
        </is>
      </c>
      <c r="H83" s="5" t="inlineStr">
        <is>
          <t>Producer</t>
        </is>
      </c>
      <c r="I83" s="5" t="inlineStr">
        <is>
          <t>Win</t>
        </is>
      </c>
      <c r="J83" s="5" t="inlineStr">
        <is>
          <t>Competitive</t>
        </is>
      </c>
      <c r="K83" s="5" t="inlineStr">
        <is>
          <t>27th Filmfare Awards, 1980. Kapoor's first Filmfare Best Film as producer, for the first film made under his Film-Valas banner. He does not act in the award citation's capacity: he plays Javed Khan in the film.</t>
        </is>
      </c>
      <c r="L83" s="5" t="inlineStr">
        <is>
          <t>SOURCE-071; SOURCE-316</t>
        </is>
      </c>
      <c r="M83" s="5" t="inlineStr">
        <is>
          <t>High</t>
        </is>
      </c>
    </row>
    <row r="84" ht="49" customHeight="1">
      <c r="A84" s="15" t="inlineStr">
        <is>
          <t>AWARD-083</t>
        </is>
      </c>
      <c r="B84" s="18" t="inlineStr">
        <is>
          <t>FILM-084</t>
        </is>
      </c>
      <c r="C84" s="5" t="inlineStr">
        <is>
          <t>Junoon</t>
        </is>
      </c>
      <c r="D84" s="17" t="n">
        <v>1980</v>
      </c>
      <c r="E84" s="5" t="inlineStr">
        <is>
          <t>Filmfare Awards</t>
        </is>
      </c>
      <c r="F84" s="5" t="inlineStr">
        <is>
          <t>Best Sound Recording</t>
        </is>
      </c>
      <c r="G84" s="5" t="inlineStr">
        <is>
          <t>Hitendra Ghosh</t>
        </is>
      </c>
      <c r="H84" s="5" t="inlineStr">
        <is>
          <t>Technician</t>
        </is>
      </c>
      <c r="I84" s="5" t="inlineStr">
        <is>
          <t>Win</t>
        </is>
      </c>
      <c r="J84" s="5" t="inlineStr">
        <is>
          <t>Competitive</t>
        </is>
      </c>
      <c r="K84" s="5" t="inlineStr">
        <is>
          <t>27th Filmfare Awards, 1980. Junoon led the ceremony with 9 nominations and won 6, the most of any film that year.</t>
        </is>
      </c>
      <c r="L84" s="5" t="inlineStr">
        <is>
          <t>SOURCE-071; SOURCE-316</t>
        </is>
      </c>
      <c r="M84" s="5" t="inlineStr">
        <is>
          <t>High</t>
        </is>
      </c>
    </row>
    <row r="85" ht="49" customHeight="1">
      <c r="A85" s="15" t="inlineStr">
        <is>
          <t>AWARD-084</t>
        </is>
      </c>
      <c r="B85" s="18" t="inlineStr">
        <is>
          <t>FILM-084</t>
        </is>
      </c>
      <c r="C85" s="5" t="inlineStr">
        <is>
          <t>Junoon</t>
        </is>
      </c>
      <c r="D85" s="17" t="n">
        <v>1980</v>
      </c>
      <c r="E85" s="5" t="inlineStr">
        <is>
          <t>Filmfare Awards</t>
        </is>
      </c>
      <c r="F85" s="5" t="inlineStr">
        <is>
          <t>Best Story</t>
        </is>
      </c>
      <c r="G85" s="5" t="inlineStr">
        <is>
          <t>Ruskin Bond</t>
        </is>
      </c>
      <c r="H85" s="5" t="inlineStr">
        <is>
          <t>Writer</t>
        </is>
      </c>
      <c r="I85" s="5" t="inlineStr">
        <is>
          <t>Nomination</t>
        </is>
      </c>
      <c r="J85" s="5" t="inlineStr">
        <is>
          <t>Competitive</t>
        </is>
      </c>
      <c r="K85" s="5" t="inlineStr">
        <is>
          <t>27th Filmfare Awards, 1980. Junoon led the ceremony with 9 nominations and won 6, the most of any film that year.</t>
        </is>
      </c>
      <c r="L85" s="5" t="inlineStr">
        <is>
          <t>SOURCE-071; SOURCE-316</t>
        </is>
      </c>
      <c r="M85" s="5" t="inlineStr">
        <is>
          <t>High</t>
        </is>
      </c>
    </row>
    <row r="86" ht="49" customHeight="1">
      <c r="A86" s="15" t="inlineStr">
        <is>
          <t>AWARD-085</t>
        </is>
      </c>
      <c r="B86" s="18" t="inlineStr">
        <is>
          <t>FILM-084</t>
        </is>
      </c>
      <c r="C86" s="5" t="inlineStr">
        <is>
          <t>Junoon</t>
        </is>
      </c>
      <c r="D86" s="17" t="n">
        <v>1980</v>
      </c>
      <c r="E86" s="5" t="inlineStr">
        <is>
          <t>Filmfare Awards</t>
        </is>
      </c>
      <c r="F86" s="5" t="inlineStr">
        <is>
          <t>Best Supporting Actor</t>
        </is>
      </c>
      <c r="G86" s="5" t="inlineStr">
        <is>
          <t>Naseeruddin Shah</t>
        </is>
      </c>
      <c r="H86" s="5" t="inlineStr">
        <is>
          <t>Actor</t>
        </is>
      </c>
      <c r="I86" s="5" t="inlineStr">
        <is>
          <t>Nomination</t>
        </is>
      </c>
      <c r="J86" s="5" t="inlineStr">
        <is>
          <t>Competitive</t>
        </is>
      </c>
      <c r="K86" s="5" t="inlineStr">
        <is>
          <t>27th Filmfare Awards, 1980. Junoon led the ceremony with 9 nominations and won 6, the most of any film that year.</t>
        </is>
      </c>
      <c r="L86" s="5" t="inlineStr">
        <is>
          <t>SOURCE-071; SOURCE-316</t>
        </is>
      </c>
      <c r="M86" s="5" t="inlineStr">
        <is>
          <t>High</t>
        </is>
      </c>
    </row>
    <row r="87" ht="49" customHeight="1">
      <c r="A87" s="15" t="inlineStr">
        <is>
          <t>AWARD-086</t>
        </is>
      </c>
      <c r="B87" s="18" t="inlineStr">
        <is>
          <t>FILM-084</t>
        </is>
      </c>
      <c r="C87" s="5" t="inlineStr">
        <is>
          <t>Junoon</t>
        </is>
      </c>
      <c r="D87" s="17" t="n">
        <v>1980</v>
      </c>
      <c r="E87" s="5" t="inlineStr">
        <is>
          <t>Filmfare Awards</t>
        </is>
      </c>
      <c r="F87" s="5" t="inlineStr">
        <is>
          <t>Best Supporting Actress</t>
        </is>
      </c>
      <c r="G87" s="5" t="inlineStr">
        <is>
          <t>Jennifer Kendal</t>
        </is>
      </c>
      <c r="H87" s="5" t="inlineStr">
        <is>
          <t>Actress</t>
        </is>
      </c>
      <c r="I87" s="5" t="inlineStr">
        <is>
          <t>Nomination</t>
        </is>
      </c>
      <c r="J87" s="5" t="inlineStr">
        <is>
          <t>Competitive</t>
        </is>
      </c>
      <c r="K87" s="5" t="inlineStr">
        <is>
          <t>27th Filmfare Awards, 1980. Junoon led the ceremony with 9 nominations and won 6, the most of any film that year. Kapoor's wife.</t>
        </is>
      </c>
      <c r="L87" s="5" t="inlineStr">
        <is>
          <t>SOURCE-071; SOURCE-316</t>
        </is>
      </c>
      <c r="M87" s="5" t="inlineStr">
        <is>
          <t>High</t>
        </is>
      </c>
    </row>
    <row r="88" ht="64" customHeight="1">
      <c r="A88" s="15" t="inlineStr">
        <is>
          <t>AWARD-087</t>
        </is>
      </c>
      <c r="B88" s="18" t="inlineStr">
        <is>
          <t>FILM-085</t>
        </is>
      </c>
      <c r="C88" s="5" t="inlineStr">
        <is>
          <t>Kaala Patthar</t>
        </is>
      </c>
      <c r="D88" s="17" t="n">
        <v>1980</v>
      </c>
      <c r="E88" s="5" t="inlineStr">
        <is>
          <t>Filmfare Awards</t>
        </is>
      </c>
      <c r="F88" s="5" t="inlineStr">
        <is>
          <t>Best Actor</t>
        </is>
      </c>
      <c r="G88" s="5" t="inlineStr">
        <is>
          <t>Amitabh Bachchan</t>
        </is>
      </c>
      <c r="H88" s="5" t="inlineStr">
        <is>
          <t>Actor</t>
        </is>
      </c>
      <c r="I88" s="5" t="inlineStr">
        <is>
          <t>Nomination</t>
        </is>
      </c>
      <c r="J88" s="5" t="inlineStr">
        <is>
          <t>Competitive</t>
        </is>
      </c>
      <c r="K88" s="5" t="inlineStr">
        <is>
          <t>27th Filmfare Awards, 1980. Eight nominations, none converted. A dual nomination with Mr. Natwarlal; the award went to Amol Palekar for Gol Maal.</t>
        </is>
      </c>
      <c r="L88" s="5" t="inlineStr">
        <is>
          <t>SOURCE-073; SOURCE-316</t>
        </is>
      </c>
      <c r="M88" s="5" t="inlineStr">
        <is>
          <t>High</t>
        </is>
      </c>
    </row>
    <row r="89" ht="34" customHeight="1">
      <c r="A89" s="15" t="inlineStr">
        <is>
          <t>AWARD-088</t>
        </is>
      </c>
      <c r="B89" s="18" t="inlineStr">
        <is>
          <t>FILM-085</t>
        </is>
      </c>
      <c r="C89" s="5" t="inlineStr">
        <is>
          <t>Kaala Patthar</t>
        </is>
      </c>
      <c r="D89" s="17" t="n">
        <v>1980</v>
      </c>
      <c r="E89" s="5" t="inlineStr">
        <is>
          <t>Filmfare Awards</t>
        </is>
      </c>
      <c r="F89" s="5" t="inlineStr">
        <is>
          <t>Best Director</t>
        </is>
      </c>
      <c r="G89" s="5" t="inlineStr">
        <is>
          <t>Yash Chopra</t>
        </is>
      </c>
      <c r="H89" s="5" t="inlineStr">
        <is>
          <t>Director</t>
        </is>
      </c>
      <c r="I89" s="5" t="inlineStr">
        <is>
          <t>Nomination</t>
        </is>
      </c>
      <c r="J89" s="5" t="inlineStr">
        <is>
          <t>Competitive</t>
        </is>
      </c>
      <c r="K89" s="5" t="inlineStr">
        <is>
          <t>27th Filmfare Awards, 1980. Eight nominations, none converted.</t>
        </is>
      </c>
      <c r="L89" s="5" t="inlineStr">
        <is>
          <t>SOURCE-073; SOURCE-316</t>
        </is>
      </c>
      <c r="M89" s="5" t="inlineStr">
        <is>
          <t>High</t>
        </is>
      </c>
    </row>
    <row r="90" ht="34" customHeight="1">
      <c r="A90" s="15" t="inlineStr">
        <is>
          <t>AWARD-089</t>
        </is>
      </c>
      <c r="B90" s="18" t="inlineStr">
        <is>
          <t>FILM-085</t>
        </is>
      </c>
      <c r="C90" s="5" t="inlineStr">
        <is>
          <t>Kaala Patthar</t>
        </is>
      </c>
      <c r="D90" s="17" t="n">
        <v>1980</v>
      </c>
      <c r="E90" s="5" t="inlineStr">
        <is>
          <t>Filmfare Awards</t>
        </is>
      </c>
      <c r="F90" s="5" t="inlineStr">
        <is>
          <t>Best Film</t>
        </is>
      </c>
      <c r="G90" s="5" t="inlineStr">
        <is>
          <t>Yash Chopra</t>
        </is>
      </c>
      <c r="H90" s="5" t="inlineStr">
        <is>
          <t>Producer</t>
        </is>
      </c>
      <c r="I90" s="5" t="inlineStr">
        <is>
          <t>Nomination</t>
        </is>
      </c>
      <c r="J90" s="5" t="inlineStr">
        <is>
          <t>Competitive</t>
        </is>
      </c>
      <c r="K90" s="5" t="inlineStr">
        <is>
          <t>27th Filmfare Awards, 1980. Eight nominations, none converted.</t>
        </is>
      </c>
      <c r="L90" s="5" t="inlineStr">
        <is>
          <t>SOURCE-073; SOURCE-316</t>
        </is>
      </c>
      <c r="M90" s="5" t="inlineStr">
        <is>
          <t>High</t>
        </is>
      </c>
    </row>
    <row r="91" ht="49" customHeight="1">
      <c r="A91" s="15" t="inlineStr">
        <is>
          <t>AWARD-090</t>
        </is>
      </c>
      <c r="B91" s="18" t="inlineStr">
        <is>
          <t>FILM-085</t>
        </is>
      </c>
      <c r="C91" s="5" t="inlineStr">
        <is>
          <t>Kaala Patthar</t>
        </is>
      </c>
      <c r="D91" s="17" t="n">
        <v>1980</v>
      </c>
      <c r="E91" s="5" t="inlineStr">
        <is>
          <t>Filmfare Awards</t>
        </is>
      </c>
      <c r="F91" s="5" t="inlineStr">
        <is>
          <t>Best Male Playback Singer</t>
        </is>
      </c>
      <c r="G91" s="5" t="inlineStr">
        <is>
          <t>Kishore Kumar</t>
        </is>
      </c>
      <c r="H91" s="5" t="inlineStr">
        <is>
          <t>Playback singer</t>
        </is>
      </c>
      <c r="I91" s="5" t="inlineStr">
        <is>
          <t>Nomination</t>
        </is>
      </c>
      <c r="J91" s="5" t="inlineStr">
        <is>
          <t>Competitive</t>
        </is>
      </c>
      <c r="K91" s="5" t="inlineStr">
        <is>
          <t>27th Filmfare Awards, 1980. Eight nominations, none converted. For 'Ek Raasta Hai Zindagi'.</t>
        </is>
      </c>
      <c r="L91" s="5" t="inlineStr">
        <is>
          <t>SOURCE-073; SOURCE-316</t>
        </is>
      </c>
      <c r="M91" s="5" t="inlineStr">
        <is>
          <t>High</t>
        </is>
      </c>
    </row>
    <row r="92" ht="34" customHeight="1">
      <c r="A92" s="15" t="inlineStr">
        <is>
          <t>AWARD-091</t>
        </is>
      </c>
      <c r="B92" s="18" t="inlineStr">
        <is>
          <t>FILM-085</t>
        </is>
      </c>
      <c r="C92" s="5" t="inlineStr">
        <is>
          <t>Kaala Patthar</t>
        </is>
      </c>
      <c r="D92" s="17" t="n">
        <v>1980</v>
      </c>
      <c r="E92" s="5" t="inlineStr">
        <is>
          <t>Filmfare Awards</t>
        </is>
      </c>
      <c r="F92" s="5" t="inlineStr">
        <is>
          <t>Best Music Director</t>
        </is>
      </c>
      <c r="G92" s="5" t="inlineStr">
        <is>
          <t>Rajesh Roshan</t>
        </is>
      </c>
      <c r="H92" s="5" t="inlineStr">
        <is>
          <t>Music director</t>
        </is>
      </c>
      <c r="I92" s="5" t="inlineStr">
        <is>
          <t>Nomination</t>
        </is>
      </c>
      <c r="J92" s="5" t="inlineStr">
        <is>
          <t>Competitive</t>
        </is>
      </c>
      <c r="K92" s="5" t="inlineStr">
        <is>
          <t>27th Filmfare Awards, 1980. Eight nominations, none converted.</t>
        </is>
      </c>
      <c r="L92" s="5" t="inlineStr">
        <is>
          <t>SOURCE-073; SOURCE-316</t>
        </is>
      </c>
      <c r="M92" s="5" t="inlineStr">
        <is>
          <t>High</t>
        </is>
      </c>
    </row>
    <row r="93" ht="34" customHeight="1">
      <c r="A93" s="15" t="inlineStr">
        <is>
          <t>AWARD-092</t>
        </is>
      </c>
      <c r="B93" s="18" t="inlineStr">
        <is>
          <t>FILM-085</t>
        </is>
      </c>
      <c r="C93" s="5" t="inlineStr">
        <is>
          <t>Kaala Patthar</t>
        </is>
      </c>
      <c r="D93" s="17" t="n">
        <v>1980</v>
      </c>
      <c r="E93" s="5" t="inlineStr">
        <is>
          <t>Filmfare Awards</t>
        </is>
      </c>
      <c r="F93" s="5" t="inlineStr">
        <is>
          <t>Best Story</t>
        </is>
      </c>
      <c r="G93" s="5" t="inlineStr">
        <is>
          <t>Salim-Javed</t>
        </is>
      </c>
      <c r="H93" s="5" t="inlineStr">
        <is>
          <t>Writer</t>
        </is>
      </c>
      <c r="I93" s="5" t="inlineStr">
        <is>
          <t>Nomination</t>
        </is>
      </c>
      <c r="J93" s="5" t="inlineStr">
        <is>
          <t>Competitive</t>
        </is>
      </c>
      <c r="K93" s="5" t="inlineStr">
        <is>
          <t>27th Filmfare Awards, 1980. Eight nominations, none converted.</t>
        </is>
      </c>
      <c r="L93" s="5" t="inlineStr">
        <is>
          <t>SOURCE-073; SOURCE-316</t>
        </is>
      </c>
      <c r="M93" s="5" t="inlineStr">
        <is>
          <t>High</t>
        </is>
      </c>
    </row>
    <row r="94" ht="34" customHeight="1">
      <c r="A94" s="15" t="inlineStr">
        <is>
          <t>AWARD-093</t>
        </is>
      </c>
      <c r="B94" s="18" t="inlineStr">
        <is>
          <t>FILM-085</t>
        </is>
      </c>
      <c r="C94" s="5" t="inlineStr">
        <is>
          <t>Kaala Patthar</t>
        </is>
      </c>
      <c r="D94" s="17" t="n">
        <v>1980</v>
      </c>
      <c r="E94" s="5" t="inlineStr">
        <is>
          <t>Filmfare Awards</t>
        </is>
      </c>
      <c r="F94" s="5" t="inlineStr">
        <is>
          <t>Best Supporting Actor</t>
        </is>
      </c>
      <c r="G94" s="5" t="inlineStr">
        <is>
          <t>Shatrughan Sinha</t>
        </is>
      </c>
      <c r="H94" s="5" t="inlineStr">
        <is>
          <t>Actor</t>
        </is>
      </c>
      <c r="I94" s="5" t="inlineStr">
        <is>
          <t>Nomination</t>
        </is>
      </c>
      <c r="J94" s="5" t="inlineStr">
        <is>
          <t>Competitive</t>
        </is>
      </c>
      <c r="K94" s="5" t="inlineStr">
        <is>
          <t>27th Filmfare Awards, 1980. Eight nominations, none converted.</t>
        </is>
      </c>
      <c r="L94" s="5" t="inlineStr">
        <is>
          <t>SOURCE-073; SOURCE-316</t>
        </is>
      </c>
      <c r="M94" s="5" t="inlineStr">
        <is>
          <t>High</t>
        </is>
      </c>
    </row>
    <row r="95" ht="34" customHeight="1">
      <c r="A95" s="15" t="inlineStr">
        <is>
          <t>AWARD-094</t>
        </is>
      </c>
      <c r="B95" s="18" t="inlineStr">
        <is>
          <t>FILM-085</t>
        </is>
      </c>
      <c r="C95" s="5" t="inlineStr">
        <is>
          <t>Kaala Patthar</t>
        </is>
      </c>
      <c r="D95" s="17" t="n">
        <v>1980</v>
      </c>
      <c r="E95" s="5" t="inlineStr">
        <is>
          <t>Filmfare Awards</t>
        </is>
      </c>
      <c r="F95" s="5" t="inlineStr">
        <is>
          <t>Best Supporting Actress</t>
        </is>
      </c>
      <c r="G95" s="5" t="inlineStr">
        <is>
          <t>Neetu Singh</t>
        </is>
      </c>
      <c r="H95" s="5" t="inlineStr">
        <is>
          <t>Actress</t>
        </is>
      </c>
      <c r="I95" s="5" t="inlineStr">
        <is>
          <t>Nomination</t>
        </is>
      </c>
      <c r="J95" s="5" t="inlineStr">
        <is>
          <t>Competitive</t>
        </is>
      </c>
      <c r="K95" s="5" t="inlineStr">
        <is>
          <t>27th Filmfare Awards, 1980. Eight nominations, none converted.</t>
        </is>
      </c>
      <c r="L95" s="5" t="inlineStr">
        <is>
          <t>SOURCE-073; SOURCE-316</t>
        </is>
      </c>
      <c r="M95" s="5" t="inlineStr">
        <is>
          <t>High</t>
        </is>
      </c>
    </row>
    <row r="96" ht="19" customHeight="1">
      <c r="A96" s="15" t="inlineStr">
        <is>
          <t>AWARD-095</t>
        </is>
      </c>
      <c r="B96" s="18" t="inlineStr">
        <is>
          <t>FILM-094</t>
        </is>
      </c>
      <c r="C96" s="5" t="inlineStr">
        <is>
          <t>Shaan</t>
        </is>
      </c>
      <c r="D96" s="17" t="n">
        <v>1981</v>
      </c>
      <c r="E96" s="5" t="inlineStr">
        <is>
          <t>Filmfare Awards</t>
        </is>
      </c>
      <c r="F96" s="5" t="inlineStr">
        <is>
          <t>Best Cinematography</t>
        </is>
      </c>
      <c r="G96" s="5" t="inlineStr">
        <is>
          <t>S. M. Anwar</t>
        </is>
      </c>
      <c r="H96" s="5" t="inlineStr">
        <is>
          <t>Cinematographer</t>
        </is>
      </c>
      <c r="I96" s="5" t="inlineStr">
        <is>
          <t>Win</t>
        </is>
      </c>
      <c r="J96" s="5" t="inlineStr">
        <is>
          <t>Competitive</t>
        </is>
      </c>
      <c r="K96" s="5" t="inlineStr">
        <is>
          <t>28th Filmfare Awards, 1981.</t>
        </is>
      </c>
      <c r="L96" s="5" t="inlineStr">
        <is>
          <t>SOURCE-078; SOURCE-317</t>
        </is>
      </c>
      <c r="M96" s="5" t="inlineStr">
        <is>
          <t>High</t>
        </is>
      </c>
    </row>
    <row r="97" ht="19" customHeight="1">
      <c r="A97" s="15" t="inlineStr">
        <is>
          <t>AWARD-096</t>
        </is>
      </c>
      <c r="B97" s="18" t="inlineStr">
        <is>
          <t>FILM-094</t>
        </is>
      </c>
      <c r="C97" s="5" t="inlineStr">
        <is>
          <t>Shaan</t>
        </is>
      </c>
      <c r="D97" s="17" t="n">
        <v>1981</v>
      </c>
      <c r="E97" s="5" t="inlineStr">
        <is>
          <t>Filmfare Awards</t>
        </is>
      </c>
      <c r="F97" s="5" t="inlineStr">
        <is>
          <t>Best Music Director</t>
        </is>
      </c>
      <c r="G97" s="5" t="inlineStr">
        <is>
          <t>R. D. Burman</t>
        </is>
      </c>
      <c r="H97" s="5" t="inlineStr">
        <is>
          <t>Music director</t>
        </is>
      </c>
      <c r="I97" s="5" t="inlineStr">
        <is>
          <t>Nomination</t>
        </is>
      </c>
      <c r="J97" s="5" t="inlineStr">
        <is>
          <t>Competitive</t>
        </is>
      </c>
      <c r="K97" s="5" t="inlineStr">
        <is>
          <t>28th Filmfare Awards, 1981.</t>
        </is>
      </c>
      <c r="L97" s="5" t="inlineStr">
        <is>
          <t>SOURCE-078; SOURCE-317</t>
        </is>
      </c>
      <c r="M97" s="5" t="inlineStr">
        <is>
          <t>High</t>
        </is>
      </c>
    </row>
    <row r="98" ht="34" customHeight="1">
      <c r="A98" s="15" t="inlineStr">
        <is>
          <t>AWARD-097</t>
        </is>
      </c>
      <c r="B98" s="18" t="inlineStr">
        <is>
          <t>FILM-095</t>
        </is>
      </c>
      <c r="C98" s="5" t="inlineStr">
        <is>
          <t>Baseraa</t>
        </is>
      </c>
      <c r="D98" s="17" t="n">
        <v>1982</v>
      </c>
      <c r="E98" s="5" t="inlineStr">
        <is>
          <t>Filmfare Awards</t>
        </is>
      </c>
      <c r="F98" s="5" t="inlineStr">
        <is>
          <t>Best Actress</t>
        </is>
      </c>
      <c r="G98" s="5" t="inlineStr">
        <is>
          <t>Raakhee</t>
        </is>
      </c>
      <c r="H98" s="5" t="inlineStr">
        <is>
          <t>Actress</t>
        </is>
      </c>
      <c r="I98" s="5" t="inlineStr">
        <is>
          <t>Nomination</t>
        </is>
      </c>
      <c r="J98" s="5" t="inlineStr">
        <is>
          <t>Competitive</t>
        </is>
      </c>
      <c r="K98" s="5" t="inlineStr">
        <is>
          <t>29th Filmfare Awards, 1982. Five nominations, none converted.</t>
        </is>
      </c>
      <c r="L98" s="5" t="inlineStr">
        <is>
          <t>SOURCE-083; SOURCE-318</t>
        </is>
      </c>
      <c r="M98" s="5" t="inlineStr">
        <is>
          <t>High</t>
        </is>
      </c>
    </row>
    <row r="99" ht="34" customHeight="1">
      <c r="A99" s="15" t="inlineStr">
        <is>
          <t>AWARD-098</t>
        </is>
      </c>
      <c r="B99" s="18" t="inlineStr">
        <is>
          <t>FILM-095</t>
        </is>
      </c>
      <c r="C99" s="5" t="inlineStr">
        <is>
          <t>Baseraa</t>
        </is>
      </c>
      <c r="D99" s="17" t="n">
        <v>1982</v>
      </c>
      <c r="E99" s="5" t="inlineStr">
        <is>
          <t>Filmfare Awards</t>
        </is>
      </c>
      <c r="F99" s="5" t="inlineStr">
        <is>
          <t>Best Director</t>
        </is>
      </c>
      <c r="G99" s="5" t="inlineStr">
        <is>
          <t>Ramesh Talwar</t>
        </is>
      </c>
      <c r="H99" s="5" t="inlineStr">
        <is>
          <t>Director</t>
        </is>
      </c>
      <c r="I99" s="5" t="inlineStr">
        <is>
          <t>Nomination</t>
        </is>
      </c>
      <c r="J99" s="5" t="inlineStr">
        <is>
          <t>Competitive</t>
        </is>
      </c>
      <c r="K99" s="5" t="inlineStr">
        <is>
          <t>29th Filmfare Awards, 1982. Five nominations, none converted.</t>
        </is>
      </c>
      <c r="L99" s="5" t="inlineStr">
        <is>
          <t>SOURCE-083; SOURCE-318</t>
        </is>
      </c>
      <c r="M99" s="5" t="inlineStr">
        <is>
          <t>High</t>
        </is>
      </c>
    </row>
    <row r="100" ht="34" customHeight="1">
      <c r="A100" s="15" t="inlineStr">
        <is>
          <t>AWARD-099</t>
        </is>
      </c>
      <c r="B100" s="18" t="inlineStr">
        <is>
          <t>FILM-095</t>
        </is>
      </c>
      <c r="C100" s="5" t="inlineStr">
        <is>
          <t>Baseraa</t>
        </is>
      </c>
      <c r="D100" s="17" t="n">
        <v>1982</v>
      </c>
      <c r="E100" s="5" t="inlineStr">
        <is>
          <t>Filmfare Awards</t>
        </is>
      </c>
      <c r="F100" s="5" t="inlineStr">
        <is>
          <t>Best Film</t>
        </is>
      </c>
      <c r="G100" s="5" t="inlineStr">
        <is>
          <t>Rose Movies</t>
        </is>
      </c>
      <c r="H100" s="5" t="inlineStr">
        <is>
          <t>Producer</t>
        </is>
      </c>
      <c r="I100" s="5" t="inlineStr">
        <is>
          <t>Nomination</t>
        </is>
      </c>
      <c r="J100" s="5" t="inlineStr">
        <is>
          <t>Competitive</t>
        </is>
      </c>
      <c r="K100" s="5" t="inlineStr">
        <is>
          <t>29th Filmfare Awards, 1982. Five nominations, none converted.</t>
        </is>
      </c>
      <c r="L100" s="5" t="inlineStr">
        <is>
          <t>SOURCE-083; SOURCE-318</t>
        </is>
      </c>
      <c r="M100" s="5" t="inlineStr">
        <is>
          <t>High</t>
        </is>
      </c>
    </row>
    <row r="101" ht="34" customHeight="1">
      <c r="A101" s="15" t="inlineStr">
        <is>
          <t>AWARD-100</t>
        </is>
      </c>
      <c r="B101" s="18" t="inlineStr">
        <is>
          <t>FILM-095</t>
        </is>
      </c>
      <c r="C101" s="5" t="inlineStr">
        <is>
          <t>Baseraa</t>
        </is>
      </c>
      <c r="D101" s="17" t="n">
        <v>1982</v>
      </c>
      <c r="E101" s="5" t="inlineStr">
        <is>
          <t>Filmfare Awards</t>
        </is>
      </c>
      <c r="F101" s="5" t="inlineStr">
        <is>
          <t>Best Lyricist</t>
        </is>
      </c>
      <c r="G101" s="5" t="inlineStr">
        <is>
          <t>Gulzar</t>
        </is>
      </c>
      <c r="H101" s="5" t="inlineStr">
        <is>
          <t>Lyricist</t>
        </is>
      </c>
      <c r="I101" s="5" t="inlineStr">
        <is>
          <t>Nomination</t>
        </is>
      </c>
      <c r="J101" s="5" t="inlineStr">
        <is>
          <t>Competitive</t>
        </is>
      </c>
      <c r="K101" s="5" t="inlineStr">
        <is>
          <t>29th Filmfare Awards, 1982. Five nominations, none converted. For 'Jahaan Pe Savera'.</t>
        </is>
      </c>
      <c r="L101" s="5" t="inlineStr">
        <is>
          <t>SOURCE-083; SOURCE-318</t>
        </is>
      </c>
      <c r="M101" s="5" t="inlineStr">
        <is>
          <t>High</t>
        </is>
      </c>
    </row>
    <row r="102" ht="34" customHeight="1">
      <c r="A102" s="15" t="inlineStr">
        <is>
          <t>AWARD-101</t>
        </is>
      </c>
      <c r="B102" s="18" t="inlineStr">
        <is>
          <t>FILM-095</t>
        </is>
      </c>
      <c r="C102" s="5" t="inlineStr">
        <is>
          <t>Baseraa</t>
        </is>
      </c>
      <c r="D102" s="17" t="n">
        <v>1982</v>
      </c>
      <c r="E102" s="5" t="inlineStr">
        <is>
          <t>Filmfare Awards</t>
        </is>
      </c>
      <c r="F102" s="5" t="inlineStr">
        <is>
          <t>Best Story</t>
        </is>
      </c>
      <c r="G102" s="5" t="inlineStr">
        <is>
          <t>Leela Phansalkar</t>
        </is>
      </c>
      <c r="H102" s="5" t="inlineStr">
        <is>
          <t>Writer</t>
        </is>
      </c>
      <c r="I102" s="5" t="inlineStr">
        <is>
          <t>Nomination</t>
        </is>
      </c>
      <c r="J102" s="5" t="inlineStr">
        <is>
          <t>Competitive</t>
        </is>
      </c>
      <c r="K102" s="5" t="inlineStr">
        <is>
          <t>29th Filmfare Awards, 1982. Five nominations, none converted.</t>
        </is>
      </c>
      <c r="L102" s="5" t="inlineStr">
        <is>
          <t>SOURCE-083; SOURCE-318</t>
        </is>
      </c>
      <c r="M102" s="5" t="inlineStr">
        <is>
          <t>High</t>
        </is>
      </c>
    </row>
    <row r="103" ht="64" customHeight="1">
      <c r="A103" s="15" t="inlineStr">
        <is>
          <t>AWARD-102</t>
        </is>
      </c>
      <c r="B103" s="18" t="inlineStr">
        <is>
          <t>FILM-100</t>
        </is>
      </c>
      <c r="C103" s="5" t="inlineStr">
        <is>
          <t>Kalyug</t>
        </is>
      </c>
      <c r="D103" s="17" t="n">
        <v>1982</v>
      </c>
      <c r="E103" s="5" t="inlineStr">
        <is>
          <t>Filmfare Awards</t>
        </is>
      </c>
      <c r="F103" s="5" t="inlineStr">
        <is>
          <t>Best Film</t>
        </is>
      </c>
      <c r="G103" s="5" t="inlineStr">
        <is>
          <t>Shashi Kapoor</t>
        </is>
      </c>
      <c r="H103" s="5" t="inlineStr">
        <is>
          <t>Producer</t>
        </is>
      </c>
      <c r="I103" s="5" t="inlineStr">
        <is>
          <t>Win</t>
        </is>
      </c>
      <c r="J103" s="5" t="inlineStr">
        <is>
          <t>Competitive</t>
        </is>
      </c>
      <c r="K103" s="5" t="inlineStr">
        <is>
          <t>29th Filmfare Awards, 1982. Kapoor's second Filmfare Best Film as producer, after Junoon, and the second Film-Valas production. He also plays Karan in the film.</t>
        </is>
      </c>
      <c r="L103" s="5" t="inlineStr">
        <is>
          <t>SOURCE-081; SOURCE-318</t>
        </is>
      </c>
      <c r="M103" s="5" t="inlineStr">
        <is>
          <t>High</t>
        </is>
      </c>
    </row>
    <row r="104" ht="49" customHeight="1">
      <c r="A104" s="15" t="inlineStr">
        <is>
          <t>AWARD-103</t>
        </is>
      </c>
      <c r="B104" s="18" t="inlineStr">
        <is>
          <t>FILM-100</t>
        </is>
      </c>
      <c r="C104" s="5" t="inlineStr">
        <is>
          <t>Kalyug</t>
        </is>
      </c>
      <c r="D104" s="17" t="n">
        <v>1982</v>
      </c>
      <c r="E104" s="5" t="inlineStr">
        <is>
          <t>Filmfare Awards</t>
        </is>
      </c>
      <c r="F104" s="5" t="inlineStr">
        <is>
          <t>Best Sound Design</t>
        </is>
      </c>
      <c r="G104" s="5" t="inlineStr">
        <is>
          <t>Hitendra Ghosh</t>
        </is>
      </c>
      <c r="H104" s="5" t="inlineStr">
        <is>
          <t>Technician</t>
        </is>
      </c>
      <c r="I104" s="5" t="inlineStr">
        <is>
          <t>Win</t>
        </is>
      </c>
      <c r="J104" s="5" t="inlineStr">
        <is>
          <t>Competitive</t>
        </is>
      </c>
      <c r="K104" s="5" t="inlineStr">
        <is>
          <t>29th Filmfare Awards, 1982. Kalyug won 3 of its 5 nominations, tying as the ceremony's most-awarded film.</t>
        </is>
      </c>
      <c r="L104" s="5" t="inlineStr">
        <is>
          <t>SOURCE-081; SOURCE-318</t>
        </is>
      </c>
      <c r="M104" s="5" t="inlineStr">
        <is>
          <t>High</t>
        </is>
      </c>
    </row>
    <row r="105" ht="49" customHeight="1">
      <c r="A105" s="15" t="inlineStr">
        <is>
          <t>AWARD-104</t>
        </is>
      </c>
      <c r="B105" s="18" t="inlineStr">
        <is>
          <t>FILM-100</t>
        </is>
      </c>
      <c r="C105" s="5" t="inlineStr">
        <is>
          <t>Kalyug</t>
        </is>
      </c>
      <c r="D105" s="17" t="n">
        <v>1982</v>
      </c>
      <c r="E105" s="5" t="inlineStr">
        <is>
          <t>Filmfare Awards</t>
        </is>
      </c>
      <c r="F105" s="5" t="inlineStr">
        <is>
          <t>Best Supporting Actress</t>
        </is>
      </c>
      <c r="G105" s="5" t="inlineStr">
        <is>
          <t>Supriya Pathak</t>
        </is>
      </c>
      <c r="H105" s="5" t="inlineStr">
        <is>
          <t>Actress</t>
        </is>
      </c>
      <c r="I105" s="5" t="inlineStr">
        <is>
          <t>Win</t>
        </is>
      </c>
      <c r="J105" s="5" t="inlineStr">
        <is>
          <t>Competitive</t>
        </is>
      </c>
      <c r="K105" s="5" t="inlineStr">
        <is>
          <t>29th Filmfare Awards, 1982. Kalyug won 3 of its 5 nominations, tying as the ceremony's most-awarded film.</t>
        </is>
      </c>
      <c r="L105" s="5" t="inlineStr">
        <is>
          <t>SOURCE-081; SOURCE-318</t>
        </is>
      </c>
      <c r="M105" s="5" t="inlineStr">
        <is>
          <t>High</t>
        </is>
      </c>
    </row>
    <row r="106" ht="49" customHeight="1">
      <c r="A106" s="15" t="inlineStr">
        <is>
          <t>AWARD-105</t>
        </is>
      </c>
      <c r="B106" s="18" t="inlineStr">
        <is>
          <t>FILM-100</t>
        </is>
      </c>
      <c r="C106" s="5" t="inlineStr">
        <is>
          <t>Kalyug</t>
        </is>
      </c>
      <c r="D106" s="17" t="n">
        <v>1982</v>
      </c>
      <c r="E106" s="5" t="inlineStr">
        <is>
          <t>Filmfare Awards</t>
        </is>
      </c>
      <c r="F106" s="5" t="inlineStr">
        <is>
          <t>Best Director</t>
        </is>
      </c>
      <c r="G106" s="5" t="inlineStr">
        <is>
          <t>Shyam Benegal</t>
        </is>
      </c>
      <c r="H106" s="5" t="inlineStr">
        <is>
          <t>Director</t>
        </is>
      </c>
      <c r="I106" s="5" t="inlineStr">
        <is>
          <t>Nomination</t>
        </is>
      </c>
      <c r="J106" s="5" t="inlineStr">
        <is>
          <t>Competitive</t>
        </is>
      </c>
      <c r="K106" s="5" t="inlineStr">
        <is>
          <t>29th Filmfare Awards, 1982. Kalyug won 3 of its 5 nominations, tying as the ceremony's most-awarded film.</t>
        </is>
      </c>
      <c r="L106" s="5" t="inlineStr">
        <is>
          <t>SOURCE-081; SOURCE-318</t>
        </is>
      </c>
      <c r="M106" s="5" t="inlineStr">
        <is>
          <t>High</t>
        </is>
      </c>
    </row>
    <row r="107" ht="49" customHeight="1">
      <c r="A107" s="15" t="inlineStr">
        <is>
          <t>AWARD-106</t>
        </is>
      </c>
      <c r="B107" s="18" t="inlineStr">
        <is>
          <t>FILM-100</t>
        </is>
      </c>
      <c r="C107" s="5" t="inlineStr">
        <is>
          <t>Kalyug</t>
        </is>
      </c>
      <c r="D107" s="17" t="n">
        <v>1982</v>
      </c>
      <c r="E107" s="5" t="inlineStr">
        <is>
          <t>Filmfare Awards</t>
        </is>
      </c>
      <c r="F107" s="5" t="inlineStr">
        <is>
          <t>Best Story</t>
        </is>
      </c>
      <c r="G107" s="5" t="inlineStr">
        <is>
          <t>Shyam Benegal and Girish Karnad</t>
        </is>
      </c>
      <c r="H107" s="5" t="inlineStr">
        <is>
          <t>Writer</t>
        </is>
      </c>
      <c r="I107" s="5" t="inlineStr">
        <is>
          <t>Nomination</t>
        </is>
      </c>
      <c r="J107" s="5" t="inlineStr">
        <is>
          <t>Competitive</t>
        </is>
      </c>
      <c r="K107" s="5" t="inlineStr">
        <is>
          <t>29th Filmfare Awards, 1982. Kalyug won 3 of its 5 nominations, tying as the ceremony's most-awarded film.</t>
        </is>
      </c>
      <c r="L107" s="5" t="inlineStr">
        <is>
          <t>SOURCE-081; SOURCE-318</t>
        </is>
      </c>
      <c r="M107" s="5" t="inlineStr">
        <is>
          <t>High</t>
        </is>
      </c>
    </row>
    <row r="108" ht="49" customHeight="1">
      <c r="A108" s="15" t="inlineStr">
        <is>
          <t>AWARD-107</t>
        </is>
      </c>
      <c r="B108" s="18" t="inlineStr">
        <is>
          <t>FILM-101</t>
        </is>
      </c>
      <c r="C108" s="5" t="inlineStr">
        <is>
          <t>Silsila</t>
        </is>
      </c>
      <c r="D108" s="17" t="n">
        <v>1982</v>
      </c>
      <c r="E108" s="5" t="inlineStr">
        <is>
          <t>Filmfare Awards</t>
        </is>
      </c>
      <c r="F108" s="5" t="inlineStr">
        <is>
          <t>Best Actor</t>
        </is>
      </c>
      <c r="G108" s="5" t="inlineStr">
        <is>
          <t>Amitabh Bachchan</t>
        </is>
      </c>
      <c r="H108" s="5" t="inlineStr">
        <is>
          <t>Actor</t>
        </is>
      </c>
      <c r="I108" s="5" t="inlineStr">
        <is>
          <t>Nomination</t>
        </is>
      </c>
      <c r="J108" s="5" t="inlineStr">
        <is>
          <t>Competitive</t>
        </is>
      </c>
      <c r="K108" s="5" t="inlineStr">
        <is>
          <t>29th Filmfare Awards, 1982. A dual nomination with Laawaris; the award went to Naseeruddin Shah for Chakra.</t>
        </is>
      </c>
      <c r="L108" s="5" t="inlineStr">
        <is>
          <t>SOURCE-082; SOURCE-318</t>
        </is>
      </c>
      <c r="M108" s="5" t="inlineStr">
        <is>
          <t>High</t>
        </is>
      </c>
    </row>
    <row r="109" ht="19" customHeight="1">
      <c r="A109" s="15" t="inlineStr">
        <is>
          <t>AWARD-108</t>
        </is>
      </c>
      <c r="B109" s="18" t="inlineStr">
        <is>
          <t>FILM-101</t>
        </is>
      </c>
      <c r="C109" s="5" t="inlineStr">
        <is>
          <t>Silsila</t>
        </is>
      </c>
      <c r="D109" s="17" t="n">
        <v>1982</v>
      </c>
      <c r="E109" s="5" t="inlineStr">
        <is>
          <t>Filmfare Awards</t>
        </is>
      </c>
      <c r="F109" s="5" t="inlineStr">
        <is>
          <t>Best Actress</t>
        </is>
      </c>
      <c r="G109" s="5" t="inlineStr">
        <is>
          <t>Jaya Bachchan</t>
        </is>
      </c>
      <c r="H109" s="5" t="inlineStr">
        <is>
          <t>Actress</t>
        </is>
      </c>
      <c r="I109" s="5" t="inlineStr">
        <is>
          <t>Nomination</t>
        </is>
      </c>
      <c r="J109" s="5" t="inlineStr">
        <is>
          <t>Competitive</t>
        </is>
      </c>
      <c r="K109" s="5" t="inlineStr">
        <is>
          <t>29th Filmfare Awards, 1982.</t>
        </is>
      </c>
      <c r="L109" s="5" t="inlineStr">
        <is>
          <t>SOURCE-082; SOURCE-318</t>
        </is>
      </c>
      <c r="M109" s="5" t="inlineStr">
        <is>
          <t>High</t>
        </is>
      </c>
    </row>
    <row r="110" ht="19" customHeight="1">
      <c r="A110" s="15" t="inlineStr">
        <is>
          <t>AWARD-109</t>
        </is>
      </c>
      <c r="B110" s="18" t="inlineStr">
        <is>
          <t>FILM-101</t>
        </is>
      </c>
      <c r="C110" s="5" t="inlineStr">
        <is>
          <t>Silsila</t>
        </is>
      </c>
      <c r="D110" s="17" t="n">
        <v>1982</v>
      </c>
      <c r="E110" s="5" t="inlineStr">
        <is>
          <t>Filmfare Awards</t>
        </is>
      </c>
      <c r="F110" s="5" t="inlineStr">
        <is>
          <t>Best Music Director</t>
        </is>
      </c>
      <c r="G110" s="5" t="inlineStr">
        <is>
          <t>Shiv-Hari</t>
        </is>
      </c>
      <c r="H110" s="5" t="inlineStr">
        <is>
          <t>Music director</t>
        </is>
      </c>
      <c r="I110" s="5" t="inlineStr">
        <is>
          <t>Nomination</t>
        </is>
      </c>
      <c r="J110" s="5" t="inlineStr">
        <is>
          <t>Competitive</t>
        </is>
      </c>
      <c r="K110" s="5" t="inlineStr">
        <is>
          <t>29th Filmfare Awards, 1982.</t>
        </is>
      </c>
      <c r="L110" s="5" t="inlineStr">
        <is>
          <t>SOURCE-082; SOURCE-318</t>
        </is>
      </c>
      <c r="M110" s="5" t="inlineStr">
        <is>
          <t>High</t>
        </is>
      </c>
    </row>
    <row r="111" ht="64" customHeight="1">
      <c r="A111" s="15" t="inlineStr">
        <is>
          <t>AWARD-110</t>
        </is>
      </c>
      <c r="B111" s="18" t="inlineStr">
        <is>
          <t>FILM-105</t>
        </is>
      </c>
      <c r="C111" s="5" t="inlineStr">
        <is>
          <t>Namak Halaal</t>
        </is>
      </c>
      <c r="D111" s="17" t="n">
        <v>1983</v>
      </c>
      <c r="E111" s="5" t="inlineStr">
        <is>
          <t>Filmfare Awards</t>
        </is>
      </c>
      <c r="F111" s="5" t="inlineStr">
        <is>
          <t>Best Male Playback Singer</t>
        </is>
      </c>
      <c r="G111" s="5" t="inlineStr">
        <is>
          <t>Kishore Kumar</t>
        </is>
      </c>
      <c r="H111" s="5" t="inlineStr">
        <is>
          <t>Playback singer</t>
        </is>
      </c>
      <c r="I111" s="5" t="inlineStr">
        <is>
          <t>Win</t>
        </is>
      </c>
      <c r="J111" s="5" t="inlineStr">
        <is>
          <t>Competitive</t>
        </is>
      </c>
      <c r="K111" s="5" t="inlineStr">
        <is>
          <t>30th Filmfare Awards, 25 September 1983. One win from five nominations. For 'Pag Ghungroo', his fifth Filmfare award in the category.</t>
        </is>
      </c>
      <c r="L111" s="5" t="inlineStr">
        <is>
          <t>SOURCE-087; SOURCE-319</t>
        </is>
      </c>
      <c r="M111" s="5" t="inlineStr">
        <is>
          <t>High</t>
        </is>
      </c>
    </row>
    <row r="112" ht="64" customHeight="1">
      <c r="A112" s="15" t="inlineStr">
        <is>
          <t>AWARD-111</t>
        </is>
      </c>
      <c r="B112" s="18" t="inlineStr">
        <is>
          <t>FILM-105</t>
        </is>
      </c>
      <c r="C112" s="5" t="inlineStr">
        <is>
          <t>Namak Halaal</t>
        </is>
      </c>
      <c r="D112" s="17" t="n">
        <v>1983</v>
      </c>
      <c r="E112" s="5" t="inlineStr">
        <is>
          <t>Filmfare Awards</t>
        </is>
      </c>
      <c r="F112" s="5" t="inlineStr">
        <is>
          <t>Best Actor</t>
        </is>
      </c>
      <c r="G112" s="5" t="inlineStr">
        <is>
          <t>Amitabh Bachchan</t>
        </is>
      </c>
      <c r="H112" s="5" t="inlineStr">
        <is>
          <t>Actor</t>
        </is>
      </c>
      <c r="I112" s="5" t="inlineStr">
        <is>
          <t>Nomination</t>
        </is>
      </c>
      <c r="J112" s="5" t="inlineStr">
        <is>
          <t>Competitive</t>
        </is>
      </c>
      <c r="K112" s="5" t="inlineStr">
        <is>
          <t>30th Filmfare Awards, 25 September 1983. One win from five nominations. A triple nomination with Bemisaal and Shakti; the award went to Dilip Kumar.</t>
        </is>
      </c>
      <c r="L112" s="5" t="inlineStr">
        <is>
          <t>SOURCE-087; SOURCE-319</t>
        </is>
      </c>
      <c r="M112" s="5" t="inlineStr">
        <is>
          <t>High</t>
        </is>
      </c>
    </row>
    <row r="113" ht="49" customHeight="1">
      <c r="A113" s="15" t="inlineStr">
        <is>
          <t>AWARD-112</t>
        </is>
      </c>
      <c r="B113" s="18" t="inlineStr">
        <is>
          <t>FILM-105</t>
        </is>
      </c>
      <c r="C113" s="5" t="inlineStr">
        <is>
          <t>Namak Halaal</t>
        </is>
      </c>
      <c r="D113" s="17" t="n">
        <v>1983</v>
      </c>
      <c r="E113" s="5" t="inlineStr">
        <is>
          <t>Filmfare Awards</t>
        </is>
      </c>
      <c r="F113" s="5" t="inlineStr">
        <is>
          <t>Best Lyricist</t>
        </is>
      </c>
      <c r="G113" s="5" t="inlineStr">
        <is>
          <t>Anjaan and Prakash Mehra</t>
        </is>
      </c>
      <c r="H113" s="5" t="inlineStr">
        <is>
          <t>Lyricist</t>
        </is>
      </c>
      <c r="I113" s="5" t="inlineStr">
        <is>
          <t>Nomination</t>
        </is>
      </c>
      <c r="J113" s="5" t="inlineStr">
        <is>
          <t>Competitive</t>
        </is>
      </c>
      <c r="K113" s="5" t="inlineStr">
        <is>
          <t>30th Filmfare Awards, 25 September 1983. One win from five nominations. For 'Pag Ghungroo'.</t>
        </is>
      </c>
      <c r="L113" s="5" t="inlineStr">
        <is>
          <t>SOURCE-087; SOURCE-319</t>
        </is>
      </c>
      <c r="M113" s="5" t="inlineStr">
        <is>
          <t>High</t>
        </is>
      </c>
    </row>
    <row r="114" ht="34" customHeight="1">
      <c r="A114" s="15" t="inlineStr">
        <is>
          <t>AWARD-113</t>
        </is>
      </c>
      <c r="B114" s="18" t="inlineStr">
        <is>
          <t>FILM-105</t>
        </is>
      </c>
      <c r="C114" s="5" t="inlineStr">
        <is>
          <t>Namak Halaal</t>
        </is>
      </c>
      <c r="D114" s="17" t="n">
        <v>1983</v>
      </c>
      <c r="E114" s="5" t="inlineStr">
        <is>
          <t>Filmfare Awards</t>
        </is>
      </c>
      <c r="F114" s="5" t="inlineStr">
        <is>
          <t>Best Music Director</t>
        </is>
      </c>
      <c r="G114" s="5" t="inlineStr">
        <is>
          <t>Bappi Lahiri</t>
        </is>
      </c>
      <c r="H114" s="5" t="inlineStr">
        <is>
          <t>Music director</t>
        </is>
      </c>
      <c r="I114" s="5" t="inlineStr">
        <is>
          <t>Nomination</t>
        </is>
      </c>
      <c r="J114" s="5" t="inlineStr">
        <is>
          <t>Competitive</t>
        </is>
      </c>
      <c r="K114" s="5" t="inlineStr">
        <is>
          <t>30th Filmfare Awards, 25 September 1983. One win from five nominations.</t>
        </is>
      </c>
      <c r="L114" s="5" t="inlineStr">
        <is>
          <t>SOURCE-087; SOURCE-319</t>
        </is>
      </c>
      <c r="M114" s="5" t="inlineStr">
        <is>
          <t>High</t>
        </is>
      </c>
    </row>
    <row r="115" ht="19" customHeight="1">
      <c r="A115" s="15" t="inlineStr">
        <is>
          <t>AWARD-114</t>
        </is>
      </c>
      <c r="B115" s="18" t="inlineStr">
        <is>
          <t>FILM-105</t>
        </is>
      </c>
      <c r="C115" s="5" t="inlineStr">
        <is>
          <t>Namak Halaal</t>
        </is>
      </c>
      <c r="D115" s="17" t="n">
        <v>1983</v>
      </c>
      <c r="E115" s="5" t="inlineStr">
        <is>
          <t>Filmfare Awards</t>
        </is>
      </c>
      <c r="F115" s="5" t="inlineStr">
        <is>
          <t>Best Supporting Actor</t>
        </is>
      </c>
      <c r="G115" s="5" t="inlineStr">
        <is>
          <t>Shashi Kapoor</t>
        </is>
      </c>
      <c r="H115" s="5" t="inlineStr">
        <is>
          <t>Actor</t>
        </is>
      </c>
      <c r="I115" s="5" t="inlineStr">
        <is>
          <t>Nomination</t>
        </is>
      </c>
      <c r="J115" s="5" t="inlineStr">
        <is>
          <t>Competitive</t>
        </is>
      </c>
      <c r="K115" s="5" t="inlineStr">
        <is>
          <t>30th Filmfare Awards, 25 September 1983.</t>
        </is>
      </c>
      <c r="L115" s="5" t="inlineStr">
        <is>
          <t>SOURCE-087; SOURCE-319</t>
        </is>
      </c>
      <c r="M115" s="5" t="inlineStr">
        <is>
          <t>High</t>
        </is>
      </c>
    </row>
    <row r="116" ht="49" customHeight="1">
      <c r="A116" s="15" t="inlineStr">
        <is>
          <t>AWARD-115</t>
        </is>
      </c>
      <c r="B116" s="18" t="inlineStr">
        <is>
          <t>FILM-109</t>
        </is>
      </c>
      <c r="C116" s="5" t="inlineStr">
        <is>
          <t>Heat and Dust</t>
        </is>
      </c>
      <c r="D116" s="17" t="n">
        <v>1983</v>
      </c>
      <c r="E116" s="5" t="inlineStr">
        <is>
          <t>Cannes Film Festival</t>
        </is>
      </c>
      <c r="F116" s="5" t="inlineStr">
        <is>
          <t>Palme d'Or</t>
        </is>
      </c>
      <c r="G116" s="5" t="inlineStr">
        <is>
          <t>Heat and Dust</t>
        </is>
      </c>
      <c r="H116" s="5" t="inlineStr">
        <is>
          <t>Film</t>
        </is>
      </c>
      <c r="I116" s="5" t="inlineStr">
        <is>
          <t>Nomination</t>
        </is>
      </c>
      <c r="J116" s="5" t="inlineStr">
        <is>
          <t>Competitive</t>
        </is>
      </c>
      <c r="K116" s="5" t="inlineStr">
        <is>
          <t>Entered in competition at the 1983 Cannes Film Festival. Recorded from the film article; no festival page was consulted.</t>
        </is>
      </c>
      <c r="L116" s="5" t="inlineStr">
        <is>
          <t>SOURCE-090</t>
        </is>
      </c>
      <c r="M116" s="5" t="inlineStr">
        <is>
          <t>Medium</t>
        </is>
      </c>
    </row>
    <row r="117" ht="49" customHeight="1">
      <c r="A117" s="15" t="inlineStr">
        <is>
          <t>AWARD-116</t>
        </is>
      </c>
      <c r="B117" s="18" t="inlineStr">
        <is>
          <t>FILM-103</t>
        </is>
      </c>
      <c r="C117" s="5" t="inlineStr">
        <is>
          <t>Vijeta</t>
        </is>
      </c>
      <c r="D117" s="17" t="n">
        <v>1984</v>
      </c>
      <c r="E117" s="5" t="inlineStr">
        <is>
          <t>Filmfare Awards</t>
        </is>
      </c>
      <c r="F117" s="5" t="inlineStr">
        <is>
          <t>Best Cinematography</t>
        </is>
      </c>
      <c r="G117" s="5" t="inlineStr">
        <is>
          <t>Govind Nihalani</t>
        </is>
      </c>
      <c r="H117" s="5" t="inlineStr">
        <is>
          <t>Cinematographer</t>
        </is>
      </c>
      <c r="I117" s="5" t="inlineStr">
        <is>
          <t>Win</t>
        </is>
      </c>
      <c r="J117" s="5" t="inlineStr">
        <is>
          <t>Competitive</t>
        </is>
      </c>
      <c r="K117" s="5" t="inlineStr">
        <is>
          <t>31st Filmfare Awards, 1984. Vijeta converted all three of its nominations. Kapoor produced the film and plays Nihal Singh.</t>
        </is>
      </c>
      <c r="L117" s="5" t="inlineStr">
        <is>
          <t>SOURCE-086; SOURCE-320</t>
        </is>
      </c>
      <c r="M117" s="5" t="inlineStr">
        <is>
          <t>High</t>
        </is>
      </c>
    </row>
    <row r="118" ht="49" customHeight="1">
      <c r="A118" s="15" t="inlineStr">
        <is>
          <t>AWARD-117</t>
        </is>
      </c>
      <c r="B118" s="18" t="inlineStr">
        <is>
          <t>FILM-103</t>
        </is>
      </c>
      <c r="C118" s="5" t="inlineStr">
        <is>
          <t>Vijeta</t>
        </is>
      </c>
      <c r="D118" s="17" t="n">
        <v>1984</v>
      </c>
      <c r="E118" s="5" t="inlineStr">
        <is>
          <t>Filmfare Awards</t>
        </is>
      </c>
      <c r="F118" s="5" t="inlineStr">
        <is>
          <t>Best Editing</t>
        </is>
      </c>
      <c r="G118" s="5" t="inlineStr">
        <is>
          <t>Keshav Naidu</t>
        </is>
      </c>
      <c r="H118" s="5" t="inlineStr">
        <is>
          <t>Editor</t>
        </is>
      </c>
      <c r="I118" s="5" t="inlineStr">
        <is>
          <t>Win</t>
        </is>
      </c>
      <c r="J118" s="5" t="inlineStr">
        <is>
          <t>Competitive</t>
        </is>
      </c>
      <c r="K118" s="5" t="inlineStr">
        <is>
          <t>31st Filmfare Awards, 1984. Vijeta converted all three of its nominations. Kapoor produced the film and plays Nihal Singh.</t>
        </is>
      </c>
      <c r="L118" s="5" t="inlineStr">
        <is>
          <t>SOURCE-086; SOURCE-320</t>
        </is>
      </c>
      <c r="M118" s="5" t="inlineStr">
        <is>
          <t>High</t>
        </is>
      </c>
    </row>
    <row r="119" ht="49" customHeight="1">
      <c r="A119" s="15" t="inlineStr">
        <is>
          <t>AWARD-118</t>
        </is>
      </c>
      <c r="B119" s="18" t="inlineStr">
        <is>
          <t>FILM-103</t>
        </is>
      </c>
      <c r="C119" s="5" t="inlineStr">
        <is>
          <t>Vijeta</t>
        </is>
      </c>
      <c r="D119" s="17" t="n">
        <v>1984</v>
      </c>
      <c r="E119" s="5" t="inlineStr">
        <is>
          <t>Filmfare Awards</t>
        </is>
      </c>
      <c r="F119" s="5" t="inlineStr">
        <is>
          <t>Best Sound</t>
        </is>
      </c>
      <c r="G119" s="5" t="inlineStr">
        <is>
          <t>Hitendra Ghosh</t>
        </is>
      </c>
      <c r="H119" s="5" t="inlineStr">
        <is>
          <t>Technician</t>
        </is>
      </c>
      <c r="I119" s="5" t="inlineStr">
        <is>
          <t>Win</t>
        </is>
      </c>
      <c r="J119" s="5" t="inlineStr">
        <is>
          <t>Competitive</t>
        </is>
      </c>
      <c r="K119" s="5" t="inlineStr">
        <is>
          <t>31st Filmfare Awards, 1984. Vijeta converted all three of its nominations. Kapoor produced the film and plays Nihal Singh.</t>
        </is>
      </c>
      <c r="L119" s="5" t="inlineStr">
        <is>
          <t>SOURCE-086; SOURCE-320</t>
        </is>
      </c>
      <c r="M119" s="5" t="inlineStr">
        <is>
          <t>High</t>
        </is>
      </c>
    </row>
    <row r="120" ht="34" customHeight="1">
      <c r="A120" s="15" t="inlineStr">
        <is>
          <t>AWARD-119</t>
        </is>
      </c>
      <c r="B120" s="18" t="inlineStr">
        <is>
          <t>FILM-109</t>
        </is>
      </c>
      <c r="C120" s="5" t="inlineStr">
        <is>
          <t>Heat and Dust</t>
        </is>
      </c>
      <c r="D120" s="17" t="n">
        <v>1984</v>
      </c>
      <c r="E120" s="5" t="inlineStr">
        <is>
          <t>British Academy Film Awards</t>
        </is>
      </c>
      <c r="F120" s="5" t="inlineStr">
        <is>
          <t>Best Adapted Screenplay</t>
        </is>
      </c>
      <c r="G120" s="5" t="inlineStr">
        <is>
          <t>Ruth Prawer Jhabvala</t>
        </is>
      </c>
      <c r="H120" s="5" t="inlineStr">
        <is>
          <t>Writer</t>
        </is>
      </c>
      <c r="I120" s="5" t="inlineStr">
        <is>
          <t>Win</t>
        </is>
      </c>
      <c r="J120" s="5" t="inlineStr">
        <is>
          <t>Competitive</t>
        </is>
      </c>
      <c r="K120" s="5" t="inlineStr">
        <is>
          <t>37th British Academy Film Awards, 25 March 1984. Eight nominations, one converted.</t>
        </is>
      </c>
      <c r="L120" s="5" t="inlineStr">
        <is>
          <t>SOURCE-090; SOURCE-332</t>
        </is>
      </c>
      <c r="M120" s="5" t="inlineStr">
        <is>
          <t>High</t>
        </is>
      </c>
    </row>
    <row r="121" ht="49" customHeight="1">
      <c r="A121" s="15" t="inlineStr">
        <is>
          <t>AWARD-120</t>
        </is>
      </c>
      <c r="B121" s="18" t="inlineStr">
        <is>
          <t>FILM-109</t>
        </is>
      </c>
      <c r="C121" s="5" t="inlineStr">
        <is>
          <t>Heat and Dust</t>
        </is>
      </c>
      <c r="D121" s="17" t="n">
        <v>1984</v>
      </c>
      <c r="E121" s="5" t="inlineStr">
        <is>
          <t>London Film Critics' Circle</t>
        </is>
      </c>
      <c r="F121" s="5" t="inlineStr">
        <is>
          <t>Screenwriter of the Year</t>
        </is>
      </c>
      <c r="G121" s="5" t="inlineStr">
        <is>
          <t>Ruth Prawer Jhabvala</t>
        </is>
      </c>
      <c r="H121" s="5" t="inlineStr">
        <is>
          <t>Writer</t>
        </is>
      </c>
      <c r="I121" s="5" t="inlineStr">
        <is>
          <t>Win</t>
        </is>
      </c>
      <c r="J121" s="5" t="inlineStr">
        <is>
          <t>Competitive</t>
        </is>
      </c>
      <c r="K121" s="5" t="inlineStr">
        <is>
          <t>Recorded from the film article, which also calls it Britain's National Film Critics Award.</t>
        </is>
      </c>
      <c r="L121" s="5" t="inlineStr">
        <is>
          <t>SOURCE-090</t>
        </is>
      </c>
      <c r="M121" s="5" t="inlineStr">
        <is>
          <t>Medium</t>
        </is>
      </c>
    </row>
    <row r="122" ht="34" customHeight="1">
      <c r="A122" s="15" t="inlineStr">
        <is>
          <t>AWARD-121</t>
        </is>
      </c>
      <c r="B122" s="18" t="inlineStr">
        <is>
          <t>FILM-109</t>
        </is>
      </c>
      <c r="C122" s="5" t="inlineStr">
        <is>
          <t>Heat and Dust</t>
        </is>
      </c>
      <c r="D122" s="17" t="n">
        <v>1984</v>
      </c>
      <c r="E122" s="5" t="inlineStr">
        <is>
          <t>British Academy Film Awards</t>
        </is>
      </c>
      <c r="F122" s="5" t="inlineStr">
        <is>
          <t>Best Cinematography</t>
        </is>
      </c>
      <c r="G122" s="5" t="inlineStr">
        <is>
          <t>Walter Lassally</t>
        </is>
      </c>
      <c r="H122" s="5" t="inlineStr">
        <is>
          <t>Cinematographer</t>
        </is>
      </c>
      <c r="I122" s="5" t="inlineStr">
        <is>
          <t>Nomination</t>
        </is>
      </c>
      <c r="J122" s="5" t="inlineStr">
        <is>
          <t>Competitive</t>
        </is>
      </c>
      <c r="K122" s="5" t="inlineStr">
        <is>
          <t>37th British Academy Film Awards, 25 March 1984. Eight nominations, one converted.</t>
        </is>
      </c>
      <c r="L122" s="5" t="inlineStr">
        <is>
          <t>SOURCE-090; SOURCE-332</t>
        </is>
      </c>
      <c r="M122" s="5" t="inlineStr">
        <is>
          <t>High</t>
        </is>
      </c>
    </row>
    <row r="123" ht="34" customHeight="1">
      <c r="A123" s="15" t="inlineStr">
        <is>
          <t>AWARD-122</t>
        </is>
      </c>
      <c r="B123" s="18" t="inlineStr">
        <is>
          <t>FILM-109</t>
        </is>
      </c>
      <c r="C123" s="5" t="inlineStr">
        <is>
          <t>Heat and Dust</t>
        </is>
      </c>
      <c r="D123" s="17" t="n">
        <v>1984</v>
      </c>
      <c r="E123" s="5" t="inlineStr">
        <is>
          <t>British Academy Film Awards</t>
        </is>
      </c>
      <c r="F123" s="5" t="inlineStr">
        <is>
          <t>Best Costume Design</t>
        </is>
      </c>
      <c r="G123" s="5" t="inlineStr">
        <is>
          <t>Barbara Lane</t>
        </is>
      </c>
      <c r="H123" s="5" t="inlineStr">
        <is>
          <t>Technician</t>
        </is>
      </c>
      <c r="I123" s="5" t="inlineStr">
        <is>
          <t>Nomination</t>
        </is>
      </c>
      <c r="J123" s="5" t="inlineStr">
        <is>
          <t>Competitive</t>
        </is>
      </c>
      <c r="K123" s="5" t="inlineStr">
        <is>
          <t>37th British Academy Film Awards, 25 March 1984. Eight nominations, one converted.</t>
        </is>
      </c>
      <c r="L123" s="5" t="inlineStr">
        <is>
          <t>SOURCE-090; SOURCE-332</t>
        </is>
      </c>
      <c r="M123" s="5" t="inlineStr">
        <is>
          <t>High</t>
        </is>
      </c>
    </row>
    <row r="124" ht="34" customHeight="1">
      <c r="A124" s="15" t="inlineStr">
        <is>
          <t>AWARD-123</t>
        </is>
      </c>
      <c r="B124" s="18" t="inlineStr">
        <is>
          <t>FILM-109</t>
        </is>
      </c>
      <c r="C124" s="5" t="inlineStr">
        <is>
          <t>Heat and Dust</t>
        </is>
      </c>
      <c r="D124" s="17" t="n">
        <v>1984</v>
      </c>
      <c r="E124" s="5" t="inlineStr">
        <is>
          <t>British Academy Film Awards</t>
        </is>
      </c>
      <c r="F124" s="5" t="inlineStr">
        <is>
          <t>Best Direction</t>
        </is>
      </c>
      <c r="G124" s="5" t="inlineStr">
        <is>
          <t>James Ivory</t>
        </is>
      </c>
      <c r="H124" s="5" t="inlineStr">
        <is>
          <t>Director</t>
        </is>
      </c>
      <c r="I124" s="5" t="inlineStr">
        <is>
          <t>Nomination</t>
        </is>
      </c>
      <c r="J124" s="5" t="inlineStr">
        <is>
          <t>Competitive</t>
        </is>
      </c>
      <c r="K124" s="5" t="inlineStr">
        <is>
          <t>37th British Academy Film Awards, 25 March 1984. Eight nominations, one converted.</t>
        </is>
      </c>
      <c r="L124" s="5" t="inlineStr">
        <is>
          <t>SOURCE-090; SOURCE-332</t>
        </is>
      </c>
      <c r="M124" s="5" t="inlineStr">
        <is>
          <t>High</t>
        </is>
      </c>
    </row>
    <row r="125" ht="34" customHeight="1">
      <c r="A125" s="15" t="inlineStr">
        <is>
          <t>AWARD-124</t>
        </is>
      </c>
      <c r="B125" s="18" t="inlineStr">
        <is>
          <t>FILM-109</t>
        </is>
      </c>
      <c r="C125" s="5" t="inlineStr">
        <is>
          <t>Heat and Dust</t>
        </is>
      </c>
      <c r="D125" s="17" t="n">
        <v>1984</v>
      </c>
      <c r="E125" s="5" t="inlineStr">
        <is>
          <t>British Academy Film Awards</t>
        </is>
      </c>
      <c r="F125" s="5" t="inlineStr">
        <is>
          <t>Best Film</t>
        </is>
      </c>
      <c r="G125" s="5" t="inlineStr">
        <is>
          <t>Ismail Merchant</t>
        </is>
      </c>
      <c r="H125" s="5" t="inlineStr">
        <is>
          <t>Producer</t>
        </is>
      </c>
      <c r="I125" s="5" t="inlineStr">
        <is>
          <t>Nomination</t>
        </is>
      </c>
      <c r="J125" s="5" t="inlineStr">
        <is>
          <t>Competitive</t>
        </is>
      </c>
      <c r="K125" s="5" t="inlineStr">
        <is>
          <t>37th British Academy Film Awards, 25 March 1984. Eight nominations, one converted.</t>
        </is>
      </c>
      <c r="L125" s="5" t="inlineStr">
        <is>
          <t>SOURCE-090; SOURCE-332</t>
        </is>
      </c>
      <c r="M125" s="5" t="inlineStr">
        <is>
          <t>High</t>
        </is>
      </c>
    </row>
    <row r="126" ht="34" customHeight="1">
      <c r="A126" s="15" t="inlineStr">
        <is>
          <t>AWARD-125</t>
        </is>
      </c>
      <c r="B126" s="18" t="inlineStr">
        <is>
          <t>FILM-109</t>
        </is>
      </c>
      <c r="C126" s="5" t="inlineStr">
        <is>
          <t>Heat and Dust</t>
        </is>
      </c>
      <c r="D126" s="17" t="n">
        <v>1984</v>
      </c>
      <c r="E126" s="5" t="inlineStr">
        <is>
          <t>British Academy Film Awards</t>
        </is>
      </c>
      <c r="F126" s="5" t="inlineStr">
        <is>
          <t>Best Makeup and Hair</t>
        </is>
      </c>
      <c r="G126" s="5" t="inlineStr">
        <is>
          <t>Gordon Kay</t>
        </is>
      </c>
      <c r="H126" s="5" t="inlineStr">
        <is>
          <t>Technician</t>
        </is>
      </c>
      <c r="I126" s="5" t="inlineStr">
        <is>
          <t>Nomination</t>
        </is>
      </c>
      <c r="J126" s="5" t="inlineStr">
        <is>
          <t>Competitive</t>
        </is>
      </c>
      <c r="K126" s="5" t="inlineStr">
        <is>
          <t>37th British Academy Film Awards, 25 March 1984. Eight nominations, one converted.</t>
        </is>
      </c>
      <c r="L126" s="5" t="inlineStr">
        <is>
          <t>SOURCE-090; SOURCE-332</t>
        </is>
      </c>
      <c r="M126" s="5" t="inlineStr">
        <is>
          <t>High</t>
        </is>
      </c>
    </row>
    <row r="127" ht="34" customHeight="1">
      <c r="A127" s="15" t="inlineStr">
        <is>
          <t>AWARD-126</t>
        </is>
      </c>
      <c r="B127" s="18" t="inlineStr">
        <is>
          <t>FILM-109</t>
        </is>
      </c>
      <c r="C127" s="5" t="inlineStr">
        <is>
          <t>Heat and Dust</t>
        </is>
      </c>
      <c r="D127" s="17" t="n">
        <v>1984</v>
      </c>
      <c r="E127" s="5" t="inlineStr">
        <is>
          <t>British Academy Film Awards</t>
        </is>
      </c>
      <c r="F127" s="5" t="inlineStr">
        <is>
          <t>Best Newcomer to Film</t>
        </is>
      </c>
      <c r="G127" s="5" t="inlineStr">
        <is>
          <t>Greta Scacchi</t>
        </is>
      </c>
      <c r="H127" s="5" t="inlineStr">
        <is>
          <t>Actress</t>
        </is>
      </c>
      <c r="I127" s="5" t="inlineStr">
        <is>
          <t>Nomination</t>
        </is>
      </c>
      <c r="J127" s="5" t="inlineStr">
        <is>
          <t>Competitive</t>
        </is>
      </c>
      <c r="K127" s="5" t="inlineStr">
        <is>
          <t>37th British Academy Film Awards, 25 March 1984. Eight nominations, one converted.</t>
        </is>
      </c>
      <c r="L127" s="5" t="inlineStr">
        <is>
          <t>SOURCE-090; SOURCE-332</t>
        </is>
      </c>
      <c r="M127" s="5" t="inlineStr">
        <is>
          <t>High</t>
        </is>
      </c>
    </row>
    <row r="128" ht="34" customHeight="1">
      <c r="A128" s="15" t="inlineStr">
        <is>
          <t>AWARD-127</t>
        </is>
      </c>
      <c r="B128" s="18" t="inlineStr">
        <is>
          <t>FILM-109</t>
        </is>
      </c>
      <c r="C128" s="5" t="inlineStr">
        <is>
          <t>Heat and Dust</t>
        </is>
      </c>
      <c r="D128" s="17" t="n">
        <v>1984</v>
      </c>
      <c r="E128" s="5" t="inlineStr">
        <is>
          <t>British Academy Film Awards</t>
        </is>
      </c>
      <c r="F128" s="5" t="inlineStr">
        <is>
          <t>Best Production Design</t>
        </is>
      </c>
      <c r="G128" s="5" t="inlineStr">
        <is>
          <t>Wilfred Shingleton</t>
        </is>
      </c>
      <c r="H128" s="5" t="inlineStr">
        <is>
          <t>Technician</t>
        </is>
      </c>
      <c r="I128" s="5" t="inlineStr">
        <is>
          <t>Nomination</t>
        </is>
      </c>
      <c r="J128" s="5" t="inlineStr">
        <is>
          <t>Competitive</t>
        </is>
      </c>
      <c r="K128" s="5" t="inlineStr">
        <is>
          <t>37th British Academy Film Awards, 25 March 1984. Eight nominations, one converted.</t>
        </is>
      </c>
      <c r="L128" s="5" t="inlineStr">
        <is>
          <t>SOURCE-090; SOURCE-332</t>
        </is>
      </c>
      <c r="M128" s="5" t="inlineStr">
        <is>
          <t>High</t>
        </is>
      </c>
    </row>
    <row r="129" ht="49" customHeight="1">
      <c r="A129" s="15" t="inlineStr">
        <is>
          <t>AWARD-128</t>
        </is>
      </c>
      <c r="B129" s="18" t="inlineStr">
        <is>
          <t>FILM-114</t>
        </is>
      </c>
      <c r="C129" s="5" t="inlineStr">
        <is>
          <t>Utsav</t>
        </is>
      </c>
      <c r="D129" s="17" t="n">
        <v>1985</v>
      </c>
      <c r="E129" s="5" t="inlineStr">
        <is>
          <t>National Film Awards</t>
        </is>
      </c>
      <c r="F129" s="5" t="inlineStr">
        <is>
          <t>Best Art Direction</t>
        </is>
      </c>
      <c r="G129" s="5" t="inlineStr">
        <is>
          <t>Nachiket Patwardhan and Jayoo Patwardhan</t>
        </is>
      </c>
      <c r="H129" s="5" t="inlineStr">
        <is>
          <t>Technician</t>
        </is>
      </c>
      <c r="I129" s="5" t="inlineStr">
        <is>
          <t>Win</t>
        </is>
      </c>
      <c r="J129" s="5" t="inlineStr">
        <is>
          <t>Competitive</t>
        </is>
      </c>
      <c r="K129" s="5" t="inlineStr">
        <is>
          <t>32nd National Film Awards, presented June 1985, for films of 1984. Kapoor produced the film.</t>
        </is>
      </c>
      <c r="L129" s="5" t="inlineStr">
        <is>
          <t>SOURCE-095; SOURCE-326</t>
        </is>
      </c>
      <c r="M129" s="5" t="inlineStr">
        <is>
          <t>High</t>
        </is>
      </c>
    </row>
    <row r="130" ht="109" customHeight="1">
      <c r="A130" s="15" t="inlineStr">
        <is>
          <t>AWARD-129</t>
        </is>
      </c>
      <c r="B130" s="18" t="inlineStr">
        <is>
          <t>FILM-120</t>
        </is>
      </c>
      <c r="C130" s="5" t="inlineStr">
        <is>
          <t>New Delhi Times</t>
        </is>
      </c>
      <c r="D130" s="17" t="n">
        <v>1986</v>
      </c>
      <c r="E130" s="5" t="inlineStr">
        <is>
          <t>National Film Awards</t>
        </is>
      </c>
      <c r="F130" s="5" t="inlineStr">
        <is>
          <t>Best Actor</t>
        </is>
      </c>
      <c r="G130" s="5" t="inlineStr">
        <is>
          <t>Shashi Kapoor</t>
        </is>
      </c>
      <c r="H130" s="5" t="inlineStr">
        <is>
          <t>Actor</t>
        </is>
      </c>
      <c r="I130" s="5" t="inlineStr">
        <is>
          <t>Win</t>
        </is>
      </c>
      <c r="J130" s="5" t="inlineStr">
        <is>
          <t>Competitive</t>
        </is>
      </c>
      <c r="K130" s="5" t="inlineStr">
        <is>
          <t>33rd National Film Awards, presented June 1986, for films of 1985. Carried a Rs 10,000 purse. The only competitive National Film Award Kapoor won as an actor; his earlier National Award for Junoon was as producer, and the later one for In Custody was a Special Jury Award.</t>
        </is>
      </c>
      <c r="L130" s="5" t="inlineStr">
        <is>
          <t>SOURCE-104; SOURCE-327</t>
        </is>
      </c>
      <c r="M130" s="5" t="inlineStr">
        <is>
          <t>High</t>
        </is>
      </c>
    </row>
    <row r="131" ht="94" customHeight="1">
      <c r="A131" s="15" t="inlineStr">
        <is>
          <t>AWARD-130</t>
        </is>
      </c>
      <c r="B131" s="18" t="inlineStr">
        <is>
          <t>FILM-120</t>
        </is>
      </c>
      <c r="C131" s="5" t="inlineStr">
        <is>
          <t>New Delhi Times</t>
        </is>
      </c>
      <c r="D131" s="17" t="n">
        <v>1986</v>
      </c>
      <c r="E131" s="5" t="inlineStr">
        <is>
          <t>National Film Awards</t>
        </is>
      </c>
      <c r="F131" s="5" t="inlineStr">
        <is>
          <t>Best Cinematography</t>
        </is>
      </c>
      <c r="G131" s="5" t="inlineStr">
        <is>
          <t>Subrata Mitra</t>
        </is>
      </c>
      <c r="H131" s="5" t="inlineStr">
        <is>
          <t>Cinematographer</t>
        </is>
      </c>
      <c r="I131" s="5" t="inlineStr">
        <is>
          <t>Win</t>
        </is>
      </c>
      <c r="J131" s="5" t="inlineStr">
        <is>
          <t>Competitive</t>
        </is>
      </c>
      <c r="K131" s="5" t="inlineStr">
        <is>
          <t>33rd National Film Awards, presented June 1986, for films of 1985. The film was one of the ceremony's most-awarded, with three wins. It is catalogued as a 1986 release but was judged in the 1985 cycle; the roles-and-awards page dates the Best Actor win 1986.</t>
        </is>
      </c>
      <c r="L131" s="5" t="inlineStr">
        <is>
          <t>SOURCE-104; SOURCE-327</t>
        </is>
      </c>
      <c r="M131" s="5" t="inlineStr">
        <is>
          <t>High</t>
        </is>
      </c>
    </row>
    <row r="132" ht="124" customHeight="1">
      <c r="A132" s="15" t="inlineStr">
        <is>
          <t>AWARD-131</t>
        </is>
      </c>
      <c r="B132" s="18" t="inlineStr">
        <is>
          <t>FILM-120</t>
        </is>
      </c>
      <c r="C132" s="5" t="inlineStr">
        <is>
          <t>New Delhi Times</t>
        </is>
      </c>
      <c r="D132" s="17" t="n">
        <v>1986</v>
      </c>
      <c r="E132" s="5" t="inlineStr">
        <is>
          <t>National Film Awards</t>
        </is>
      </c>
      <c r="F132" s="5" t="inlineStr">
        <is>
          <t>Best Debut Film of a Director</t>
        </is>
      </c>
      <c r="G132" s="5" t="inlineStr">
        <is>
          <t>Ramesh Sharma</t>
        </is>
      </c>
      <c r="H132" s="5" t="inlineStr">
        <is>
          <t>Director</t>
        </is>
      </c>
      <c r="I132" s="5" t="inlineStr">
        <is>
          <t>Win</t>
        </is>
      </c>
      <c r="J132" s="5" t="inlineStr">
        <is>
          <t>Competitive</t>
        </is>
      </c>
      <c r="K132" s="5" t="inlineStr">
        <is>
          <t>33rd National Film Awards, presented June 1986, for films of 1985. The film was one of the ceremony's most-awarded, with three wins. It is catalogued as a 1986 release but was judged in the 1985 cycle; the roles-and-awards page dates the Best Actor win 1986. The Indira Gandhi Award for Best First Film of a Director.</t>
        </is>
      </c>
      <c r="L132" s="5" t="inlineStr">
        <is>
          <t>SOURCE-104; SOURCE-327</t>
        </is>
      </c>
      <c r="M132" s="5" t="inlineStr">
        <is>
          <t>High</t>
        </is>
      </c>
    </row>
    <row r="133" ht="49" customHeight="1">
      <c r="A133" s="15" t="inlineStr">
        <is>
          <t>AWARD-132</t>
        </is>
      </c>
      <c r="B133" s="18" t="inlineStr">
        <is>
          <t>FILM-114</t>
        </is>
      </c>
      <c r="C133" s="5" t="inlineStr">
        <is>
          <t>Utsav</t>
        </is>
      </c>
      <c r="D133" s="17" t="n">
        <v>1987</v>
      </c>
      <c r="E133" s="5" t="inlineStr">
        <is>
          <t>Filmfare Awards</t>
        </is>
      </c>
      <c r="F133" s="5" t="inlineStr">
        <is>
          <t>Best Female Playback Singer</t>
        </is>
      </c>
      <c r="G133" s="5" t="inlineStr">
        <is>
          <t>Anuradha Paudwal</t>
        </is>
      </c>
      <c r="H133" s="5" t="inlineStr">
        <is>
          <t>Playback singer</t>
        </is>
      </c>
      <c r="I133" s="5" t="inlineStr">
        <is>
          <t>Win</t>
        </is>
      </c>
      <c r="J133" s="5" t="inlineStr">
        <is>
          <t>Competitive</t>
        </is>
      </c>
      <c r="K133" s="5" t="inlineStr">
        <is>
          <t>33rd Filmfare Awards, 28 January 1987. Two wins from four nominations. For 'Mere Mann Baje Mridang'.</t>
        </is>
      </c>
      <c r="L133" s="5" t="inlineStr">
        <is>
          <t>SOURCE-095; SOURCE-321</t>
        </is>
      </c>
      <c r="M133" s="5" t="inlineStr">
        <is>
          <t>High</t>
        </is>
      </c>
    </row>
    <row r="134" ht="49" customHeight="1">
      <c r="A134" s="15" t="inlineStr">
        <is>
          <t>AWARD-133</t>
        </is>
      </c>
      <c r="B134" s="18" t="inlineStr">
        <is>
          <t>FILM-114</t>
        </is>
      </c>
      <c r="C134" s="5" t="inlineStr">
        <is>
          <t>Utsav</t>
        </is>
      </c>
      <c r="D134" s="17" t="n">
        <v>1987</v>
      </c>
      <c r="E134" s="5" t="inlineStr">
        <is>
          <t>Filmfare Awards</t>
        </is>
      </c>
      <c r="F134" s="5" t="inlineStr">
        <is>
          <t>Best Lyricist</t>
        </is>
      </c>
      <c r="G134" s="5" t="inlineStr">
        <is>
          <t>Vasant Dev</t>
        </is>
      </c>
      <c r="H134" s="5" t="inlineStr">
        <is>
          <t>Lyricist</t>
        </is>
      </c>
      <c r="I134" s="5" t="inlineStr">
        <is>
          <t>Win</t>
        </is>
      </c>
      <c r="J134" s="5" t="inlineStr">
        <is>
          <t>Competitive</t>
        </is>
      </c>
      <c r="K134" s="5" t="inlineStr">
        <is>
          <t>33rd Filmfare Awards, 28 January 1987. Two wins from four nominations. For 'Mann Kyun Behka'.</t>
        </is>
      </c>
      <c r="L134" s="5" t="inlineStr">
        <is>
          <t>SOURCE-095; SOURCE-321</t>
        </is>
      </c>
      <c r="M134" s="5" t="inlineStr">
        <is>
          <t>High</t>
        </is>
      </c>
    </row>
    <row r="135" ht="34" customHeight="1">
      <c r="A135" s="15" t="inlineStr">
        <is>
          <t>AWARD-134</t>
        </is>
      </c>
      <c r="B135" s="18" t="inlineStr">
        <is>
          <t>FILM-114</t>
        </is>
      </c>
      <c r="C135" s="5" t="inlineStr">
        <is>
          <t>Utsav</t>
        </is>
      </c>
      <c r="D135" s="17" t="n">
        <v>1987</v>
      </c>
      <c r="E135" s="5" t="inlineStr">
        <is>
          <t>Filmfare Awards</t>
        </is>
      </c>
      <c r="F135" s="5" t="inlineStr">
        <is>
          <t>Best Actor in a Comic Role</t>
        </is>
      </c>
      <c r="G135" s="5" t="inlineStr">
        <is>
          <t>Amjad Khan</t>
        </is>
      </c>
      <c r="H135" s="5" t="inlineStr">
        <is>
          <t>Actor</t>
        </is>
      </c>
      <c r="I135" s="5" t="inlineStr">
        <is>
          <t>Nomination</t>
        </is>
      </c>
      <c r="J135" s="5" t="inlineStr">
        <is>
          <t>Competitive</t>
        </is>
      </c>
      <c r="K135" s="5" t="inlineStr">
        <is>
          <t>33rd Filmfare Awards, 28 January 1987. Two wins from four nominations.</t>
        </is>
      </c>
      <c r="L135" s="5" t="inlineStr">
        <is>
          <t>SOURCE-095; SOURCE-321</t>
        </is>
      </c>
      <c r="M135" s="5" t="inlineStr">
        <is>
          <t>High</t>
        </is>
      </c>
    </row>
    <row r="136" ht="34" customHeight="1">
      <c r="A136" s="15" t="inlineStr">
        <is>
          <t>AWARD-135</t>
        </is>
      </c>
      <c r="B136" s="18" t="inlineStr">
        <is>
          <t>FILM-114</t>
        </is>
      </c>
      <c r="C136" s="5" t="inlineStr">
        <is>
          <t>Utsav</t>
        </is>
      </c>
      <c r="D136" s="17" t="n">
        <v>1987</v>
      </c>
      <c r="E136" s="5" t="inlineStr">
        <is>
          <t>Filmfare Awards</t>
        </is>
      </c>
      <c r="F136" s="5" t="inlineStr">
        <is>
          <t>Best Actor in a Comic Role</t>
        </is>
      </c>
      <c r="G136" s="5" t="inlineStr">
        <is>
          <t>Annu Kapoor</t>
        </is>
      </c>
      <c r="H136" s="5" t="inlineStr">
        <is>
          <t>Actor</t>
        </is>
      </c>
      <c r="I136" s="5" t="inlineStr">
        <is>
          <t>Nomination</t>
        </is>
      </c>
      <c r="J136" s="5" t="inlineStr">
        <is>
          <t>Competitive</t>
        </is>
      </c>
      <c r="K136" s="5" t="inlineStr">
        <is>
          <t>33rd Filmfare Awards, 28 January 1987. Two wins from four nominations.</t>
        </is>
      </c>
      <c r="L136" s="5" t="inlineStr">
        <is>
          <t>SOURCE-095; SOURCE-321</t>
        </is>
      </c>
      <c r="M136" s="5" t="inlineStr">
        <is>
          <t>High</t>
        </is>
      </c>
    </row>
    <row r="137" ht="109" customHeight="1">
      <c r="A137" s="15" t="inlineStr">
        <is>
          <t>AWARD-136</t>
        </is>
      </c>
      <c r="B137" s="18" t="inlineStr">
        <is>
          <t>FILM-120</t>
        </is>
      </c>
      <c r="C137" s="5" t="inlineStr">
        <is>
          <t>New Delhi Times</t>
        </is>
      </c>
      <c r="D137" s="17" t="n">
        <v>1988</v>
      </c>
      <c r="E137" s="5" t="inlineStr">
        <is>
          <t>Bengal Film Journalists' Association Awards</t>
        </is>
      </c>
      <c r="F137" s="5" t="inlineStr">
        <is>
          <t>Best Actor (Hindi)</t>
        </is>
      </c>
      <c r="G137" s="5" t="inlineStr">
        <is>
          <t>Shashi Kapoor</t>
        </is>
      </c>
      <c r="H137" s="5" t="inlineStr">
        <is>
          <t>Actor</t>
        </is>
      </c>
      <c r="I137" s="5" t="inlineStr">
        <is>
          <t>Win</t>
        </is>
      </c>
      <c r="J137" s="5" t="inlineStr">
        <is>
          <t>Competitive</t>
        </is>
      </c>
      <c r="K137" s="5" t="inlineStr">
        <is>
          <t>Kapoor's second BFJA Best Actor, twenty-two years after Jab Jab Phool Khile. The roles-and-awards page gives the year as 1988 while citing a BFJA legacy page for 1989 (pastwin/198952.htm); the page's own year is kept and the discrepancy noted. Wikipedia carries no BFJA recipient lists to corroborate.</t>
        </is>
      </c>
      <c r="L137" s="5" t="inlineStr">
        <is>
          <t>SOURCE-001; SOURCE-104</t>
        </is>
      </c>
      <c r="M137" s="5" t="inlineStr">
        <is>
          <t>Medium</t>
        </is>
      </c>
    </row>
    <row r="138" ht="64" customHeight="1">
      <c r="A138" s="15" t="inlineStr">
        <is>
          <t>AWARD-137</t>
        </is>
      </c>
      <c r="B138" s="18" t="inlineStr">
        <is>
          <t>FILM-131</t>
        </is>
      </c>
      <c r="C138" s="5" t="inlineStr">
        <is>
          <t>Ijaazat</t>
        </is>
      </c>
      <c r="D138" s="17" t="n">
        <v>1988</v>
      </c>
      <c r="E138" s="5" t="inlineStr">
        <is>
          <t>National Film Awards</t>
        </is>
      </c>
      <c r="F138" s="5" t="inlineStr">
        <is>
          <t>Best Female Playback Singer</t>
        </is>
      </c>
      <c r="G138" s="5" t="inlineStr">
        <is>
          <t>Asha Bhosle</t>
        </is>
      </c>
      <c r="H138" s="5" t="inlineStr">
        <is>
          <t>Playback singer</t>
        </is>
      </c>
      <c r="I138" s="5" t="inlineStr">
        <is>
          <t>Win</t>
        </is>
      </c>
      <c r="J138" s="5" t="inlineStr">
        <is>
          <t>Competitive</t>
        </is>
      </c>
      <c r="K138" s="5" t="inlineStr">
        <is>
          <t>35th National Film Awards, presented April 1988, for films of 1987. Both awards went to the same song, 'Mera Kuchh Saamaan'. Her second National Film Award.</t>
        </is>
      </c>
      <c r="L138" s="5" t="inlineStr">
        <is>
          <t>SOURCE-106; SOURCE-328</t>
        </is>
      </c>
      <c r="M138" s="5" t="inlineStr">
        <is>
          <t>High</t>
        </is>
      </c>
    </row>
    <row r="139" ht="49" customHeight="1">
      <c r="A139" s="15" t="inlineStr">
        <is>
          <t>AWARD-138</t>
        </is>
      </c>
      <c r="B139" s="18" t="inlineStr">
        <is>
          <t>FILM-131</t>
        </is>
      </c>
      <c r="C139" s="5" t="inlineStr">
        <is>
          <t>Ijaazat</t>
        </is>
      </c>
      <c r="D139" s="17" t="n">
        <v>1988</v>
      </c>
      <c r="E139" s="5" t="inlineStr">
        <is>
          <t>National Film Awards</t>
        </is>
      </c>
      <c r="F139" s="5" t="inlineStr">
        <is>
          <t>Best Lyrics</t>
        </is>
      </c>
      <c r="G139" s="5" t="inlineStr">
        <is>
          <t>Gulzar</t>
        </is>
      </c>
      <c r="H139" s="5" t="inlineStr">
        <is>
          <t>Lyricist</t>
        </is>
      </c>
      <c r="I139" s="5" t="inlineStr">
        <is>
          <t>Win</t>
        </is>
      </c>
      <c r="J139" s="5" t="inlineStr">
        <is>
          <t>Competitive</t>
        </is>
      </c>
      <c r="K139" s="5" t="inlineStr">
        <is>
          <t>35th National Film Awards, presented April 1988, for films of 1987. Both awards went to the same song, 'Mera Kuchh Saamaan'.</t>
        </is>
      </c>
      <c r="L139" s="5" t="inlineStr">
        <is>
          <t>SOURCE-106; SOURCE-328</t>
        </is>
      </c>
      <c r="M139" s="5" t="inlineStr">
        <is>
          <t>High</t>
        </is>
      </c>
    </row>
    <row r="140" ht="34" customHeight="1">
      <c r="A140" s="15" t="inlineStr">
        <is>
          <t>AWARD-139</t>
        </is>
      </c>
      <c r="B140" s="18" t="inlineStr">
        <is>
          <t>FILM-131</t>
        </is>
      </c>
      <c r="C140" s="5" t="inlineStr">
        <is>
          <t>Ijaazat</t>
        </is>
      </c>
      <c r="D140" s="17" t="n">
        <v>1989</v>
      </c>
      <c r="E140" s="5" t="inlineStr">
        <is>
          <t>Filmfare Awards</t>
        </is>
      </c>
      <c r="F140" s="5" t="inlineStr">
        <is>
          <t>Best Lyricist</t>
        </is>
      </c>
      <c r="G140" s="5" t="inlineStr">
        <is>
          <t>Gulzar</t>
        </is>
      </c>
      <c r="H140" s="5" t="inlineStr">
        <is>
          <t>Lyricist</t>
        </is>
      </c>
      <c r="I140" s="5" t="inlineStr">
        <is>
          <t>Win</t>
        </is>
      </c>
      <c r="J140" s="5" t="inlineStr">
        <is>
          <t>Competitive</t>
        </is>
      </c>
      <c r="K140" s="5" t="inlineStr">
        <is>
          <t>34th Filmfare Awards, 1989. For 'Mera Kuch Saamaan'.</t>
        </is>
      </c>
      <c r="L140" s="5" t="inlineStr">
        <is>
          <t>SOURCE-106; SOURCE-322</t>
        </is>
      </c>
      <c r="M140" s="5" t="inlineStr">
        <is>
          <t>High</t>
        </is>
      </c>
    </row>
    <row r="141" ht="49" customHeight="1">
      <c r="A141" s="15" t="inlineStr">
        <is>
          <t>AWARD-140</t>
        </is>
      </c>
      <c r="B141" s="18" t="inlineStr">
        <is>
          <t>FILM-131</t>
        </is>
      </c>
      <c r="C141" s="5" t="inlineStr">
        <is>
          <t>Ijaazat</t>
        </is>
      </c>
      <c r="D141" s="17" t="n">
        <v>1989</v>
      </c>
      <c r="E141" s="5" t="inlineStr">
        <is>
          <t>Filmfare Awards</t>
        </is>
      </c>
      <c r="F141" s="5" t="inlineStr">
        <is>
          <t>Best Story</t>
        </is>
      </c>
      <c r="G141" s="5" t="inlineStr">
        <is>
          <t>Subodh Ghosh</t>
        </is>
      </c>
      <c r="H141" s="5" t="inlineStr">
        <is>
          <t>Writer</t>
        </is>
      </c>
      <c r="I141" s="5" t="inlineStr">
        <is>
          <t>Win</t>
        </is>
      </c>
      <c r="J141" s="5" t="inlineStr">
        <is>
          <t>Competitive</t>
        </is>
      </c>
      <c r="K141" s="5" t="inlineStr">
        <is>
          <t>34th Filmfare Awards, 1989. The film article's accolades table omits this win; the ceremony page's Best Story section records it.</t>
        </is>
      </c>
      <c r="L141" s="5" t="inlineStr">
        <is>
          <t>SOURCE-106; SOURCE-322</t>
        </is>
      </c>
      <c r="M141" s="5" t="inlineStr">
        <is>
          <t>High</t>
        </is>
      </c>
    </row>
    <row r="142" ht="19" customHeight="1">
      <c r="A142" s="15" t="inlineStr">
        <is>
          <t>AWARD-141</t>
        </is>
      </c>
      <c r="B142" s="18" t="inlineStr">
        <is>
          <t>FILM-131</t>
        </is>
      </c>
      <c r="C142" s="5" t="inlineStr">
        <is>
          <t>Ijaazat</t>
        </is>
      </c>
      <c r="D142" s="17" t="n">
        <v>1989</v>
      </c>
      <c r="E142" s="5" t="inlineStr">
        <is>
          <t>Filmfare Awards</t>
        </is>
      </c>
      <c r="F142" s="5" t="inlineStr">
        <is>
          <t>Best Supporting Actress</t>
        </is>
      </c>
      <c r="G142" s="5" t="inlineStr">
        <is>
          <t>Anuradha Patel</t>
        </is>
      </c>
      <c r="H142" s="5" t="inlineStr">
        <is>
          <t>Actress</t>
        </is>
      </c>
      <c r="I142" s="5" t="inlineStr">
        <is>
          <t>Nomination</t>
        </is>
      </c>
      <c r="J142" s="5" t="inlineStr">
        <is>
          <t>Competitive</t>
        </is>
      </c>
      <c r="K142" s="5" t="inlineStr">
        <is>
          <t>34th Filmfare Awards, 1989.</t>
        </is>
      </c>
      <c r="L142" s="5" t="inlineStr">
        <is>
          <t>SOURCE-106; SOURCE-322</t>
        </is>
      </c>
      <c r="M142" s="5" t="inlineStr">
        <is>
          <t>High</t>
        </is>
      </c>
    </row>
    <row r="143" ht="94" customHeight="1">
      <c r="A143" s="15" t="inlineStr">
        <is>
          <t>AWARD-142</t>
        </is>
      </c>
      <c r="B143" s="18" t="inlineStr">
        <is>
          <t>FILM-148</t>
        </is>
      </c>
      <c r="C143" s="5" t="inlineStr">
        <is>
          <t>In Custody</t>
        </is>
      </c>
      <c r="D143" s="17" t="n">
        <v>1994</v>
      </c>
      <c r="E143" s="5" t="inlineStr">
        <is>
          <t>National Film Awards</t>
        </is>
      </c>
      <c r="F143" s="5" t="inlineStr">
        <is>
          <t>Best Art Direction</t>
        </is>
      </c>
      <c r="G143" s="5" t="inlineStr">
        <is>
          <t>Suresh Sawant</t>
        </is>
      </c>
      <c r="H143" s="5" t="inlineStr">
        <is>
          <t>Technician</t>
        </is>
      </c>
      <c r="I143" s="5" t="inlineStr">
        <is>
          <t>Win</t>
        </is>
      </c>
      <c r="J143" s="5" t="inlineStr">
        <is>
          <t>Competitive</t>
        </is>
      </c>
      <c r="K143" s="5" t="inlineStr">
        <is>
          <t>41st National Film Awards, announced 21 April and presented 30 September 1994, for films of 1993. The ceremony indexes the film under its Urdu title Muhafiz, and it tied as the most-awarded film of the year with four wins.</t>
        </is>
      </c>
      <c r="L143" s="5" t="inlineStr">
        <is>
          <t>SOURCE-122; SOURCE-329</t>
        </is>
      </c>
      <c r="M143" s="5" t="inlineStr">
        <is>
          <t>High</t>
        </is>
      </c>
    </row>
    <row r="144" ht="94" customHeight="1">
      <c r="A144" s="15" t="inlineStr">
        <is>
          <t>AWARD-143</t>
        </is>
      </c>
      <c r="B144" s="18" t="inlineStr">
        <is>
          <t>FILM-148</t>
        </is>
      </c>
      <c r="C144" s="5" t="inlineStr">
        <is>
          <t>In Custody</t>
        </is>
      </c>
      <c r="D144" s="17" t="n">
        <v>1994</v>
      </c>
      <c r="E144" s="5" t="inlineStr">
        <is>
          <t>National Film Awards</t>
        </is>
      </c>
      <c r="F144" s="5" t="inlineStr">
        <is>
          <t>Special Jury Award (Feature Film)</t>
        </is>
      </c>
      <c r="G144" s="5" t="inlineStr">
        <is>
          <t>Shashi Kapoor</t>
        </is>
      </c>
      <c r="H144" s="5" t="inlineStr">
        <is>
          <t>Actor</t>
        </is>
      </c>
      <c r="I144" s="5" t="inlineStr">
        <is>
          <t>Win</t>
        </is>
      </c>
      <c r="J144" s="5" t="inlineStr">
        <is>
          <t>Competitive</t>
        </is>
      </c>
      <c r="K144" s="5" t="inlineStr">
        <is>
          <t>41st National Film Awards, announced 21 April and presented 30 September 1994, for films of 1993. Carried a Rs 25,000 purse, shared across four recipients. Kapoor's last National Film Award and his second as a performer, for Nur, the declining Urdu poet.</t>
        </is>
      </c>
      <c r="L144" s="5" t="inlineStr">
        <is>
          <t>SOURCE-122; SOURCE-329</t>
        </is>
      </c>
      <c r="M144" s="5" t="inlineStr">
        <is>
          <t>High</t>
        </is>
      </c>
    </row>
    <row r="145" ht="124" customHeight="1">
      <c r="A145" s="15" t="inlineStr">
        <is>
          <t>AWARD-144</t>
        </is>
      </c>
      <c r="B145" s="18" t="inlineStr">
        <is>
          <t>FILM-152</t>
        </is>
      </c>
      <c r="C145" s="5" t="inlineStr">
        <is>
          <t>Swami Vivekananda</t>
        </is>
      </c>
      <c r="D145" s="17" t="n">
        <v>1996</v>
      </c>
      <c r="E145" s="5" t="inlineStr">
        <is>
          <t>National Film Awards</t>
        </is>
      </c>
      <c r="F145" s="5" t="inlineStr">
        <is>
          <t>Best Supporting Actor</t>
        </is>
      </c>
      <c r="G145" s="5" t="inlineStr">
        <is>
          <t>Mithun Chakraborty</t>
        </is>
      </c>
      <c r="H145" s="5" t="inlineStr">
        <is>
          <t>Actor</t>
        </is>
      </c>
      <c r="I145" s="5" t="inlineStr">
        <is>
          <t>Win</t>
        </is>
      </c>
      <c r="J145" s="5" t="inlineStr">
        <is>
          <t>Competitive</t>
        </is>
      </c>
      <c r="K145" s="5" t="inlineStr">
        <is>
          <t>43rd National Film Awards, presented 6 August 1996, for films of 1995; the ceremony lists the film as Swami Vivekananda (Part I). The film did not reach cinemas until 12 June 1998, so the award precedes its release by two years. Kapoor appears only in a cameo as a Rajasthani husband. His third National Film Award.</t>
        </is>
      </c>
      <c r="L145" s="5" t="inlineStr">
        <is>
          <t>SOURCE-124; SOURCE-330</t>
        </is>
      </c>
      <c r="M145" s="5" t="inlineStr">
        <is>
          <t>High</t>
        </is>
      </c>
    </row>
    <row r="146" ht="49" customHeight="1">
      <c r="A146" s="15" t="inlineStr">
        <is>
          <t>AWARD-145</t>
        </is>
      </c>
      <c r="B146" s="18" t="inlineStr">
        <is>
          <t>FILM-153</t>
        </is>
      </c>
      <c r="C146" s="5" t="inlineStr">
        <is>
          <t>Jinnah</t>
        </is>
      </c>
      <c r="D146" s="17" t="n">
        <v>1999</v>
      </c>
      <c r="E146" s="5" t="inlineStr">
        <is>
          <t>WorldFest-Houston International Film Festival</t>
        </is>
      </c>
      <c r="F146" s="5" t="inlineStr">
        <is>
          <t>Silver Award</t>
        </is>
      </c>
      <c r="G146" s="5" t="inlineStr">
        <is>
          <t>Jinnah</t>
        </is>
      </c>
      <c r="H146" s="5" t="inlineStr">
        <is>
          <t>Film</t>
        </is>
      </c>
      <c r="I146" s="5" t="inlineStr">
        <is>
          <t>Win</t>
        </is>
      </c>
      <c r="J146" s="5" t="inlineStr">
        <is>
          <t>Competitive</t>
        </is>
      </c>
      <c r="K146" s="5" t="inlineStr">
        <is>
          <t>Listed in the film article's awards section without citations. Kapoor narrates the film.</t>
        </is>
      </c>
      <c r="L146" s="5" t="inlineStr">
        <is>
          <t>SOURCE-123</t>
        </is>
      </c>
      <c r="M146" s="5" t="inlineStr">
        <is>
          <t>Low</t>
        </is>
      </c>
    </row>
    <row r="147" ht="49" customHeight="1">
      <c r="A147" s="15" t="inlineStr">
        <is>
          <t>AWARD-146</t>
        </is>
      </c>
      <c r="B147" s="18" t="n"/>
      <c r="C147" s="5" t="n"/>
      <c r="D147" s="17" t="n">
        <v>2002</v>
      </c>
      <c r="E147" s="5" t="inlineStr">
        <is>
          <t>Cairo International Film Festival</t>
        </is>
      </c>
      <c r="F147" s="5" t="inlineStr">
        <is>
          <t>Lifetime Achievement Award</t>
        </is>
      </c>
      <c r="G147" s="5" t="inlineStr">
        <is>
          <t>Shashi Kapoor</t>
        </is>
      </c>
      <c r="H147" s="5" t="inlineStr">
        <is>
          <t>Actor (honorary)</t>
        </is>
      </c>
      <c r="I147" s="5" t="inlineStr">
        <is>
          <t>Win</t>
        </is>
      </c>
      <c r="J147" s="5" t="inlineStr">
        <is>
          <t>Honorary</t>
        </is>
      </c>
      <c r="K147" s="5" t="inlineStr">
        <is>
          <t>The 27th Cairo International Film Festival. Recorded from the roles-and-awards page alone.</t>
        </is>
      </c>
      <c r="L147" s="5" t="inlineStr">
        <is>
          <t>SOURCE-001</t>
        </is>
      </c>
      <c r="M147" s="5" t="inlineStr">
        <is>
          <t>Medium</t>
        </is>
      </c>
    </row>
    <row r="148" ht="49" customHeight="1">
      <c r="A148" s="15" t="inlineStr">
        <is>
          <t>AWARD-147</t>
        </is>
      </c>
      <c r="B148" s="18" t="n"/>
      <c r="C148" s="5" t="n"/>
      <c r="D148" s="17" t="n">
        <v>2009</v>
      </c>
      <c r="E148" s="5" t="inlineStr">
        <is>
          <t>Pune International Film Festival</t>
        </is>
      </c>
      <c r="F148" s="5" t="inlineStr">
        <is>
          <t>Lifetime Achievement Award</t>
        </is>
      </c>
      <c r="G148" s="5" t="inlineStr">
        <is>
          <t>Shashi Kapoor</t>
        </is>
      </c>
      <c r="H148" s="5" t="inlineStr">
        <is>
          <t>Actor (honorary)</t>
        </is>
      </c>
      <c r="I148" s="5" t="inlineStr">
        <is>
          <t>Win</t>
        </is>
      </c>
      <c r="J148" s="5" t="inlineStr">
        <is>
          <t>Honorary</t>
        </is>
      </c>
      <c r="K148" s="5" t="inlineStr">
        <is>
          <t>The 7th Pune International Film Festival. Recorded from the roles-and-awards page alone.</t>
        </is>
      </c>
      <c r="L148" s="5" t="inlineStr">
        <is>
          <t>SOURCE-001</t>
        </is>
      </c>
      <c r="M148" s="5" t="inlineStr">
        <is>
          <t>Medium</t>
        </is>
      </c>
    </row>
    <row r="149" ht="34" customHeight="1">
      <c r="A149" s="15" t="inlineStr">
        <is>
          <t>AWARD-148</t>
        </is>
      </c>
      <c r="B149" s="18" t="n"/>
      <c r="C149" s="5" t="n"/>
      <c r="D149" s="17" t="n">
        <v>2009</v>
      </c>
      <c r="E149" s="5" t="inlineStr">
        <is>
          <t>Mumbai Film Festival</t>
        </is>
      </c>
      <c r="F149" s="5" t="inlineStr">
        <is>
          <t>Lifetime Achievement Award</t>
        </is>
      </c>
      <c r="G149" s="5" t="inlineStr">
        <is>
          <t>Shashi Kapoor</t>
        </is>
      </c>
      <c r="H149" s="5" t="inlineStr">
        <is>
          <t>Actor (honorary)</t>
        </is>
      </c>
      <c r="I149" s="5" t="inlineStr">
        <is>
          <t>Win</t>
        </is>
      </c>
      <c r="J149" s="5" t="inlineStr">
        <is>
          <t>Honorary</t>
        </is>
      </c>
      <c r="K149" s="5" t="inlineStr">
        <is>
          <t>The 11th Mumbai Film Festival (MAMI). Recorded from the roles-and-awards page alone.</t>
        </is>
      </c>
      <c r="L149" s="5" t="inlineStr">
        <is>
          <t>SOURCE-001</t>
        </is>
      </c>
      <c r="M149" s="5" t="inlineStr">
        <is>
          <t>Medium</t>
        </is>
      </c>
    </row>
    <row r="150" ht="79" customHeight="1">
      <c r="A150" s="15" t="inlineStr">
        <is>
          <t>AWARD-149</t>
        </is>
      </c>
      <c r="B150" s="18" t="n"/>
      <c r="C150" s="5" t="n"/>
      <c r="D150" s="17" t="n">
        <v>2010</v>
      </c>
      <c r="E150" s="5" t="inlineStr">
        <is>
          <t>Filmfare Awards</t>
        </is>
      </c>
      <c r="F150" s="5" t="inlineStr">
        <is>
          <t>Lifetime Achievement Award</t>
        </is>
      </c>
      <c r="G150" s="5" t="inlineStr">
        <is>
          <t>Shashi Kapoor</t>
        </is>
      </c>
      <c r="H150" s="5" t="inlineStr">
        <is>
          <t>Actor (honorary)</t>
        </is>
      </c>
      <c r="I150" s="5" t="inlineStr">
        <is>
          <t>Win</t>
        </is>
      </c>
      <c r="J150" s="5" t="inlineStr">
        <is>
          <t>Honorary</t>
        </is>
      </c>
      <c r="K150" s="5" t="inlineStr">
        <is>
          <t>Presented at the 55th Filmfare Awards, 27 February 2010, for his career as a whole rather than for a film. It came thirty-four years after his only competitive acting Filmfare, for Deewaar.</t>
        </is>
      </c>
      <c r="L150" s="5" t="inlineStr">
        <is>
          <t>SOURCE-001; SOURCE-323; SOURCE-337</t>
        </is>
      </c>
      <c r="M150" s="5" t="inlineStr">
        <is>
          <t>High</t>
        </is>
      </c>
    </row>
    <row r="151" ht="64" customHeight="1">
      <c r="A151" s="15" t="inlineStr">
        <is>
          <t>AWARD-150</t>
        </is>
      </c>
      <c r="B151" s="18" t="n"/>
      <c r="C151" s="5" t="n"/>
      <c r="D151" s="17" t="n">
        <v>2011</v>
      </c>
      <c r="E151" s="5" t="inlineStr">
        <is>
          <t>Other award</t>
        </is>
      </c>
      <c r="F151" s="5" t="inlineStr">
        <is>
          <t>Mohammed Rafi Award</t>
        </is>
      </c>
      <c r="G151" s="5" t="inlineStr">
        <is>
          <t>Shashi Kapoor</t>
        </is>
      </c>
      <c r="H151" s="5" t="inlineStr">
        <is>
          <t>Actor (honorary)</t>
        </is>
      </c>
      <c r="I151" s="5" t="inlineStr">
        <is>
          <t>Win</t>
        </is>
      </c>
      <c r="J151" s="5" t="inlineStr">
        <is>
          <t>Honorary</t>
        </is>
      </c>
      <c r="K151" s="5" t="inlineStr">
        <is>
          <t>Listed on the roles-and-awards page, citing a 2011 Indian Express report; not otherwise corroborated and the citation was not followed.</t>
        </is>
      </c>
      <c r="L151" s="5" t="inlineStr">
        <is>
          <t>SOURCE-001</t>
        </is>
      </c>
      <c r="M151" s="5" t="inlineStr">
        <is>
          <t>Low</t>
        </is>
      </c>
    </row>
    <row r="152" ht="49" customHeight="1">
      <c r="A152" s="15" t="inlineStr">
        <is>
          <t>AWARD-151</t>
        </is>
      </c>
      <c r="B152" s="18" t="n"/>
      <c r="C152" s="5" t="n"/>
      <c r="D152" s="17" t="n">
        <v>2011</v>
      </c>
      <c r="E152" s="5" t="inlineStr">
        <is>
          <t>Government honour</t>
        </is>
      </c>
      <c r="F152" s="5" t="inlineStr">
        <is>
          <t>Padma Bhushan, India's third-highest civilian award</t>
        </is>
      </c>
      <c r="G152" s="5" t="inlineStr">
        <is>
          <t>Shashi Kapoor</t>
        </is>
      </c>
      <c r="H152" s="5" t="inlineStr">
        <is>
          <t>Actor (honorary)</t>
        </is>
      </c>
      <c r="I152" s="5" t="inlineStr">
        <is>
          <t>Win</t>
        </is>
      </c>
      <c r="J152" s="5" t="inlineStr">
        <is>
          <t>Honorary</t>
        </is>
      </c>
      <c r="K152" s="5" t="inlineStr">
        <is>
          <t>Conferred in the Arts category, listed from Maharashtra, for his contributions to Indian cinema.</t>
        </is>
      </c>
      <c r="L152" s="5" t="inlineStr">
        <is>
          <t>SOURCE-001; SOURCE-335</t>
        </is>
      </c>
      <c r="M152" s="5" t="inlineStr">
        <is>
          <t>High</t>
        </is>
      </c>
    </row>
    <row r="153" ht="124" customHeight="1">
      <c r="A153" s="15" t="inlineStr">
        <is>
          <t>AWARD-152</t>
        </is>
      </c>
      <c r="B153" s="18" t="n"/>
      <c r="C153" s="5" t="n"/>
      <c r="D153" s="17" t="n">
        <v>2015</v>
      </c>
      <c r="E153" s="5" t="inlineStr">
        <is>
          <t>National Film Awards</t>
        </is>
      </c>
      <c r="F153" s="5" t="inlineStr">
        <is>
          <t>Dadasaheb Phalke Award</t>
        </is>
      </c>
      <c r="G153" s="5" t="inlineStr">
        <is>
          <t>Shashi Kapoor</t>
        </is>
      </c>
      <c r="H153" s="5" t="inlineStr">
        <is>
          <t>Actor (honorary)</t>
        </is>
      </c>
      <c r="I153" s="5" t="inlineStr">
        <is>
          <t>Win</t>
        </is>
      </c>
      <c r="J153" s="5" t="inlineStr">
        <is>
          <t>Honorary</t>
        </is>
      </c>
      <c r="K153" s="5" t="inlineStr">
        <is>
          <t>Awarded for the year 2014, announced 23-24 March 2015 and presented 3 May 2015 alongside the 62nd National Film Awards: a Swarna Kamal, Rs 10 lakh and a shawl. Prithviraj, Raj and Shashi Kapoor are the only father and sons to have received it. Kapoor was 77 and in poor health; he died two years later.</t>
        </is>
      </c>
      <c r="L153" s="5" t="inlineStr">
        <is>
          <t>SOURCE-001; SOURCE-331; SOURCE-336</t>
        </is>
      </c>
      <c r="M153" s="5" t="inlineStr">
        <is>
          <t>High</t>
        </is>
      </c>
    </row>
    <row r="154" ht="49" customHeight="1">
      <c r="A154" s="15" t="inlineStr">
        <is>
          <t>AWARD-153</t>
        </is>
      </c>
      <c r="B154" s="18" t="inlineStr">
        <is>
          <t>FILM-153</t>
        </is>
      </c>
      <c r="C154" s="5" t="inlineStr">
        <is>
          <t>Jinnah</t>
        </is>
      </c>
      <c r="D154" s="18" t="n"/>
      <c r="E154" s="5" t="inlineStr">
        <is>
          <t>World Film Awards, Indonesia</t>
        </is>
      </c>
      <c r="F154" s="5" t="inlineStr">
        <is>
          <t>Best International Film</t>
        </is>
      </c>
      <c r="G154" s="5" t="inlineStr">
        <is>
          <t>Jinnah</t>
        </is>
      </c>
      <c r="H154" s="5" t="inlineStr">
        <is>
          <t>Film</t>
        </is>
      </c>
      <c r="I154" s="5" t="inlineStr">
        <is>
          <t>Win</t>
        </is>
      </c>
      <c r="J154" s="5" t="inlineStr">
        <is>
          <t>Competitive</t>
        </is>
      </c>
      <c r="K154" s="5" t="inlineStr">
        <is>
          <t>Listed in the film article's awards section without citations. Kapoor narrates the film. The article gives no ceremony year.</t>
        </is>
      </c>
      <c r="L154" s="5" t="inlineStr">
        <is>
          <t>SOURCE-123</t>
        </is>
      </c>
      <c r="M154" s="5" t="inlineStr">
        <is>
          <t>Low</t>
        </is>
      </c>
    </row>
    <row r="155" ht="49" customHeight="1">
      <c r="A155" s="15" t="inlineStr">
        <is>
          <t>AWARD-154</t>
        </is>
      </c>
      <c r="B155" s="18" t="inlineStr">
        <is>
          <t>FILM-153</t>
        </is>
      </c>
      <c r="C155" s="5" t="inlineStr">
        <is>
          <t>Jinnah</t>
        </is>
      </c>
      <c r="D155" s="18" t="n"/>
      <c r="E155" s="5" t="inlineStr">
        <is>
          <t>WorldFest Flagstaff</t>
        </is>
      </c>
      <c r="F155" s="5" t="inlineStr">
        <is>
          <t>Gold Award, Best Foreign Film</t>
        </is>
      </c>
      <c r="G155" s="5" t="inlineStr">
        <is>
          <t>Jinnah</t>
        </is>
      </c>
      <c r="H155" s="5" t="inlineStr">
        <is>
          <t>Film</t>
        </is>
      </c>
      <c r="I155" s="5" t="inlineStr">
        <is>
          <t>Win</t>
        </is>
      </c>
      <c r="J155" s="5" t="inlineStr">
        <is>
          <t>Competitive</t>
        </is>
      </c>
      <c r="K155" s="5" t="inlineStr">
        <is>
          <t>Listed in the film article's awards section without citations. Kapoor narrates the film. The article gives no ceremony year.</t>
        </is>
      </c>
      <c r="L155" s="5" t="inlineStr">
        <is>
          <t>SOURCE-123</t>
        </is>
      </c>
      <c r="M155" s="5" t="inlineStr">
        <is>
          <t>Low</t>
        </is>
      </c>
    </row>
    <row r="156" ht="49" customHeight="1">
      <c r="A156" s="15" t="inlineStr">
        <is>
          <t>AWARD-155</t>
        </is>
      </c>
      <c r="B156" s="18" t="inlineStr">
        <is>
          <t>FILM-153</t>
        </is>
      </c>
      <c r="C156" s="5" t="inlineStr">
        <is>
          <t>Jinnah</t>
        </is>
      </c>
      <c r="D156" s="18" t="n"/>
      <c r="E156" s="5" t="inlineStr">
        <is>
          <t>Zanzibar International Film Festival</t>
        </is>
      </c>
      <c r="F156" s="5" t="inlineStr">
        <is>
          <t>Grand Prize</t>
        </is>
      </c>
      <c r="G156" s="5" t="inlineStr">
        <is>
          <t>Jinnah</t>
        </is>
      </c>
      <c r="H156" s="5" t="inlineStr">
        <is>
          <t>Film</t>
        </is>
      </c>
      <c r="I156" s="5" t="inlineStr">
        <is>
          <t>Win</t>
        </is>
      </c>
      <c r="J156" s="5" t="inlineStr">
        <is>
          <t>Competitive</t>
        </is>
      </c>
      <c r="K156" s="5" t="inlineStr">
        <is>
          <t>Listed in the film article's awards section without citations. Kapoor narrates the film. The article gives no ceremony year.</t>
        </is>
      </c>
      <c r="L156" s="5" t="inlineStr">
        <is>
          <t>SOURCE-123</t>
        </is>
      </c>
      <c r="M156" s="5" t="inlineStr">
        <is>
          <t>Low</t>
        </is>
      </c>
    </row>
    <row r="157" ht="49" customHeight="1">
      <c r="A157" s="15" t="inlineStr">
        <is>
          <t>AWARD-156</t>
        </is>
      </c>
      <c r="B157" s="18" t="inlineStr">
        <is>
          <t>FILM-153</t>
        </is>
      </c>
      <c r="C157" s="5" t="inlineStr">
        <is>
          <t>Jinnah</t>
        </is>
      </c>
      <c r="D157" s="18" t="n"/>
      <c r="E157" s="5" t="inlineStr">
        <is>
          <t>Cairo International Film Festival</t>
        </is>
      </c>
      <c r="F157" s="5" t="inlineStr">
        <is>
          <t>Golden Pyramid Award</t>
        </is>
      </c>
      <c r="G157" s="5" t="inlineStr">
        <is>
          <t>Jinnah</t>
        </is>
      </c>
      <c r="H157" s="5" t="inlineStr">
        <is>
          <t>Film</t>
        </is>
      </c>
      <c r="I157" s="5" t="inlineStr">
        <is>
          <t>Nomination</t>
        </is>
      </c>
      <c r="J157" s="5" t="inlineStr">
        <is>
          <t>Competitive</t>
        </is>
      </c>
      <c r="K157" s="5" t="inlineStr">
        <is>
          <t>Listed in the film article's awards section without citations. Kapoor narrates the film. The article gives no ceremony year.</t>
        </is>
      </c>
      <c r="L157" s="5" t="inlineStr">
        <is>
          <t>SOURCE-123</t>
        </is>
      </c>
      <c r="M157" s="5" t="inlineStr">
        <is>
          <t>Low</t>
        </is>
      </c>
    </row>
  </sheetData>
  <autoFilter ref="A1:M157"/>
  <dataValidations count="3">
    <dataValidation sqref="I2:I357" showDropDown="0" showInputMessage="0" showErrorMessage="1" allowBlank="1" errorTitle="Win or Nomination" error="Choose a value from the list." type="list">
      <formula1>"Win,Nomination"</formula1>
    </dataValidation>
    <dataValidation sqref="J2:J357" showDropDown="0" showInputMessage="0" showErrorMessage="1" allowBlank="1" errorTitle="Competitive or Honorary" error="Choose a value from the list." type="list">
      <formula1>"Competitive,Honorary"</formula1>
    </dataValidation>
    <dataValidation sqref="M2:M357"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2" customWidth="1" min="3" max="3"/>
    <col width="40" customWidth="1" min="4" max="4"/>
    <col width="22" customWidth="1" min="5" max="5"/>
    <col width="20" customWidth="1" min="6" max="6"/>
    <col width="12" customWidth="1" min="7" max="7"/>
    <col width="42" customWidth="1" min="8" max="8"/>
    <col width="12" customWidth="1" min="9" max="9"/>
    <col width="40" customWidth="1" min="10" max="10"/>
    <col width="18" customWidth="1" min="11" max="11"/>
    <col width="10" customWidth="1" min="12" max="12"/>
    <col width="36" customWidth="1" min="13" max="13"/>
  </cols>
  <sheetData>
    <row r="1" ht="36" customHeight="1">
      <c r="A1" s="12" t="inlineStr">
        <is>
          <t>Source ID</t>
        </is>
      </c>
      <c r="B1" s="12" t="inlineStr">
        <is>
          <t>Film IDs Supported</t>
        </is>
      </c>
      <c r="C1" s="12" t="inlineStr">
        <is>
          <t>Pairing IDs Supported</t>
        </is>
      </c>
      <c r="D1" s="12" t="inlineStr">
        <is>
          <t>Source Title</t>
        </is>
      </c>
      <c r="E1" s="12" t="inlineStr">
        <is>
          <t>Publisher</t>
        </is>
      </c>
      <c r="F1" s="12" t="inlineStr">
        <is>
          <t>Author</t>
        </is>
      </c>
      <c r="G1" s="12" t="inlineStr">
        <is>
          <t>Publication Date</t>
        </is>
      </c>
      <c r="H1" s="12" t="inlineStr">
        <is>
          <t>URL</t>
        </is>
      </c>
      <c r="I1" s="12" t="inlineStr">
        <is>
          <t>Access Date</t>
        </is>
      </c>
      <c r="J1" s="12" t="inlineStr">
        <is>
          <t>Claims Supported</t>
        </is>
      </c>
      <c r="K1" s="12" t="inlineStr">
        <is>
          <t>Source Type</t>
        </is>
      </c>
      <c r="L1" s="12" t="inlineStr">
        <is>
          <t>Reliability Tier</t>
        </is>
      </c>
      <c r="M1" s="12" t="inlineStr">
        <is>
          <t>Notes</t>
        </is>
      </c>
    </row>
    <row r="2" ht="409" customHeight="1">
      <c r="A2" s="15" t="inlineStr">
        <is>
          <t>SOURCE-001</t>
        </is>
      </c>
      <c r="B2" s="5" t="inlineStr">
        <is>
          <t>FILM-001; FILM-002; FILM-003; FILM-004; FILM-005; FILM-006; FILM-007; FILM-008; FILM-009; FILM-010; FILM-011; FILM-012; FILM-013; FILM-014; FILM-015; FILM-016; FILM-017; FILM-018; FILM-019; FILM-020; FILM-021; FILM-022; FILM-023; FILM-024; FILM-025; FILM-026; FILM-027; FILM-028; FILM-029; FILM-030; FILM-031; FILM-032; FILM-033; FILM-034; FILM-035; FILM-036; FILM-037; FILM-038; FILM-039; FILM-040; FILM-041; FILM-042; FILM-043; FILM-044; FILM-045; FILM-046; FILM-047; FILM-048; FILM-049; FILM-050; FILM-051; FILM-052; FILM-053; FILM-054; FILM-055; FILM-056; FILM-057; FILM-058; FILM-059; FILM-060; FILM-061; FILM-062; FILM-063; FILM-064; FILM-065; FILM-066; FILM-067; FILM-068; FILM-069; FILM-070; FILM-071; FILM-072; FILM-073; FILM-074; FILM-075; FILM-076; FILM-077; FILM-078; FILM-079; FILM-080; FILM-081; FILM-082; FILM-083; FILM-084; FILM-085; FILM-086; FILM-087; FILM-088; FILM-089; FILM-090; FILM-091; FILM-092; FILM-093; FILM-094; FILM-095; FILM-096; FILM-097; FILM-098; FILM-099; FILM-100; FILM-101; FILM-102; FILM-103; FILM-104; FILM-105; FILM-106; FILM-107; FILM-108; FILM-109; FILM-110; FILM-111; FILM-112; FILM-113; FILM-114; FILM-115; FILM-116; FILM-117; FILM-118; FILM-119; FILM-120; FILM-121; FILM-122; FILM-123; FILM-124; FILM-125; FILM-126; FILM-127; FILM-128; FILM-129; FILM-130; FILM-131; FILM-132; FILM-133; FILM-134; FILM-135; FILM-136; FILM-137; FILM-138; FILM-139; FILM-140; FILM-141; FILM-142; FILM-143; FILM-144; FILM-145; FILM-146; FILM-147; FILM-148; FILM-149; FILM-150; FILM-151; FILM-152; FILM-153; FILM-154</t>
        </is>
      </c>
      <c r="C2" s="5" t="inlineStr">
        <is>
          <t>PAIR-001; PAIR-002; PAIR-003; PAIR-004; PAIR-005; PAIR-006; PAIR-007; PAIR-008; PAIR-009; PAIR-010; PAIR-011; PAIR-012; PAIR-013; PAIR-014; PAIR-015; PAIR-016; PAIR-017; PAIR-018; PAIR-019; PAIR-020; PAIR-021; PAIR-022; PAIR-023; PAIR-024; PAIR-025; PAIR-026; PAIR-027; PAIR-028; PAIR-029; PAIR-030; PAIR-031; PAIR-032; PAIR-033; PAIR-034; PAIR-035; PAIR-036; PAIR-037; PAIR-038; PAIR-039; PAIR-040; PAIR-041; PAIR-042; PAIR-043; PAIR-044; PAIR-045; PAIR-046; PAIR-047; PAIR-048; PAIR-049; PAIR-050; PAIR-051; PAIR-052; PAIR-053; PAIR-054; PAIR-055; PAIR-056; PAIR-057; PAIR-058; PAIR-059; PAIR-060; PAIR-061; PAIR-062; PAIR-063; PAIR-064; PAIR-065; PAIR-066; PAIR-067; PAIR-068; PAIR-069; PAIR-070; PAIR-071; PAIR-072; PAIR-073; PAIR-074; PAIR-075; PAIR-076</t>
        </is>
      </c>
      <c r="D2" s="5" t="inlineStr">
        <is>
          <t>List of roles and awards of Shashi Kapoor</t>
        </is>
      </c>
      <c r="E2" s="5" t="inlineStr">
        <is>
          <t>Wikipedia</t>
        </is>
      </c>
      <c r="F2" s="5" t="n"/>
      <c r="G2" s="5" t="n"/>
      <c r="H2" s="22" t="inlineStr">
        <is>
          <t>https://en.wikipedia.org/wiki/List_of_roles_and_awards_of_Shashi_Kapoor</t>
        </is>
      </c>
      <c r="I2" s="16" t="n">
        <v>46286</v>
      </c>
      <c r="J2" s="5" t="inlineStr">
        <is>
          <t>Feature-film acting credits, character names, and cameo, special-appearance, narration and voice notes.</t>
        </is>
      </c>
      <c r="K2" s="5" t="inlineStr">
        <is>
          <t>Reference encyclopedia</t>
        </is>
      </c>
      <c r="L2" s="5" t="inlineStr">
        <is>
          <t>C</t>
        </is>
      </c>
      <c r="M2" s="5" t="inlineStr">
        <is>
          <t>Downloaded as raw wikitext.</t>
        </is>
      </c>
    </row>
    <row r="3" ht="49" customHeight="1">
      <c r="A3" s="15" t="inlineStr">
        <is>
          <t>SOURCE-002</t>
        </is>
      </c>
      <c r="B3" s="5" t="inlineStr">
        <is>
          <t>FILM-001</t>
        </is>
      </c>
      <c r="C3" s="5" t="n"/>
      <c r="D3" s="5" t="inlineStr">
        <is>
          <t>Aag (1948 film)</t>
        </is>
      </c>
      <c r="E3" s="5" t="inlineStr">
        <is>
          <t>Wikipedia</t>
        </is>
      </c>
      <c r="F3" s="5" t="n"/>
      <c r="G3" s="5" t="n"/>
      <c r="H3" s="22" t="inlineStr">
        <is>
          <t>https://en.wikipedia.org/wiki/Aag_(1948_film)</t>
        </is>
      </c>
      <c r="I3" s="16" t="n">
        <v>46286</v>
      </c>
      <c r="J3" s="5" t="inlineStr">
        <is>
          <t>Infobox: release date, language, runtime, director, producers, production banner, writers, song composer.</t>
        </is>
      </c>
      <c r="K3" s="5" t="inlineStr">
        <is>
          <t>Reference encyclopedia</t>
        </is>
      </c>
      <c r="L3" s="5" t="inlineStr">
        <is>
          <t>C</t>
        </is>
      </c>
      <c r="M3" s="5" t="inlineStr">
        <is>
          <t>Film article; downloaded as raw wikitext.</t>
        </is>
      </c>
    </row>
    <row r="4" ht="34" customHeight="1">
      <c r="A4" s="15" t="inlineStr">
        <is>
          <t>SOURCE-003</t>
        </is>
      </c>
      <c r="B4" s="5" t="inlineStr">
        <is>
          <t>FILM-002</t>
        </is>
      </c>
      <c r="C4" s="5" t="n"/>
      <c r="D4" s="5" t="inlineStr">
        <is>
          <t>Sangram (1950 film)</t>
        </is>
      </c>
      <c r="E4" s="5" t="inlineStr">
        <is>
          <t>Wikipedia</t>
        </is>
      </c>
      <c r="F4" s="5" t="n"/>
      <c r="G4" s="5" t="n"/>
      <c r="H4" s="22" t="inlineStr">
        <is>
          <t>https://en.wikipedia.org/wiki/Sangram_(1950_film)</t>
        </is>
      </c>
      <c r="I4" s="16" t="n">
        <v>46286</v>
      </c>
      <c r="J4" s="5" t="inlineStr">
        <is>
          <t>Infobox: release date, language, director, producers, production banner, writers, song composer.</t>
        </is>
      </c>
      <c r="K4" s="5" t="inlineStr">
        <is>
          <t>Reference encyclopedia</t>
        </is>
      </c>
      <c r="L4" s="5" t="inlineStr">
        <is>
          <t>C</t>
        </is>
      </c>
      <c r="M4" s="5" t="inlineStr">
        <is>
          <t>Film article; downloaded as raw wikitext.</t>
        </is>
      </c>
    </row>
    <row r="5" ht="49" customHeight="1">
      <c r="A5" s="15" t="inlineStr">
        <is>
          <t>SOURCE-004</t>
        </is>
      </c>
      <c r="B5" s="5" t="inlineStr">
        <is>
          <t>FILM-004</t>
        </is>
      </c>
      <c r="C5" s="5" t="n"/>
      <c r="D5" s="5" t="inlineStr">
        <is>
          <t>Awaara</t>
        </is>
      </c>
      <c r="E5" s="5" t="inlineStr">
        <is>
          <t>Wikipedia</t>
        </is>
      </c>
      <c r="F5" s="5" t="n"/>
      <c r="G5" s="5" t="n"/>
      <c r="H5" s="22" t="inlineStr">
        <is>
          <t>https://en.wikipedia.org/wiki/Awaara</t>
        </is>
      </c>
      <c r="I5" s="16" t="n">
        <v>46286</v>
      </c>
      <c r="J5" s="5" t="inlineStr">
        <is>
          <t>Infobox: release date, language, runtime, director, producers, production banner, writers, song composer, billing position.</t>
        </is>
      </c>
      <c r="K5" s="5" t="inlineStr">
        <is>
          <t>Reference encyclopedia</t>
        </is>
      </c>
      <c r="L5" s="5" t="inlineStr">
        <is>
          <t>C</t>
        </is>
      </c>
      <c r="M5" s="5" t="inlineStr">
        <is>
          <t>Film article; downloaded as raw wikitext.</t>
        </is>
      </c>
    </row>
    <row r="6" ht="34" customHeight="1">
      <c r="A6" s="15" t="inlineStr">
        <is>
          <t>SOURCE-005</t>
        </is>
      </c>
      <c r="B6" s="5" t="inlineStr">
        <is>
          <t>FILM-005</t>
        </is>
      </c>
      <c r="C6" s="5" t="n"/>
      <c r="D6" s="5" t="inlineStr">
        <is>
          <t>Daana Paani (1953 film)</t>
        </is>
      </c>
      <c r="E6" s="5" t="inlineStr">
        <is>
          <t>Wikipedia</t>
        </is>
      </c>
      <c r="F6" s="5" t="n"/>
      <c r="G6" s="5" t="n"/>
      <c r="H6" s="22" t="inlineStr">
        <is>
          <t>https://en.wikipedia.org/wiki/Daana_Paani_(1953_film)</t>
        </is>
      </c>
      <c r="I6" s="16" t="n">
        <v>46286</v>
      </c>
      <c r="J6" s="5" t="inlineStr">
        <is>
          <t>Infobox: release date, language, director, production banner, song composer, lyricist.</t>
        </is>
      </c>
      <c r="K6" s="5" t="inlineStr">
        <is>
          <t>Reference encyclopedia</t>
        </is>
      </c>
      <c r="L6" s="5" t="inlineStr">
        <is>
          <t>C</t>
        </is>
      </c>
      <c r="M6" s="5" t="inlineStr">
        <is>
          <t>Film article; downloaded as raw wikitext.</t>
        </is>
      </c>
    </row>
    <row r="7" ht="49" customHeight="1">
      <c r="A7" s="15" t="inlineStr">
        <is>
          <t>SOURCE-006</t>
        </is>
      </c>
      <c r="B7" s="5" t="inlineStr">
        <is>
          <t>FILM-007</t>
        </is>
      </c>
      <c r="C7" s="5" t="n"/>
      <c r="D7" s="5" t="inlineStr">
        <is>
          <t>Dharmputra</t>
        </is>
      </c>
      <c r="E7" s="5" t="inlineStr">
        <is>
          <t>Wikipedia</t>
        </is>
      </c>
      <c r="F7" s="5" t="n"/>
      <c r="G7" s="5" t="n"/>
      <c r="H7" s="22" t="inlineStr">
        <is>
          <t>https://en.wikipedia.org/wiki/Dharmputra</t>
        </is>
      </c>
      <c r="I7" s="16" t="n">
        <v>46286</v>
      </c>
      <c r="J7" s="5" t="inlineStr">
        <is>
          <t>Infobox: release date, language, director, producers, production banner, writers, source material, song composer, billing position.</t>
        </is>
      </c>
      <c r="K7" s="5" t="inlineStr">
        <is>
          <t>Reference encyclopedia</t>
        </is>
      </c>
      <c r="L7" s="5" t="inlineStr">
        <is>
          <t>C</t>
        </is>
      </c>
      <c r="M7" s="5" t="inlineStr">
        <is>
          <t>Film article; downloaded as raw wikitext.</t>
        </is>
      </c>
    </row>
    <row r="8" ht="49" customHeight="1">
      <c r="A8" s="15" t="inlineStr">
        <is>
          <t>SOURCE-007</t>
        </is>
      </c>
      <c r="B8" s="5" t="inlineStr">
        <is>
          <t>FILM-008</t>
        </is>
      </c>
      <c r="C8" s="5" t="n"/>
      <c r="D8" s="5" t="inlineStr">
        <is>
          <t>Prem Patra</t>
        </is>
      </c>
      <c r="E8" s="5" t="inlineStr">
        <is>
          <t>Wikipedia</t>
        </is>
      </c>
      <c r="F8" s="5" t="n"/>
      <c r="G8" s="5" t="n"/>
      <c r="H8" s="22" t="inlineStr">
        <is>
          <t>https://en.wikipedia.org/wiki/Prem_Patra</t>
        </is>
      </c>
      <c r="I8" s="16" t="n">
        <v>46286</v>
      </c>
      <c r="J8" s="5" t="inlineStr">
        <is>
          <t>Infobox: release date, language, director, producers, writers, source material, song composer, billing position.</t>
        </is>
      </c>
      <c r="K8" s="5" t="inlineStr">
        <is>
          <t>Reference encyclopedia</t>
        </is>
      </c>
      <c r="L8" s="5" t="inlineStr">
        <is>
          <t>C</t>
        </is>
      </c>
      <c r="M8" s="5" t="inlineStr">
        <is>
          <t>Film article; downloaded as raw wikitext.</t>
        </is>
      </c>
    </row>
    <row r="9" ht="64" customHeight="1">
      <c r="A9" s="15" t="inlineStr">
        <is>
          <t>SOURCE-008</t>
        </is>
      </c>
      <c r="B9" s="5" t="inlineStr">
        <is>
          <t>FILM-010</t>
        </is>
      </c>
      <c r="C9" s="5" t="inlineStr">
        <is>
          <t>PAIR-001</t>
        </is>
      </c>
      <c r="D9" s="5" t="inlineStr">
        <is>
          <t>The Householder</t>
        </is>
      </c>
      <c r="E9" s="5" t="inlineStr">
        <is>
          <t>Wikipedia</t>
        </is>
      </c>
      <c r="F9" s="5" t="n"/>
      <c r="G9" s="5" t="n"/>
      <c r="H9" s="22" t="inlineStr">
        <is>
          <t>https://en.wikipedia.org/wiki/The_Householder</t>
        </is>
      </c>
      <c r="I9" s="16" t="n">
        <v>46286</v>
      </c>
      <c r="J9" s="5" t="inlineStr">
        <is>
          <t>Infobox: release date, language, runtime, director, producers, writers, source material, song composer, background score composer, billing position, budget, currency.</t>
        </is>
      </c>
      <c r="K9" s="5" t="inlineStr">
        <is>
          <t>Reference encyclopedia</t>
        </is>
      </c>
      <c r="L9" s="5" t="inlineStr">
        <is>
          <t>C</t>
        </is>
      </c>
      <c r="M9" s="5" t="inlineStr">
        <is>
          <t>Film article; downloaded as raw wikitext.</t>
        </is>
      </c>
    </row>
    <row r="10" ht="49" customHeight="1">
      <c r="A10" s="15" t="inlineStr">
        <is>
          <t>SOURCE-009</t>
        </is>
      </c>
      <c r="B10" s="5" t="inlineStr">
        <is>
          <t>FILM-011</t>
        </is>
      </c>
      <c r="C10" s="5" t="n"/>
      <c r="D10" s="5" t="inlineStr">
        <is>
          <t>Yeh Dil Kisko Doon</t>
        </is>
      </c>
      <c r="E10" s="5" t="inlineStr">
        <is>
          <t>Wikipedia</t>
        </is>
      </c>
      <c r="F10" s="5" t="n"/>
      <c r="G10" s="5" t="n"/>
      <c r="H10" s="22" t="inlineStr">
        <is>
          <t>https://en.wikipedia.org/wiki/Yeh_Dil_Kisko_Doon</t>
        </is>
      </c>
      <c r="I10" s="16" t="n">
        <v>46286</v>
      </c>
      <c r="J10" s="5" t="inlineStr">
        <is>
          <t>Infobox: release date, language, director, producers, production banner, writers, song composer, billing position.</t>
        </is>
      </c>
      <c r="K10" s="5" t="inlineStr">
        <is>
          <t>Reference encyclopedia</t>
        </is>
      </c>
      <c r="L10" s="5" t="inlineStr">
        <is>
          <t>C</t>
        </is>
      </c>
      <c r="M10" s="5" t="inlineStr">
        <is>
          <t>Film article; downloaded as raw wikitext.</t>
        </is>
      </c>
    </row>
    <row r="11" ht="34" customHeight="1">
      <c r="A11" s="15" t="inlineStr">
        <is>
          <t>SOURCE-010</t>
        </is>
      </c>
      <c r="B11" s="5" t="inlineStr">
        <is>
          <t>FILM-014</t>
        </is>
      </c>
      <c r="C11" s="5" t="inlineStr">
        <is>
          <t>PAIR-002</t>
        </is>
      </c>
      <c r="D11" s="5" t="inlineStr">
        <is>
          <t>Benazir (film)</t>
        </is>
      </c>
      <c r="E11" s="5" t="inlineStr">
        <is>
          <t>Wikipedia</t>
        </is>
      </c>
      <c r="F11" s="5" t="n"/>
      <c r="G11" s="5" t="n"/>
      <c r="H11" s="22" t="inlineStr">
        <is>
          <t>https://en.wikipedia.org/wiki/Benazir_(film)</t>
        </is>
      </c>
      <c r="I11" s="16" t="n">
        <v>46286</v>
      </c>
      <c r="J11" s="5" t="inlineStr">
        <is>
          <t>Infobox: release date, language, director, producers, song composer, lyricist, billing position.</t>
        </is>
      </c>
      <c r="K11" s="5" t="inlineStr">
        <is>
          <t>Reference encyclopedia</t>
        </is>
      </c>
      <c r="L11" s="5" t="inlineStr">
        <is>
          <t>C</t>
        </is>
      </c>
      <c r="M11" s="5" t="inlineStr">
        <is>
          <t>Film article; downloaded as raw wikitext.</t>
        </is>
      </c>
    </row>
    <row r="12" ht="49" customHeight="1">
      <c r="A12" s="15" t="inlineStr">
        <is>
          <t>SOURCE-011</t>
        </is>
      </c>
      <c r="B12" s="5" t="inlineStr">
        <is>
          <t>FILM-015</t>
        </is>
      </c>
      <c r="C12" s="5" t="inlineStr">
        <is>
          <t>PAIR-003; PAIR-004</t>
        </is>
      </c>
      <c r="D12" s="5" t="inlineStr">
        <is>
          <t>Shakespeare Wallah</t>
        </is>
      </c>
      <c r="E12" s="5" t="inlineStr">
        <is>
          <t>Wikipedia</t>
        </is>
      </c>
      <c r="F12" s="5" t="n"/>
      <c r="G12" s="5" t="n"/>
      <c r="H12" s="22" t="inlineStr">
        <is>
          <t>https://en.wikipedia.org/wiki/Shakespeare_Wallah</t>
        </is>
      </c>
      <c r="I12" s="16" t="n">
        <v>46286</v>
      </c>
      <c r="J12" s="5" t="inlineStr">
        <is>
          <t>Infobox: release date, language, runtime, director, producers, writers, song composer, billing position.</t>
        </is>
      </c>
      <c r="K12" s="5" t="inlineStr">
        <is>
          <t>Reference encyclopedia</t>
        </is>
      </c>
      <c r="L12" s="5" t="inlineStr">
        <is>
          <t>C</t>
        </is>
      </c>
      <c r="M12" s="5" t="inlineStr">
        <is>
          <t>Film article; downloaded as raw wikitext.</t>
        </is>
      </c>
    </row>
    <row r="13" ht="49" customHeight="1">
      <c r="A13" s="15" t="inlineStr">
        <is>
          <t>SOURCE-012</t>
        </is>
      </c>
      <c r="B13" s="5" t="inlineStr">
        <is>
          <t>FILM-017</t>
        </is>
      </c>
      <c r="C13" s="5" t="inlineStr">
        <is>
          <t>PAIR-005</t>
        </is>
      </c>
      <c r="D13" s="5" t="inlineStr">
        <is>
          <t>Waqt (1965 film)</t>
        </is>
      </c>
      <c r="E13" s="5" t="inlineStr">
        <is>
          <t>Wikipedia</t>
        </is>
      </c>
      <c r="F13" s="5" t="n"/>
      <c r="G13" s="5" t="n"/>
      <c r="H13" s="22" t="inlineStr">
        <is>
          <t>https://en.wikipedia.org/wiki/Waqt_(1965_film)</t>
        </is>
      </c>
      <c r="I13" s="16" t="n">
        <v>46286</v>
      </c>
      <c r="J13" s="5" t="inlineStr">
        <is>
          <t>Infobox: release date, language, runtime, director, producers, production banner, writers, song composer, lyricist, billing position.</t>
        </is>
      </c>
      <c r="K13" s="5" t="inlineStr">
        <is>
          <t>Reference encyclopedia</t>
        </is>
      </c>
      <c r="L13" s="5" t="inlineStr">
        <is>
          <t>C</t>
        </is>
      </c>
      <c r="M13" s="5" t="inlineStr">
        <is>
          <t>Film article; downloaded as raw wikitext.</t>
        </is>
      </c>
    </row>
    <row r="14" ht="49" customHeight="1">
      <c r="A14" s="15" t="inlineStr">
        <is>
          <t>SOURCE-013</t>
        </is>
      </c>
      <c r="B14" s="5" t="inlineStr">
        <is>
          <t>FILM-018</t>
        </is>
      </c>
      <c r="C14" s="5" t="inlineStr">
        <is>
          <t>PAIR-006</t>
        </is>
      </c>
      <c r="D14" s="5" t="inlineStr">
        <is>
          <t>Jab Jab Phool Khile</t>
        </is>
      </c>
      <c r="E14" s="5" t="inlineStr">
        <is>
          <t>Wikipedia</t>
        </is>
      </c>
      <c r="F14" s="5" t="n"/>
      <c r="G14" s="5" t="n"/>
      <c r="H14" s="22" t="inlineStr">
        <is>
          <t>https://en.wikipedia.org/wiki/Jab_Jab_Phool_Khile</t>
        </is>
      </c>
      <c r="I14" s="16" t="n">
        <v>46286</v>
      </c>
      <c r="J14" s="5" t="inlineStr">
        <is>
          <t>Infobox: release date, language, runtime, director, producers, production banner, writers, song composer, lyricist, billing position.</t>
        </is>
      </c>
      <c r="K14" s="5" t="inlineStr">
        <is>
          <t>Reference encyclopedia</t>
        </is>
      </c>
      <c r="L14" s="5" t="inlineStr">
        <is>
          <t>C</t>
        </is>
      </c>
      <c r="M14" s="5" t="inlineStr">
        <is>
          <t>Film article; downloaded as raw wikitext.</t>
        </is>
      </c>
    </row>
    <row r="15" ht="49" customHeight="1">
      <c r="A15" s="15" t="inlineStr">
        <is>
          <t>SOURCE-014</t>
        </is>
      </c>
      <c r="B15" s="5" t="inlineStr">
        <is>
          <t>FILM-019</t>
        </is>
      </c>
      <c r="C15" s="5" t="inlineStr">
        <is>
          <t>PAIR-007</t>
        </is>
      </c>
      <c r="D15" s="5" t="inlineStr">
        <is>
          <t>Pyar Kiye Jaa</t>
        </is>
      </c>
      <c r="E15" s="5" t="inlineStr">
        <is>
          <t>Wikipedia</t>
        </is>
      </c>
      <c r="F15" s="5" t="n"/>
      <c r="G15" s="5" t="n"/>
      <c r="H15" s="22" t="inlineStr">
        <is>
          <t>https://en.wikipedia.org/wiki/Pyar_Kiye_Jaa</t>
        </is>
      </c>
      <c r="I15" s="16" t="n">
        <v>46286</v>
      </c>
      <c r="J15" s="5" t="inlineStr">
        <is>
          <t>Infobox: release date, language, director, producers, production banner, writers, source material, song composer, lyricist, billing position.</t>
        </is>
      </c>
      <c r="K15" s="5" t="inlineStr">
        <is>
          <t>Reference encyclopedia</t>
        </is>
      </c>
      <c r="L15" s="5" t="inlineStr">
        <is>
          <t>C</t>
        </is>
      </c>
      <c r="M15" s="5" t="inlineStr">
        <is>
          <t>Film article; downloaded as raw wikitext.</t>
        </is>
      </c>
    </row>
    <row r="16" ht="49" customHeight="1">
      <c r="A16" s="15" t="inlineStr">
        <is>
          <t>SOURCE-015</t>
        </is>
      </c>
      <c r="B16" s="5" t="inlineStr">
        <is>
          <t>FILM-020</t>
        </is>
      </c>
      <c r="C16" s="5" t="inlineStr">
        <is>
          <t>PAIR-008</t>
        </is>
      </c>
      <c r="D16" s="5" t="inlineStr">
        <is>
          <t>Neend Hamari Khwab Tumhare (1966 film)</t>
        </is>
      </c>
      <c r="E16" s="5" t="inlineStr">
        <is>
          <t>Wikipedia</t>
        </is>
      </c>
      <c r="F16" s="5" t="n"/>
      <c r="G16" s="5" t="n"/>
      <c r="H16" s="22" t="inlineStr">
        <is>
          <t>https://en.wikipedia.org/wiki/Neend_Hamari_Khwab_Tumhare_(1966_film)</t>
        </is>
      </c>
      <c r="I16" s="16" t="n">
        <v>46286</v>
      </c>
      <c r="J16" s="5" t="inlineStr">
        <is>
          <t>Infobox: release date, language, director, producers, production banner, writers, song composer, lyricist, billing position.</t>
        </is>
      </c>
      <c r="K16" s="5" t="inlineStr">
        <is>
          <t>Reference encyclopedia</t>
        </is>
      </c>
      <c r="L16" s="5" t="inlineStr">
        <is>
          <t>C</t>
        </is>
      </c>
      <c r="M16" s="5" t="inlineStr">
        <is>
          <t>Film article; downloaded as raw wikitext.</t>
        </is>
      </c>
    </row>
    <row r="17" ht="64" customHeight="1">
      <c r="A17" s="15" t="inlineStr">
        <is>
          <t>SOURCE-016</t>
        </is>
      </c>
      <c r="B17" s="5" t="inlineStr">
        <is>
          <t>FILM-024</t>
        </is>
      </c>
      <c r="C17" s="5" t="inlineStr">
        <is>
          <t>PAIR-010</t>
        </is>
      </c>
      <c r="D17" s="5" t="inlineStr">
        <is>
          <t>Pretty Polly (film)</t>
        </is>
      </c>
      <c r="E17" s="5" t="inlineStr">
        <is>
          <t>Wikipedia</t>
        </is>
      </c>
      <c r="F17" s="5" t="n"/>
      <c r="G17" s="5" t="n"/>
      <c r="H17" s="22" t="inlineStr">
        <is>
          <t>https://en.wikipedia.org/wiki/Pretty_Polly_(film)</t>
        </is>
      </c>
      <c r="I17" s="16" t="n">
        <v>46286</v>
      </c>
      <c r="J17" s="5" t="inlineStr">
        <is>
          <t>Infobox: release date, language, runtime, director, producers, production banner, writers, source material, song composer, billing position, budget, currency.</t>
        </is>
      </c>
      <c r="K17" s="5" t="inlineStr">
        <is>
          <t>Reference encyclopedia</t>
        </is>
      </c>
      <c r="L17" s="5" t="inlineStr">
        <is>
          <t>C</t>
        </is>
      </c>
      <c r="M17" s="5" t="inlineStr">
        <is>
          <t>Film article; downloaded as raw wikitext.</t>
        </is>
      </c>
    </row>
    <row r="18" ht="34" customHeight="1">
      <c r="A18" s="15" t="inlineStr">
        <is>
          <t>SOURCE-017</t>
        </is>
      </c>
      <c r="B18" s="5" t="inlineStr">
        <is>
          <t>FILM-023</t>
        </is>
      </c>
      <c r="C18" s="5" t="inlineStr">
        <is>
          <t>PAIR-009</t>
        </is>
      </c>
      <c r="D18" s="5" t="inlineStr">
        <is>
          <t>Aamne Samne (1967 film)</t>
        </is>
      </c>
      <c r="E18" s="5" t="inlineStr">
        <is>
          <t>Wikipedia</t>
        </is>
      </c>
      <c r="F18" s="5" t="n"/>
      <c r="G18" s="5" t="n"/>
      <c r="H18" s="22" t="inlineStr">
        <is>
          <t>https://en.wikipedia.org/wiki/Aamne_Samne_(1967_film)</t>
        </is>
      </c>
      <c r="I18" s="16" t="n">
        <v>46286</v>
      </c>
      <c r="J18" s="5" t="inlineStr">
        <is>
          <t>Infobox: release date, language, director, producers, song composer, billing position.</t>
        </is>
      </c>
      <c r="K18" s="5" t="inlineStr">
        <is>
          <t>Reference encyclopedia</t>
        </is>
      </c>
      <c r="L18" s="5" t="inlineStr">
        <is>
          <t>C</t>
        </is>
      </c>
      <c r="M18" s="5" t="inlineStr">
        <is>
          <t>Film article; downloaded as raw wikitext.</t>
        </is>
      </c>
    </row>
    <row r="19" ht="49" customHeight="1">
      <c r="A19" s="15" t="inlineStr">
        <is>
          <t>SOURCE-018</t>
        </is>
      </c>
      <c r="B19" s="5" t="inlineStr">
        <is>
          <t>FILM-025</t>
        </is>
      </c>
      <c r="C19" s="5" t="inlineStr">
        <is>
          <t>PAIR-011</t>
        </is>
      </c>
      <c r="D19" s="5" t="inlineStr">
        <is>
          <t>Haseena Maan Jayegi</t>
        </is>
      </c>
      <c r="E19" s="5" t="inlineStr">
        <is>
          <t>Wikipedia</t>
        </is>
      </c>
      <c r="F19" s="5" t="n"/>
      <c r="G19" s="5" t="n"/>
      <c r="H19" s="22" t="inlineStr">
        <is>
          <t>https://en.wikipedia.org/wiki/Haseena_Maan_Jayegi</t>
        </is>
      </c>
      <c r="I19" s="16" t="n">
        <v>46286</v>
      </c>
      <c r="J19" s="5" t="inlineStr">
        <is>
          <t>Infobox: release date, language, director, production banner, writers, song composer, billing position.</t>
        </is>
      </c>
      <c r="K19" s="5" t="inlineStr">
        <is>
          <t>Reference encyclopedia</t>
        </is>
      </c>
      <c r="L19" s="5" t="inlineStr">
        <is>
          <t>C</t>
        </is>
      </c>
      <c r="M19" s="5" t="inlineStr">
        <is>
          <t>Film article; downloaded as raw wikitext.</t>
        </is>
      </c>
    </row>
    <row r="20" ht="49" customHeight="1">
      <c r="A20" s="15" t="inlineStr">
        <is>
          <t>SOURCE-019</t>
        </is>
      </c>
      <c r="B20" s="5" t="inlineStr">
        <is>
          <t>FILM-026</t>
        </is>
      </c>
      <c r="C20" s="5" t="inlineStr">
        <is>
          <t>PAIR-012</t>
        </is>
      </c>
      <c r="D20" s="5" t="inlineStr">
        <is>
          <t>Kanyadaan (1968 film)</t>
        </is>
      </c>
      <c r="E20" s="5" t="inlineStr">
        <is>
          <t>Wikipedia</t>
        </is>
      </c>
      <c r="F20" s="5" t="n"/>
      <c r="G20" s="5" t="n"/>
      <c r="H20" s="22" t="inlineStr">
        <is>
          <t>https://en.wikipedia.org/wiki/Kanyadaan_(1968_film)</t>
        </is>
      </c>
      <c r="I20" s="16" t="n">
        <v>46286</v>
      </c>
      <c r="J20" s="5" t="inlineStr">
        <is>
          <t>Infobox: release date, language, runtime, director, producers, production banner, writers, song composer, billing position.</t>
        </is>
      </c>
      <c r="K20" s="5" t="inlineStr">
        <is>
          <t>Reference encyclopedia</t>
        </is>
      </c>
      <c r="L20" s="5" t="inlineStr">
        <is>
          <t>C</t>
        </is>
      </c>
      <c r="M20" s="5" t="inlineStr">
        <is>
          <t>Film article; downloaded as raw wikitext.</t>
        </is>
      </c>
    </row>
    <row r="21" ht="34" customHeight="1">
      <c r="A21" s="15" t="inlineStr">
        <is>
          <t>SOURCE-020</t>
        </is>
      </c>
      <c r="B21" s="5" t="inlineStr">
        <is>
          <t>FILM-030</t>
        </is>
      </c>
      <c r="C21" s="5" t="inlineStr">
        <is>
          <t>PAIR-015</t>
        </is>
      </c>
      <c r="D21" s="5" t="inlineStr">
        <is>
          <t>Raja Saab</t>
        </is>
      </c>
      <c r="E21" s="5" t="inlineStr">
        <is>
          <t>Wikipedia</t>
        </is>
      </c>
      <c r="F21" s="5" t="n"/>
      <c r="G21" s="5" t="n"/>
      <c r="H21" s="22" t="inlineStr">
        <is>
          <t>https://en.wikipedia.org/wiki/Raja_Saab</t>
        </is>
      </c>
      <c r="I21" s="16" t="n">
        <v>46286</v>
      </c>
      <c r="J21" s="5" t="inlineStr">
        <is>
          <t>Infobox: release date, language, director, production banner, song composer, billing position.</t>
        </is>
      </c>
      <c r="K21" s="5" t="inlineStr">
        <is>
          <t>Reference encyclopedia</t>
        </is>
      </c>
      <c r="L21" s="5" t="inlineStr">
        <is>
          <t>C</t>
        </is>
      </c>
      <c r="M21" s="5" t="inlineStr">
        <is>
          <t>Film article; downloaded as raw wikitext.</t>
        </is>
      </c>
    </row>
    <row r="22" ht="49" customHeight="1">
      <c r="A22" s="15" t="inlineStr">
        <is>
          <t>SOURCE-021</t>
        </is>
      </c>
      <c r="B22" s="5" t="inlineStr">
        <is>
          <t>FILM-028</t>
        </is>
      </c>
      <c r="C22" s="5" t="inlineStr">
        <is>
          <t>PAIR-013</t>
        </is>
      </c>
      <c r="D22" s="5" t="inlineStr">
        <is>
          <t>Pyar Ka Mausam</t>
        </is>
      </c>
      <c r="E22" s="5" t="inlineStr">
        <is>
          <t>Wikipedia</t>
        </is>
      </c>
      <c r="F22" s="5" t="n"/>
      <c r="G22" s="5" t="n"/>
      <c r="H22" s="22" t="inlineStr">
        <is>
          <t>https://en.wikipedia.org/wiki/Pyar_Ka_Mausam</t>
        </is>
      </c>
      <c r="I22" s="16" t="n">
        <v>46286</v>
      </c>
      <c r="J22" s="5" t="inlineStr">
        <is>
          <t>Infobox: release date, language, runtime, director, producers, production banner, writers, song composer, lyricist, billing position.</t>
        </is>
      </c>
      <c r="K22" s="5" t="inlineStr">
        <is>
          <t>Reference encyclopedia</t>
        </is>
      </c>
      <c r="L22" s="5" t="inlineStr">
        <is>
          <t>C</t>
        </is>
      </c>
      <c r="M22" s="5" t="inlineStr">
        <is>
          <t>Film article; downloaded as raw wikitext.</t>
        </is>
      </c>
    </row>
    <row r="23" ht="34" customHeight="1">
      <c r="A23" s="15" t="inlineStr">
        <is>
          <t>SOURCE-022</t>
        </is>
      </c>
      <c r="B23" s="5" t="inlineStr">
        <is>
          <t>FILM-035</t>
        </is>
      </c>
      <c r="C23" s="5" t="n"/>
      <c r="D23" s="5" t="inlineStr">
        <is>
          <t>Jahan Pyar Miley</t>
        </is>
      </c>
      <c r="E23" s="5" t="inlineStr">
        <is>
          <t>Wikipedia</t>
        </is>
      </c>
      <c r="F23" s="5" t="n"/>
      <c r="G23" s="5" t="n"/>
      <c r="H23" s="22" t="inlineStr">
        <is>
          <t>https://en.wikipedia.org/wiki/Jahan_Pyar_Miley</t>
        </is>
      </c>
      <c r="I23" s="16" t="n">
        <v>46286</v>
      </c>
      <c r="J23" s="5" t="inlineStr">
        <is>
          <t>Infobox: release date, language, director, producers, song composer, billing position.</t>
        </is>
      </c>
      <c r="K23" s="5" t="inlineStr">
        <is>
          <t>Reference encyclopedia</t>
        </is>
      </c>
      <c r="L23" s="5" t="inlineStr">
        <is>
          <t>C</t>
        </is>
      </c>
      <c r="M23" s="5" t="inlineStr">
        <is>
          <t>Film article; downloaded as raw wikitext.</t>
        </is>
      </c>
    </row>
    <row r="24" ht="49" customHeight="1">
      <c r="A24" s="15" t="inlineStr">
        <is>
          <t>SOURCE-023</t>
        </is>
      </c>
      <c r="B24" s="5" t="inlineStr">
        <is>
          <t>FILM-029</t>
        </is>
      </c>
      <c r="C24" s="5" t="inlineStr">
        <is>
          <t>PAIR-014</t>
        </is>
      </c>
      <c r="D24" s="5" t="inlineStr">
        <is>
          <t>Ek Shrimaan Ek Shrimati</t>
        </is>
      </c>
      <c r="E24" s="5" t="inlineStr">
        <is>
          <t>Wikipedia</t>
        </is>
      </c>
      <c r="F24" s="5" t="n"/>
      <c r="G24" s="5" t="n"/>
      <c r="H24" s="22" t="inlineStr">
        <is>
          <t>https://en.wikipedia.org/wiki/Ek_Shrimaan_Ek_Shrimati</t>
        </is>
      </c>
      <c r="I24" s="16" t="n">
        <v>46286</v>
      </c>
      <c r="J24" s="5" t="inlineStr">
        <is>
          <t>Infobox: release date, language, runtime, director, producers, writers, song composer, billing position.</t>
        </is>
      </c>
      <c r="K24" s="5" t="inlineStr">
        <is>
          <t>Reference encyclopedia</t>
        </is>
      </c>
      <c r="L24" s="5" t="inlineStr">
        <is>
          <t>C</t>
        </is>
      </c>
      <c r="M24" s="5" t="inlineStr">
        <is>
          <t>Film article; downloaded as raw wikitext.</t>
        </is>
      </c>
    </row>
    <row r="25" ht="34" customHeight="1">
      <c r="A25" s="15" t="inlineStr">
        <is>
          <t>SOURCE-024</t>
        </is>
      </c>
      <c r="B25" s="5" t="inlineStr">
        <is>
          <t>FILM-033</t>
        </is>
      </c>
      <c r="C25" s="5" t="inlineStr">
        <is>
          <t>PAIR-018</t>
        </is>
      </c>
      <c r="D25" s="5" t="inlineStr">
        <is>
          <t>Suhana Safar</t>
        </is>
      </c>
      <c r="E25" s="5" t="inlineStr">
        <is>
          <t>Wikipedia</t>
        </is>
      </c>
      <c r="F25" s="5" t="n"/>
      <c r="G25" s="5" t="n"/>
      <c r="H25" s="22" t="inlineStr">
        <is>
          <t>https://en.wikipedia.org/wiki/Suhana_Safar</t>
        </is>
      </c>
      <c r="I25" s="16" t="n">
        <v>46286</v>
      </c>
      <c r="J25" s="5" t="inlineStr">
        <is>
          <t>Infobox: release date, language, director, song composer, billing position.</t>
        </is>
      </c>
      <c r="K25" s="5" t="inlineStr">
        <is>
          <t>Reference encyclopedia</t>
        </is>
      </c>
      <c r="L25" s="5" t="inlineStr">
        <is>
          <t>C</t>
        </is>
      </c>
      <c r="M25" s="5" t="inlineStr">
        <is>
          <t>Film article; downloaded as raw wikitext.</t>
        </is>
      </c>
    </row>
    <row r="26" ht="49" customHeight="1">
      <c r="A26" s="15" t="inlineStr">
        <is>
          <t>SOURCE-025</t>
        </is>
      </c>
      <c r="B26" s="5" t="inlineStr">
        <is>
          <t>FILM-031</t>
        </is>
      </c>
      <c r="C26" s="5" t="inlineStr">
        <is>
          <t>PAIR-016</t>
        </is>
      </c>
      <c r="D26" s="5" t="inlineStr">
        <is>
          <t>Rootha Na Karo</t>
        </is>
      </c>
      <c r="E26" s="5" t="inlineStr">
        <is>
          <t>Wikipedia</t>
        </is>
      </c>
      <c r="F26" s="5" t="n"/>
      <c r="G26" s="5" t="n"/>
      <c r="H26" s="22" t="inlineStr">
        <is>
          <t>https://en.wikipedia.org/wiki/Rootha_Na_Karo</t>
        </is>
      </c>
      <c r="I26" s="16" t="n">
        <v>46286</v>
      </c>
      <c r="J26" s="5" t="inlineStr">
        <is>
          <t>Infobox: release date, language, runtime, director, producers, song composer, lyricist, billing position.</t>
        </is>
      </c>
      <c r="K26" s="5" t="inlineStr">
        <is>
          <t>Reference encyclopedia</t>
        </is>
      </c>
      <c r="L26" s="5" t="inlineStr">
        <is>
          <t>C</t>
        </is>
      </c>
      <c r="M26" s="5" t="inlineStr">
        <is>
          <t>Film article; downloaded as raw wikitext.</t>
        </is>
      </c>
    </row>
    <row r="27" ht="49" customHeight="1">
      <c r="A27" s="15" t="inlineStr">
        <is>
          <t>SOURCE-026</t>
        </is>
      </c>
      <c r="B27" s="5" t="inlineStr">
        <is>
          <t>FILM-032</t>
        </is>
      </c>
      <c r="C27" s="5" t="inlineStr">
        <is>
          <t>PAIR-017</t>
        </is>
      </c>
      <c r="D27" s="5" t="inlineStr">
        <is>
          <t>Abhinetri (1970 film)</t>
        </is>
      </c>
      <c r="E27" s="5" t="inlineStr">
        <is>
          <t>Wikipedia</t>
        </is>
      </c>
      <c r="F27" s="5" t="n"/>
      <c r="G27" s="5" t="n"/>
      <c r="H27" s="22" t="inlineStr">
        <is>
          <t>https://en.wikipedia.org/wiki/Abhinetri_(1970_film)</t>
        </is>
      </c>
      <c r="I27" s="16" t="n">
        <v>46286</v>
      </c>
      <c r="J27" s="5" t="inlineStr">
        <is>
          <t>Infobox: release date, language, director, producers, production banner, writers, song composer, billing position.</t>
        </is>
      </c>
      <c r="K27" s="5" t="inlineStr">
        <is>
          <t>Reference encyclopedia</t>
        </is>
      </c>
      <c r="L27" s="5" t="inlineStr">
        <is>
          <t>C</t>
        </is>
      </c>
      <c r="M27" s="5" t="inlineStr">
        <is>
          <t>Film article; downloaded as raw wikitext.</t>
        </is>
      </c>
    </row>
    <row r="28" ht="34" customHeight="1">
      <c r="A28" s="15" t="inlineStr">
        <is>
          <t>SOURCE-027</t>
        </is>
      </c>
      <c r="B28" s="5" t="inlineStr">
        <is>
          <t>FILM-034</t>
        </is>
      </c>
      <c r="C28" s="5" t="inlineStr">
        <is>
          <t>PAIR-019</t>
        </is>
      </c>
      <c r="D28" s="5" t="inlineStr">
        <is>
          <t>My Love (1970 film)</t>
        </is>
      </c>
      <c r="E28" s="5" t="inlineStr">
        <is>
          <t>Wikipedia</t>
        </is>
      </c>
      <c r="F28" s="5" t="n"/>
      <c r="G28" s="5" t="n"/>
      <c r="H28" s="22" t="inlineStr">
        <is>
          <t>https://en.wikipedia.org/wiki/My_Love_(1970_film)</t>
        </is>
      </c>
      <c r="I28" s="16" t="n">
        <v>46286</v>
      </c>
      <c r="J28" s="5" t="inlineStr">
        <is>
          <t>Infobox: release date, language, director, song composer, lyricist, billing position.</t>
        </is>
      </c>
      <c r="K28" s="5" t="inlineStr">
        <is>
          <t>Reference encyclopedia</t>
        </is>
      </c>
      <c r="L28" s="5" t="inlineStr">
        <is>
          <t>C</t>
        </is>
      </c>
      <c r="M28" s="5" t="inlineStr">
        <is>
          <t>Film article; downloaded as raw wikitext.</t>
        </is>
      </c>
    </row>
    <row r="29" ht="49" customHeight="1">
      <c r="A29" s="15" t="inlineStr">
        <is>
          <t>SOURCE-028</t>
        </is>
      </c>
      <c r="B29" s="5" t="inlineStr">
        <is>
          <t>FILM-036</t>
        </is>
      </c>
      <c r="C29" s="5" t="inlineStr">
        <is>
          <t>PAIR-020</t>
        </is>
      </c>
      <c r="D29" s="5" t="inlineStr">
        <is>
          <t>Bombay Talkie</t>
        </is>
      </c>
      <c r="E29" s="5" t="inlineStr">
        <is>
          <t>Wikipedia</t>
        </is>
      </c>
      <c r="F29" s="5" t="n"/>
      <c r="G29" s="5" t="n"/>
      <c r="H29" s="22" t="inlineStr">
        <is>
          <t>https://en.wikipedia.org/wiki/Bombay_Talkie</t>
        </is>
      </c>
      <c r="I29" s="16" t="n">
        <v>46286</v>
      </c>
      <c r="J29" s="5" t="inlineStr">
        <is>
          <t>Infobox: release date, language, runtime, director, producers, production banner, writers, song composer, billing position, budget, currency.</t>
        </is>
      </c>
      <c r="K29" s="5" t="inlineStr">
        <is>
          <t>Reference encyclopedia</t>
        </is>
      </c>
      <c r="L29" s="5" t="inlineStr">
        <is>
          <t>C</t>
        </is>
      </c>
      <c r="M29" s="5" t="inlineStr">
        <is>
          <t>Film article; downloaded as raw wikitext.</t>
        </is>
      </c>
    </row>
    <row r="30" ht="49" customHeight="1">
      <c r="A30" s="15" t="inlineStr">
        <is>
          <t>SOURCE-029</t>
        </is>
      </c>
      <c r="B30" s="5" t="inlineStr">
        <is>
          <t>FILM-037</t>
        </is>
      </c>
      <c r="C30" s="5" t="inlineStr">
        <is>
          <t>PAIR-021; PAIR-022</t>
        </is>
      </c>
      <c r="D30" s="5" t="inlineStr">
        <is>
          <t>Sharmeelee</t>
        </is>
      </c>
      <c r="E30" s="5" t="inlineStr">
        <is>
          <t>Wikipedia</t>
        </is>
      </c>
      <c r="F30" s="5" t="n"/>
      <c r="G30" s="5" t="n"/>
      <c r="H30" s="22" t="inlineStr">
        <is>
          <t>https://en.wikipedia.org/wiki/Sharmeelee</t>
        </is>
      </c>
      <c r="I30" s="16" t="n">
        <v>46286</v>
      </c>
      <c r="J30" s="5" t="inlineStr">
        <is>
          <t>Infobox: release date, language, runtime, director, producers, writers, song composer, billing position, domestic nett, currency.</t>
        </is>
      </c>
      <c r="K30" s="5" t="inlineStr">
        <is>
          <t>Reference encyclopedia</t>
        </is>
      </c>
      <c r="L30" s="5" t="inlineStr">
        <is>
          <t>C</t>
        </is>
      </c>
      <c r="M30" s="5" t="inlineStr">
        <is>
          <t>Film article; downloaded as raw wikitext.</t>
        </is>
      </c>
    </row>
    <row r="31" ht="34" customHeight="1">
      <c r="A31" s="15" t="inlineStr">
        <is>
          <t>SOURCE-030</t>
        </is>
      </c>
      <c r="B31" s="5" t="inlineStr">
        <is>
          <t>FILM-038</t>
        </is>
      </c>
      <c r="C31" s="5" t="inlineStr">
        <is>
          <t>PAIR-023</t>
        </is>
      </c>
      <c r="D31" s="5" t="inlineStr">
        <is>
          <t>Patanga (1971 film)</t>
        </is>
      </c>
      <c r="E31" s="5" t="inlineStr">
        <is>
          <t>Wikipedia</t>
        </is>
      </c>
      <c r="F31" s="5" t="n"/>
      <c r="G31" s="5" t="n"/>
      <c r="H31" s="22" t="inlineStr">
        <is>
          <t>https://en.wikipedia.org/wiki/Patanga_(1971_film)</t>
        </is>
      </c>
      <c r="I31" s="16" t="n">
        <v>46286</v>
      </c>
      <c r="J31" s="5" t="inlineStr">
        <is>
          <t>Infobox: release date, language, director, producers, song composer, billing position.</t>
        </is>
      </c>
      <c r="K31" s="5" t="inlineStr">
        <is>
          <t>Reference encyclopedia</t>
        </is>
      </c>
      <c r="L31" s="5" t="inlineStr">
        <is>
          <t>C</t>
        </is>
      </c>
      <c r="M31" s="5" t="inlineStr">
        <is>
          <t>Film article; downloaded as raw wikitext.</t>
        </is>
      </c>
    </row>
    <row r="32" ht="49" customHeight="1">
      <c r="A32" s="15" t="inlineStr">
        <is>
          <t>SOURCE-031</t>
        </is>
      </c>
      <c r="B32" s="5" t="inlineStr">
        <is>
          <t>FILM-041</t>
        </is>
      </c>
      <c r="C32" s="5" t="inlineStr">
        <is>
          <t>PAIR-025</t>
        </is>
      </c>
      <c r="D32" s="5" t="inlineStr">
        <is>
          <t>Siddhartha (1972 film)</t>
        </is>
      </c>
      <c r="E32" s="5" t="inlineStr">
        <is>
          <t>Wikipedia</t>
        </is>
      </c>
      <c r="F32" s="5" t="n"/>
      <c r="G32" s="5" t="n"/>
      <c r="H32" s="22" t="inlineStr">
        <is>
          <t>https://en.wikipedia.org/wiki/Siddhartha_(1972_film)</t>
        </is>
      </c>
      <c r="I32" s="16" t="n">
        <v>46286</v>
      </c>
      <c r="J32" s="5" t="inlineStr">
        <is>
          <t>Infobox: release date, language, runtime, director, producers, writers, song composer, lyricist, billing position.</t>
        </is>
      </c>
      <c r="K32" s="5" t="inlineStr">
        <is>
          <t>Reference encyclopedia</t>
        </is>
      </c>
      <c r="L32" s="5" t="inlineStr">
        <is>
          <t>C</t>
        </is>
      </c>
      <c r="M32" s="5" t="inlineStr">
        <is>
          <t>Film article; downloaded as raw wikitext.</t>
        </is>
      </c>
    </row>
    <row r="33" ht="49" customHeight="1">
      <c r="A33" s="15" t="inlineStr">
        <is>
          <t>SOURCE-032</t>
        </is>
      </c>
      <c r="B33" s="5" t="inlineStr">
        <is>
          <t>FILM-040</t>
        </is>
      </c>
      <c r="C33" s="5" t="inlineStr">
        <is>
          <t>PAIR-024</t>
        </is>
      </c>
      <c r="D33" s="5" t="inlineStr">
        <is>
          <t>Janwar Aur Insaan</t>
        </is>
      </c>
      <c r="E33" s="5" t="inlineStr">
        <is>
          <t>Wikipedia</t>
        </is>
      </c>
      <c r="F33" s="5" t="n"/>
      <c r="G33" s="5" t="n"/>
      <c r="H33" s="22" t="inlineStr">
        <is>
          <t>https://en.wikipedia.org/wiki/Janwar_Aur_Insaan</t>
        </is>
      </c>
      <c r="I33" s="16" t="n">
        <v>46286</v>
      </c>
      <c r="J33" s="5" t="inlineStr">
        <is>
          <t>Infobox: release date, language, runtime, director, producers, production banner, writers, song composer, lyricist, billing position.</t>
        </is>
      </c>
      <c r="K33" s="5" t="inlineStr">
        <is>
          <t>Reference encyclopedia</t>
        </is>
      </c>
      <c r="L33" s="5" t="inlineStr">
        <is>
          <t>C</t>
        </is>
      </c>
      <c r="M33" s="5" t="inlineStr">
        <is>
          <t>Film article; downloaded as raw wikitext.</t>
        </is>
      </c>
    </row>
    <row r="34" ht="49" customHeight="1">
      <c r="A34" s="15" t="inlineStr">
        <is>
          <t>SOURCE-033</t>
        </is>
      </c>
      <c r="B34" s="5" t="inlineStr">
        <is>
          <t>FILM-043</t>
        </is>
      </c>
      <c r="C34" s="5" t="inlineStr">
        <is>
          <t>PAIR-026</t>
        </is>
      </c>
      <c r="D34" s="5" t="inlineStr">
        <is>
          <t>Aa Gale Lag Jaa (1973 film)</t>
        </is>
      </c>
      <c r="E34" s="5" t="inlineStr">
        <is>
          <t>Wikipedia</t>
        </is>
      </c>
      <c r="F34" s="5" t="n"/>
      <c r="G34" s="5" t="n"/>
      <c r="H34" s="22" t="inlineStr">
        <is>
          <t>https://en.wikipedia.org/wiki/Aa_Gale_Lag_Jaa_(1973_film)</t>
        </is>
      </c>
      <c r="I34" s="16" t="n">
        <v>46286</v>
      </c>
      <c r="J34" s="5" t="inlineStr">
        <is>
          <t>Infobox: release date, language, runtime, director, producers, production banner, writers, song composer, lyricist, billing position.</t>
        </is>
      </c>
      <c r="K34" s="5" t="inlineStr">
        <is>
          <t>Reference encyclopedia</t>
        </is>
      </c>
      <c r="L34" s="5" t="inlineStr">
        <is>
          <t>C</t>
        </is>
      </c>
      <c r="M34" s="5" t="inlineStr">
        <is>
          <t>Film article; downloaded as raw wikitext.</t>
        </is>
      </c>
    </row>
    <row r="35" ht="49" customHeight="1">
      <c r="A35" s="15" t="inlineStr">
        <is>
          <t>SOURCE-034</t>
        </is>
      </c>
      <c r="B35" s="5" t="inlineStr">
        <is>
          <t>FILM-042</t>
        </is>
      </c>
      <c r="C35" s="5" t="n"/>
      <c r="D35" s="5" t="inlineStr">
        <is>
          <t>Naina (1973 film)</t>
        </is>
      </c>
      <c r="E35" s="5" t="inlineStr">
        <is>
          <t>Wikipedia</t>
        </is>
      </c>
      <c r="F35" s="5" t="n"/>
      <c r="G35" s="5" t="n"/>
      <c r="H35" s="22" t="inlineStr">
        <is>
          <t>https://en.wikipedia.org/wiki/Naina_(1973_film)</t>
        </is>
      </c>
      <c r="I35" s="16" t="n">
        <v>46286</v>
      </c>
      <c r="J35" s="5" t="inlineStr">
        <is>
          <t>Infobox: release date, language, runtime, director, producers, writers, song composer, billing position.</t>
        </is>
      </c>
      <c r="K35" s="5" t="inlineStr">
        <is>
          <t>Reference encyclopedia</t>
        </is>
      </c>
      <c r="L35" s="5" t="inlineStr">
        <is>
          <t>C</t>
        </is>
      </c>
      <c r="M35" s="5" t="inlineStr">
        <is>
          <t>Film article; downloaded as raw wikitext.</t>
        </is>
      </c>
    </row>
    <row r="36" ht="49" customHeight="1">
      <c r="A36" s="15" t="inlineStr">
        <is>
          <t>SOURCE-035</t>
        </is>
      </c>
      <c r="B36" s="5" t="inlineStr">
        <is>
          <t>FILM-048</t>
        </is>
      </c>
      <c r="C36" s="5" t="inlineStr">
        <is>
          <t>PAIR-028</t>
        </is>
      </c>
      <c r="D36" s="5" t="inlineStr">
        <is>
          <t>Chor Machaye Shor</t>
        </is>
      </c>
      <c r="E36" s="5" t="inlineStr">
        <is>
          <t>Wikipedia</t>
        </is>
      </c>
      <c r="F36" s="5" t="n"/>
      <c r="G36" s="5" t="n"/>
      <c r="H36" s="22" t="inlineStr">
        <is>
          <t>https://en.wikipedia.org/wiki/Chor_Machaye_Shor</t>
        </is>
      </c>
      <c r="I36" s="16" t="n">
        <v>46286</v>
      </c>
      <c r="J36" s="5" t="inlineStr">
        <is>
          <t>Infobox: release date, language, director, producers, production banner, writers, song composer, billing position, domestic nett, currency.</t>
        </is>
      </c>
      <c r="K36" s="5" t="inlineStr">
        <is>
          <t>Reference encyclopedia</t>
        </is>
      </c>
      <c r="L36" s="5" t="inlineStr">
        <is>
          <t>C</t>
        </is>
      </c>
      <c r="M36" s="5" t="inlineStr">
        <is>
          <t>Film article; downloaded as raw wikitext.</t>
        </is>
      </c>
    </row>
    <row r="37" ht="34" customHeight="1">
      <c r="A37" s="15" t="inlineStr">
        <is>
          <t>SOURCE-036</t>
        </is>
      </c>
      <c r="B37" s="5" t="inlineStr">
        <is>
          <t>FILM-049</t>
        </is>
      </c>
      <c r="C37" s="5" t="inlineStr">
        <is>
          <t>PAIR-029</t>
        </is>
      </c>
      <c r="D37" s="5" t="inlineStr">
        <is>
          <t>Paap Aur Punya</t>
        </is>
      </c>
      <c r="E37" s="5" t="inlineStr">
        <is>
          <t>Wikipedia</t>
        </is>
      </c>
      <c r="F37" s="5" t="n"/>
      <c r="G37" s="5" t="n"/>
      <c r="H37" s="22" t="inlineStr">
        <is>
          <t>https://en.wikipedia.org/wiki/Paap_Aur_Punya</t>
        </is>
      </c>
      <c r="I37" s="16" t="n">
        <v>46286</v>
      </c>
      <c r="J37" s="5" t="inlineStr">
        <is>
          <t>Infobox: release date, director, producers, song composer, billing position.</t>
        </is>
      </c>
      <c r="K37" s="5" t="inlineStr">
        <is>
          <t>Reference encyclopedia</t>
        </is>
      </c>
      <c r="L37" s="5" t="inlineStr">
        <is>
          <t>C</t>
        </is>
      </c>
      <c r="M37" s="5" t="inlineStr">
        <is>
          <t>Film article; downloaded as raw wikitext.</t>
        </is>
      </c>
    </row>
    <row r="38" ht="64" customHeight="1">
      <c r="A38" s="15" t="inlineStr">
        <is>
          <t>SOURCE-037</t>
        </is>
      </c>
      <c r="B38" s="5" t="inlineStr">
        <is>
          <t>FILM-050</t>
        </is>
      </c>
      <c r="C38" s="5" t="inlineStr">
        <is>
          <t>PAIR-030</t>
        </is>
      </c>
      <c r="D38" s="5" t="inlineStr">
        <is>
          <t>Roti Kapada Aur Makaan</t>
        </is>
      </c>
      <c r="E38" s="5" t="inlineStr">
        <is>
          <t>Wikipedia</t>
        </is>
      </c>
      <c r="F38" s="5" t="n"/>
      <c r="G38" s="5" t="n"/>
      <c r="H38" s="22" t="inlineStr">
        <is>
          <t>https://en.wikipedia.org/wiki/Roti_Kapada_Aur_Makaan</t>
        </is>
      </c>
      <c r="I38" s="16" t="n">
        <v>46286</v>
      </c>
      <c r="J38" s="5" t="inlineStr">
        <is>
          <t>Infobox: release date, language, runtime, director, producers, production banner, writers, song composer, lyricist, billing position, domestic nett, currency.</t>
        </is>
      </c>
      <c r="K38" s="5" t="inlineStr">
        <is>
          <t>Reference encyclopedia</t>
        </is>
      </c>
      <c r="L38" s="5" t="inlineStr">
        <is>
          <t>C</t>
        </is>
      </c>
      <c r="M38" s="5" t="inlineStr">
        <is>
          <t>Film article; downloaded as raw wikitext.</t>
        </is>
      </c>
    </row>
    <row r="39" ht="34" customHeight="1">
      <c r="A39" s="15" t="inlineStr">
        <is>
          <t>SOURCE-038</t>
        </is>
      </c>
      <c r="B39" s="5" t="inlineStr">
        <is>
          <t>FILM-046</t>
        </is>
      </c>
      <c r="C39" s="5" t="n"/>
      <c r="D39" s="5" t="inlineStr">
        <is>
          <t>Jeevan Sangram</t>
        </is>
      </c>
      <c r="E39" s="5" t="inlineStr">
        <is>
          <t>Wikipedia</t>
        </is>
      </c>
      <c r="F39" s="5" t="n"/>
      <c r="G39" s="5" t="n"/>
      <c r="H39" s="22" t="inlineStr">
        <is>
          <t>https://en.wikipedia.org/wiki/Jeevan_Sangram</t>
        </is>
      </c>
      <c r="I39" s="16" t="n">
        <v>46286</v>
      </c>
      <c r="J39" s="5" t="inlineStr">
        <is>
          <t>Infobox: release date, language, director, producers, song composer, billing position.</t>
        </is>
      </c>
      <c r="K39" s="5" t="inlineStr">
        <is>
          <t>Reference encyclopedia</t>
        </is>
      </c>
      <c r="L39" s="5" t="inlineStr">
        <is>
          <t>C</t>
        </is>
      </c>
      <c r="M39" s="5" t="inlineStr">
        <is>
          <t>Film article; downloaded as raw wikitext.</t>
        </is>
      </c>
    </row>
    <row r="40" ht="49" customHeight="1">
      <c r="A40" s="15" t="inlineStr">
        <is>
          <t>SOURCE-039</t>
        </is>
      </c>
      <c r="B40" s="5" t="inlineStr">
        <is>
          <t>FILM-047</t>
        </is>
      </c>
      <c r="C40" s="5" t="inlineStr">
        <is>
          <t>PAIR-027</t>
        </is>
      </c>
      <c r="D40" s="5" t="inlineStr">
        <is>
          <t>Insaaniyat</t>
        </is>
      </c>
      <c r="E40" s="5" t="inlineStr">
        <is>
          <t>Wikipedia</t>
        </is>
      </c>
      <c r="F40" s="5" t="n"/>
      <c r="G40" s="5" t="n"/>
      <c r="H40" s="22" t="inlineStr">
        <is>
          <t>https://en.wikipedia.org/wiki/Insaaniyat</t>
        </is>
      </c>
      <c r="I40" s="16" t="n">
        <v>46286</v>
      </c>
      <c r="J40" s="5" t="inlineStr">
        <is>
          <t>Infobox: release date, language, director, producers, production banner, writers, song composer, lyricist, billing position.</t>
        </is>
      </c>
      <c r="K40" s="5" t="inlineStr">
        <is>
          <t>Reference encyclopedia</t>
        </is>
      </c>
      <c r="L40" s="5" t="inlineStr">
        <is>
          <t>C</t>
        </is>
      </c>
      <c r="M40" s="5" t="inlineStr">
        <is>
          <t>Film article; downloaded as raw wikitext.</t>
        </is>
      </c>
    </row>
    <row r="41" ht="49" customHeight="1">
      <c r="A41" s="15" t="inlineStr">
        <is>
          <t>SOURCE-040</t>
        </is>
      </c>
      <c r="B41" s="5" t="inlineStr">
        <is>
          <t>FILM-051</t>
        </is>
      </c>
      <c r="C41" s="5" t="inlineStr">
        <is>
          <t>PAIR-031</t>
        </is>
      </c>
      <c r="D41" s="5" t="inlineStr">
        <is>
          <t>Anari (1975 film)</t>
        </is>
      </c>
      <c r="E41" s="5" t="inlineStr">
        <is>
          <t>Wikipedia</t>
        </is>
      </c>
      <c r="F41" s="5" t="n"/>
      <c r="G41" s="5" t="n"/>
      <c r="H41" s="22" t="inlineStr">
        <is>
          <t>https://en.wikipedia.org/wiki/Anari_(1975_film)</t>
        </is>
      </c>
      <c r="I41" s="16" t="n">
        <v>46286</v>
      </c>
      <c r="J41" s="5" t="inlineStr">
        <is>
          <t>Infobox: release date, language, director, producers, source material, song composer, billing position.</t>
        </is>
      </c>
      <c r="K41" s="5" t="inlineStr">
        <is>
          <t>Reference encyclopedia</t>
        </is>
      </c>
      <c r="L41" s="5" t="inlineStr">
        <is>
          <t>C</t>
        </is>
      </c>
      <c r="M41" s="5" t="inlineStr">
        <is>
          <t>Film article; downloaded as raw wikitext.</t>
        </is>
      </c>
    </row>
    <row r="42" ht="49" customHeight="1">
      <c r="A42" s="15" t="inlineStr">
        <is>
          <t>SOURCE-041</t>
        </is>
      </c>
      <c r="B42" s="5" t="inlineStr">
        <is>
          <t>FILM-052</t>
        </is>
      </c>
      <c r="C42" s="5" t="inlineStr">
        <is>
          <t>PAIR-032</t>
        </is>
      </c>
      <c r="D42" s="5" t="inlineStr">
        <is>
          <t>Deewaar</t>
        </is>
      </c>
      <c r="E42" s="5" t="inlineStr">
        <is>
          <t>Wikipedia</t>
        </is>
      </c>
      <c r="F42" s="5" t="n"/>
      <c r="G42" s="5" t="n"/>
      <c r="H42" s="22" t="inlineStr">
        <is>
          <t>https://en.wikipedia.org/wiki/Deewaar</t>
        </is>
      </c>
      <c r="I42" s="16" t="n">
        <v>46286</v>
      </c>
      <c r="J42" s="5" t="inlineStr">
        <is>
          <t>Infobox: release date, language, runtime, director, producers, production banner, writers, song composer, lyricist, billing position.</t>
        </is>
      </c>
      <c r="K42" s="5" t="inlineStr">
        <is>
          <t>Reference encyclopedia</t>
        </is>
      </c>
      <c r="L42" s="5" t="inlineStr">
        <is>
          <t>C</t>
        </is>
      </c>
      <c r="M42" s="5" t="inlineStr">
        <is>
          <t>Film article; downloaded as raw wikitext.</t>
        </is>
      </c>
    </row>
    <row r="43" ht="49" customHeight="1">
      <c r="A43" s="15" t="inlineStr">
        <is>
          <t>SOURCE-042</t>
        </is>
      </c>
      <c r="B43" s="5" t="inlineStr">
        <is>
          <t>FILM-053</t>
        </is>
      </c>
      <c r="C43" s="5" t="inlineStr">
        <is>
          <t>PAIR-033</t>
        </is>
      </c>
      <c r="D43" s="5" t="inlineStr">
        <is>
          <t>Prem Kahani (1975 film)</t>
        </is>
      </c>
      <c r="E43" s="5" t="inlineStr">
        <is>
          <t>Wikipedia</t>
        </is>
      </c>
      <c r="F43" s="5" t="n"/>
      <c r="G43" s="5" t="n"/>
      <c r="H43" s="22" t="inlineStr">
        <is>
          <t>https://en.wikipedia.org/wiki/Prem_Kahani_(1975_film)</t>
        </is>
      </c>
      <c r="I43" s="16" t="n">
        <v>46286</v>
      </c>
      <c r="J43" s="5" t="inlineStr">
        <is>
          <t>Infobox: release date, language, runtime, director, producers, production banner, writers, song composer, billing position.</t>
        </is>
      </c>
      <c r="K43" s="5" t="inlineStr">
        <is>
          <t>Reference encyclopedia</t>
        </is>
      </c>
      <c r="L43" s="5" t="inlineStr">
        <is>
          <t>C</t>
        </is>
      </c>
      <c r="M43" s="5" t="inlineStr">
        <is>
          <t>Film article; downloaded as raw wikitext.</t>
        </is>
      </c>
    </row>
    <row r="44" ht="49" customHeight="1">
      <c r="A44" s="15" t="inlineStr">
        <is>
          <t>SOURCE-043</t>
        </is>
      </c>
      <c r="B44" s="5" t="inlineStr">
        <is>
          <t>FILM-054</t>
        </is>
      </c>
      <c r="C44" s="5" t="n"/>
      <c r="D44" s="5" t="inlineStr">
        <is>
          <t>Chori Mera Kaam</t>
        </is>
      </c>
      <c r="E44" s="5" t="inlineStr">
        <is>
          <t>Wikipedia</t>
        </is>
      </c>
      <c r="F44" s="5" t="n"/>
      <c r="G44" s="5" t="n"/>
      <c r="H44" s="22" t="inlineStr">
        <is>
          <t>https://en.wikipedia.org/wiki/Chori_Mera_Kaam</t>
        </is>
      </c>
      <c r="I44" s="16" t="n">
        <v>46286</v>
      </c>
      <c r="J44" s="5" t="inlineStr">
        <is>
          <t>Infobox: release date, language, director, producers, writers, song composer, lyricist, billing position.</t>
        </is>
      </c>
      <c r="K44" s="5" t="inlineStr">
        <is>
          <t>Reference encyclopedia</t>
        </is>
      </c>
      <c r="L44" s="5" t="inlineStr">
        <is>
          <t>C</t>
        </is>
      </c>
      <c r="M44" s="5" t="inlineStr">
        <is>
          <t>Film article; downloaded as raw wikitext.</t>
        </is>
      </c>
    </row>
    <row r="45" ht="34" customHeight="1">
      <c r="A45" s="15" t="inlineStr">
        <is>
          <t>SOURCE-044</t>
        </is>
      </c>
      <c r="B45" s="5" t="inlineStr">
        <is>
          <t>FILM-055</t>
        </is>
      </c>
      <c r="C45" s="5" t="inlineStr">
        <is>
          <t>PAIR-034</t>
        </is>
      </c>
      <c r="D45" s="5" t="inlineStr">
        <is>
          <t>Salaakhen (1975 film)</t>
        </is>
      </c>
      <c r="E45" s="5" t="inlineStr">
        <is>
          <t>Wikipedia</t>
        </is>
      </c>
      <c r="F45" s="5" t="n"/>
      <c r="G45" s="5" t="n"/>
      <c r="H45" s="22" t="inlineStr">
        <is>
          <t>https://en.wikipedia.org/wiki/Salaakhen_(1975_film)</t>
        </is>
      </c>
      <c r="I45" s="16" t="n">
        <v>46286</v>
      </c>
      <c r="J45" s="5" t="inlineStr">
        <is>
          <t>Infobox: release date, language, director, producers, song composer, billing position.</t>
        </is>
      </c>
      <c r="K45" s="5" t="inlineStr">
        <is>
          <t>Reference encyclopedia</t>
        </is>
      </c>
      <c r="L45" s="5" t="inlineStr">
        <is>
          <t>C</t>
        </is>
      </c>
      <c r="M45" s="5" t="inlineStr">
        <is>
          <t>Film article; downloaded as raw wikitext.</t>
        </is>
      </c>
    </row>
    <row r="46" ht="49" customHeight="1">
      <c r="A46" s="15" t="inlineStr">
        <is>
          <t>SOURCE-045</t>
        </is>
      </c>
      <c r="B46" s="5" t="inlineStr">
        <is>
          <t>FILM-060</t>
        </is>
      </c>
      <c r="C46" s="5" t="inlineStr">
        <is>
          <t>PAIR-037</t>
        </is>
      </c>
      <c r="D46" s="5" t="inlineStr">
        <is>
          <t>Kabhi Kabhie</t>
        </is>
      </c>
      <c r="E46" s="5" t="inlineStr">
        <is>
          <t>Wikipedia</t>
        </is>
      </c>
      <c r="F46" s="5" t="n"/>
      <c r="G46" s="5" t="n"/>
      <c r="H46" s="22" t="inlineStr">
        <is>
          <t>https://en.wikipedia.org/wiki/Kabhi_Kabhie</t>
        </is>
      </c>
      <c r="I46" s="16" t="n">
        <v>46286</v>
      </c>
      <c r="J46" s="5" t="inlineStr">
        <is>
          <t>Infobox: release date, language, runtime, director, producers, production banner, writers, song composer, lyricist, billing position.</t>
        </is>
      </c>
      <c r="K46" s="5" t="inlineStr">
        <is>
          <t>Reference encyclopedia</t>
        </is>
      </c>
      <c r="L46" s="5" t="inlineStr">
        <is>
          <t>C</t>
        </is>
      </c>
      <c r="M46" s="5" t="inlineStr">
        <is>
          <t>Film article; downloaded as raw wikitext.</t>
        </is>
      </c>
    </row>
    <row r="47" ht="34" customHeight="1">
      <c r="A47" s="15" t="inlineStr">
        <is>
          <t>SOURCE-046</t>
        </is>
      </c>
      <c r="B47" s="5" t="inlineStr">
        <is>
          <t>FILM-061</t>
        </is>
      </c>
      <c r="C47" s="5" t="n"/>
      <c r="D47" s="5" t="inlineStr">
        <is>
          <t>Shankar Dada</t>
        </is>
      </c>
      <c r="E47" s="5" t="inlineStr">
        <is>
          <t>Wikipedia</t>
        </is>
      </c>
      <c r="F47" s="5" t="n"/>
      <c r="G47" s="5" t="n"/>
      <c r="H47" s="22" t="inlineStr">
        <is>
          <t>https://en.wikipedia.org/wiki/Shankar_Dada</t>
        </is>
      </c>
      <c r="I47" s="16" t="n">
        <v>46286</v>
      </c>
      <c r="J47" s="5" t="inlineStr">
        <is>
          <t>Infobox: release date, language, director, producers, writers, song composer, billing position.</t>
        </is>
      </c>
      <c r="K47" s="5" t="inlineStr">
        <is>
          <t>Reference encyclopedia</t>
        </is>
      </c>
      <c r="L47" s="5" t="inlineStr">
        <is>
          <t>C</t>
        </is>
      </c>
      <c r="M47" s="5" t="inlineStr">
        <is>
          <t>Film article; downloaded as raw wikitext.</t>
        </is>
      </c>
    </row>
    <row r="48" ht="34" customHeight="1">
      <c r="A48" s="15" t="inlineStr">
        <is>
          <t>SOURCE-047</t>
        </is>
      </c>
      <c r="B48" s="5" t="inlineStr">
        <is>
          <t>FILM-062</t>
        </is>
      </c>
      <c r="C48" s="5" t="inlineStr">
        <is>
          <t>PAIR-038</t>
        </is>
      </c>
      <c r="D48" s="5" t="inlineStr">
        <is>
          <t>Fakira</t>
        </is>
      </c>
      <c r="E48" s="5" t="inlineStr">
        <is>
          <t>Wikipedia</t>
        </is>
      </c>
      <c r="F48" s="5" t="n"/>
      <c r="G48" s="5" t="n"/>
      <c r="H48" s="22" t="inlineStr">
        <is>
          <t>https://en.wikipedia.org/wiki/Fakira</t>
        </is>
      </c>
      <c r="I48" s="16" t="n">
        <v>46286</v>
      </c>
      <c r="J48" s="5" t="inlineStr">
        <is>
          <t>Infobox: release date, language, director, producers, writers, song composer, billing position.</t>
        </is>
      </c>
      <c r="K48" s="5" t="inlineStr">
        <is>
          <t>Reference encyclopedia</t>
        </is>
      </c>
      <c r="L48" s="5" t="inlineStr">
        <is>
          <t>C</t>
        </is>
      </c>
      <c r="M48" s="5" t="inlineStr">
        <is>
          <t>Film article; downloaded as raw wikitext.</t>
        </is>
      </c>
    </row>
    <row r="49" ht="34" customHeight="1">
      <c r="A49" s="15" t="inlineStr">
        <is>
          <t>SOURCE-048</t>
        </is>
      </c>
      <c r="B49" s="5" t="inlineStr">
        <is>
          <t>FILM-056</t>
        </is>
      </c>
      <c r="C49" s="5" t="n"/>
      <c r="D49" s="5" t="inlineStr">
        <is>
          <t>Naach Uthe Sansaar</t>
        </is>
      </c>
      <c r="E49" s="5" t="inlineStr">
        <is>
          <t>Wikipedia</t>
        </is>
      </c>
      <c r="F49" s="5" t="n"/>
      <c r="G49" s="5" t="n"/>
      <c r="H49" s="22" t="inlineStr">
        <is>
          <t>https://en.wikipedia.org/wiki/Naach_Uthe_Sansaar</t>
        </is>
      </c>
      <c r="I49" s="16" t="n">
        <v>46286</v>
      </c>
      <c r="J49" s="5" t="inlineStr">
        <is>
          <t>Infobox: release date, language, director, song composer, billing position.</t>
        </is>
      </c>
      <c r="K49" s="5" t="inlineStr">
        <is>
          <t>Reference encyclopedia</t>
        </is>
      </c>
      <c r="L49" s="5" t="inlineStr">
        <is>
          <t>C</t>
        </is>
      </c>
      <c r="M49" s="5" t="inlineStr">
        <is>
          <t>Film article; downloaded as raw wikitext.</t>
        </is>
      </c>
    </row>
    <row r="50" ht="34" customHeight="1">
      <c r="A50" s="15" t="inlineStr">
        <is>
          <t>SOURCE-049</t>
        </is>
      </c>
      <c r="B50" s="5" t="inlineStr">
        <is>
          <t>FILM-057</t>
        </is>
      </c>
      <c r="C50" s="5" t="inlineStr">
        <is>
          <t>PAIR-035</t>
        </is>
      </c>
      <c r="D50" s="5" t="inlineStr">
        <is>
          <t>Koi Jeeta Koi Haara</t>
        </is>
      </c>
      <c r="E50" s="5" t="inlineStr">
        <is>
          <t>Wikipedia</t>
        </is>
      </c>
      <c r="F50" s="5" t="n"/>
      <c r="G50" s="5" t="n"/>
      <c r="H50" s="22" t="inlineStr">
        <is>
          <t>https://en.wikipedia.org/wiki/Koi_Jeeta_Koi_Haara</t>
        </is>
      </c>
      <c r="I50" s="16" t="n">
        <v>46286</v>
      </c>
      <c r="J50" s="5" t="inlineStr">
        <is>
          <t>Infobox: release date, language, director, producers, song composer, lyricist.</t>
        </is>
      </c>
      <c r="K50" s="5" t="inlineStr">
        <is>
          <t>Reference encyclopedia</t>
        </is>
      </c>
      <c r="L50" s="5" t="inlineStr">
        <is>
          <t>C</t>
        </is>
      </c>
      <c r="M50" s="5" t="inlineStr">
        <is>
          <t>Film article; downloaded as raw wikitext.</t>
        </is>
      </c>
    </row>
    <row r="51" ht="49" customHeight="1">
      <c r="A51" s="15" t="inlineStr">
        <is>
          <t>SOURCE-050</t>
        </is>
      </c>
      <c r="B51" s="5" t="inlineStr">
        <is>
          <t>FILM-058</t>
        </is>
      </c>
      <c r="C51" s="5" t="n"/>
      <c r="D51" s="5" t="inlineStr">
        <is>
          <t>Deewaangee</t>
        </is>
      </c>
      <c r="E51" s="5" t="inlineStr">
        <is>
          <t>Wikipedia</t>
        </is>
      </c>
      <c r="F51" s="5" t="n"/>
      <c r="G51" s="5" t="n"/>
      <c r="H51" s="22" t="inlineStr">
        <is>
          <t>https://en.wikipedia.org/wiki/Deewaangee</t>
        </is>
      </c>
      <c r="I51" s="16" t="n">
        <v>46286</v>
      </c>
      <c r="J51" s="5" t="inlineStr">
        <is>
          <t>Infobox: release date, language, director, producers, writers, song composer, lyricist, billing position.</t>
        </is>
      </c>
      <c r="K51" s="5" t="inlineStr">
        <is>
          <t>Reference encyclopedia</t>
        </is>
      </c>
      <c r="L51" s="5" t="inlineStr">
        <is>
          <t>C</t>
        </is>
      </c>
      <c r="M51" s="5" t="inlineStr">
        <is>
          <t>Film article; downloaded as raw wikitext.</t>
        </is>
      </c>
    </row>
    <row r="52" ht="34" customHeight="1">
      <c r="A52" s="15" t="inlineStr">
        <is>
          <t>SOURCE-051</t>
        </is>
      </c>
      <c r="B52" s="5" t="inlineStr">
        <is>
          <t>FILM-059</t>
        </is>
      </c>
      <c r="C52" s="5" t="inlineStr">
        <is>
          <t>PAIR-036</t>
        </is>
      </c>
      <c r="D52" s="5" t="inlineStr">
        <is>
          <t>Aap Beati</t>
        </is>
      </c>
      <c r="E52" s="5" t="inlineStr">
        <is>
          <t>Wikipedia</t>
        </is>
      </c>
      <c r="F52" s="5" t="n"/>
      <c r="G52" s="5" t="n"/>
      <c r="H52" s="22" t="inlineStr">
        <is>
          <t>https://en.wikipedia.org/wiki/Aap_Beati</t>
        </is>
      </c>
      <c r="I52" s="16" t="n">
        <v>46286</v>
      </c>
      <c r="J52" s="5" t="inlineStr">
        <is>
          <t>Infobox: release date, language, director, producers, song composer, billing position.</t>
        </is>
      </c>
      <c r="K52" s="5" t="inlineStr">
        <is>
          <t>Reference encyclopedia</t>
        </is>
      </c>
      <c r="L52" s="5" t="inlineStr">
        <is>
          <t>C</t>
        </is>
      </c>
      <c r="M52" s="5" t="inlineStr">
        <is>
          <t>Film article; downloaded as raw wikitext.</t>
        </is>
      </c>
    </row>
    <row r="53" ht="34" customHeight="1">
      <c r="A53" s="15" t="inlineStr">
        <is>
          <t>SOURCE-052</t>
        </is>
      </c>
      <c r="B53" s="5" t="inlineStr">
        <is>
          <t>FILM-067</t>
        </is>
      </c>
      <c r="C53" s="5" t="n"/>
      <c r="D53" s="5" t="inlineStr">
        <is>
          <t>Immaan Dharam</t>
        </is>
      </c>
      <c r="E53" s="5" t="inlineStr">
        <is>
          <t>Wikipedia</t>
        </is>
      </c>
      <c r="F53" s="5" t="n"/>
      <c r="G53" s="5" t="n"/>
      <c r="H53" s="22" t="inlineStr">
        <is>
          <t>https://en.wikipedia.org/wiki/Immaan_Dharam</t>
        </is>
      </c>
      <c r="I53" s="16" t="n">
        <v>46286</v>
      </c>
      <c r="J53" s="5" t="inlineStr">
        <is>
          <t>Infobox: release date, language, director, producers, writers, song composer, billing position.</t>
        </is>
      </c>
      <c r="K53" s="5" t="inlineStr">
        <is>
          <t>Reference encyclopedia</t>
        </is>
      </c>
      <c r="L53" s="5" t="inlineStr">
        <is>
          <t>C</t>
        </is>
      </c>
      <c r="M53" s="5" t="inlineStr">
        <is>
          <t>Film article; downloaded as raw wikitext.</t>
        </is>
      </c>
    </row>
    <row r="54" ht="34" customHeight="1">
      <c r="A54" s="15" t="inlineStr">
        <is>
          <t>SOURCE-053</t>
        </is>
      </c>
      <c r="B54" s="5" t="inlineStr">
        <is>
          <t>FILM-063</t>
        </is>
      </c>
      <c r="C54" s="5" t="n"/>
      <c r="D54" s="5" t="inlineStr">
        <is>
          <t>Hira Aur Patthar</t>
        </is>
      </c>
      <c r="E54" s="5" t="inlineStr">
        <is>
          <t>Wikipedia</t>
        </is>
      </c>
      <c r="F54" s="5" t="n"/>
      <c r="G54" s="5" t="n"/>
      <c r="H54" s="22" t="inlineStr">
        <is>
          <t>https://en.wikipedia.org/wiki/Hira_Aur_Patthar</t>
        </is>
      </c>
      <c r="I54" s="16" t="n">
        <v>46286</v>
      </c>
      <c r="J54" s="5" t="inlineStr">
        <is>
          <t>Infobox: release date, language, director, producers, writers, song composer, billing position.</t>
        </is>
      </c>
      <c r="K54" s="5" t="inlineStr">
        <is>
          <t>Reference encyclopedia</t>
        </is>
      </c>
      <c r="L54" s="5" t="inlineStr">
        <is>
          <t>C</t>
        </is>
      </c>
      <c r="M54" s="5" t="inlineStr">
        <is>
          <t>Film article; downloaded as raw wikitext.</t>
        </is>
      </c>
    </row>
    <row r="55" ht="49" customHeight="1">
      <c r="A55" s="15" t="inlineStr">
        <is>
          <t>SOURCE-054</t>
        </is>
      </c>
      <c r="B55" s="5" t="inlineStr">
        <is>
          <t>FILM-068</t>
        </is>
      </c>
      <c r="C55" s="5" t="inlineStr">
        <is>
          <t>PAIR-040</t>
        </is>
      </c>
      <c r="D55" s="5" t="inlineStr">
        <is>
          <t>Mukti (1977 film)</t>
        </is>
      </c>
      <c r="E55" s="5" t="inlineStr">
        <is>
          <t>Wikipedia</t>
        </is>
      </c>
      <c r="F55" s="5" t="n"/>
      <c r="G55" s="5" t="n"/>
      <c r="H55" s="22" t="inlineStr">
        <is>
          <t>https://en.wikipedia.org/wiki/Mukti_(1977_film)</t>
        </is>
      </c>
      <c r="I55" s="16" t="n">
        <v>46286</v>
      </c>
      <c r="J55" s="5" t="inlineStr">
        <is>
          <t>Infobox: release date, language, runtime, director, producers, production banner, writers, song composer, billing position, budget, currency.</t>
        </is>
      </c>
      <c r="K55" s="5" t="inlineStr">
        <is>
          <t>Reference encyclopedia</t>
        </is>
      </c>
      <c r="L55" s="5" t="inlineStr">
        <is>
          <t>C</t>
        </is>
      </c>
      <c r="M55" s="5" t="inlineStr">
        <is>
          <t>Film article; downloaded as raw wikitext.</t>
        </is>
      </c>
    </row>
    <row r="56" ht="49" customHeight="1">
      <c r="A56" s="15" t="inlineStr">
        <is>
          <t>SOURCE-055</t>
        </is>
      </c>
      <c r="B56" s="5" t="inlineStr">
        <is>
          <t>FILM-069</t>
        </is>
      </c>
      <c r="C56" s="5" t="inlineStr">
        <is>
          <t>PAIR-041</t>
        </is>
      </c>
      <c r="D56" s="5" t="inlineStr">
        <is>
          <t>Doosara Aadmi</t>
        </is>
      </c>
      <c r="E56" s="5" t="inlineStr">
        <is>
          <t>Wikipedia</t>
        </is>
      </c>
      <c r="F56" s="5" t="n"/>
      <c r="G56" s="5" t="n"/>
      <c r="H56" s="22" t="inlineStr">
        <is>
          <t>https://en.wikipedia.org/wiki/Doosara_Aadmi</t>
        </is>
      </c>
      <c r="I56" s="16" t="n">
        <v>46286</v>
      </c>
      <c r="J56" s="5" t="inlineStr">
        <is>
          <t>Infobox: release date, language, director, producers, writers, song composer, lyricist, billing position.</t>
        </is>
      </c>
      <c r="K56" s="5" t="inlineStr">
        <is>
          <t>Reference encyclopedia</t>
        </is>
      </c>
      <c r="L56" s="5" t="inlineStr">
        <is>
          <t>C</t>
        </is>
      </c>
      <c r="M56" s="5" t="inlineStr">
        <is>
          <t>Film article; downloaded as raw wikitext.</t>
        </is>
      </c>
    </row>
    <row r="57" ht="34" customHeight="1">
      <c r="A57" s="15" t="inlineStr">
        <is>
          <t>SOURCE-056</t>
        </is>
      </c>
      <c r="B57" s="5" t="inlineStr">
        <is>
          <t>FILM-064</t>
        </is>
      </c>
      <c r="C57" s="5" t="n"/>
      <c r="D57" s="5" t="inlineStr">
        <is>
          <t>Farishta Ya Qatil</t>
        </is>
      </c>
      <c r="E57" s="5" t="inlineStr">
        <is>
          <t>Wikipedia</t>
        </is>
      </c>
      <c r="F57" s="5" t="n"/>
      <c r="G57" s="5" t="n"/>
      <c r="H57" s="22" t="inlineStr">
        <is>
          <t>https://en.wikipedia.org/wiki/Farishta_Ya_Qatil</t>
        </is>
      </c>
      <c r="I57" s="16" t="n">
        <v>46286</v>
      </c>
      <c r="J57" s="5" t="inlineStr">
        <is>
          <t>Infobox: release date, language, director, producers, writers, song composer, billing position.</t>
        </is>
      </c>
      <c r="K57" s="5" t="inlineStr">
        <is>
          <t>Reference encyclopedia</t>
        </is>
      </c>
      <c r="L57" s="5" t="inlineStr">
        <is>
          <t>C</t>
        </is>
      </c>
      <c r="M57" s="5" t="inlineStr">
        <is>
          <t>Film article; downloaded as raw wikitext.</t>
        </is>
      </c>
    </row>
    <row r="58" ht="34" customHeight="1">
      <c r="A58" s="15" t="inlineStr">
        <is>
          <t>SOURCE-057</t>
        </is>
      </c>
      <c r="B58" s="5" t="inlineStr">
        <is>
          <t>FILM-065</t>
        </is>
      </c>
      <c r="C58" s="5" t="n"/>
      <c r="D58" s="5" t="inlineStr">
        <is>
          <t>Chor Sipahee</t>
        </is>
      </c>
      <c r="E58" s="5" t="inlineStr">
        <is>
          <t>Wikipedia</t>
        </is>
      </c>
      <c r="F58" s="5" t="n"/>
      <c r="G58" s="5" t="n"/>
      <c r="H58" s="22" t="inlineStr">
        <is>
          <t>https://en.wikipedia.org/wiki/Chor_Sipahee</t>
        </is>
      </c>
      <c r="I58" s="16" t="n">
        <v>46286</v>
      </c>
      <c r="J58" s="5" t="inlineStr">
        <is>
          <t>Infobox: release date, language, director, producers, song composer, billing position.</t>
        </is>
      </c>
      <c r="K58" s="5" t="inlineStr">
        <is>
          <t>Reference encyclopedia</t>
        </is>
      </c>
      <c r="L58" s="5" t="inlineStr">
        <is>
          <t>C</t>
        </is>
      </c>
      <c r="M58" s="5" t="inlineStr">
        <is>
          <t>Film article; downloaded as raw wikitext.</t>
        </is>
      </c>
    </row>
    <row r="59" ht="34" customHeight="1">
      <c r="A59" s="15" t="inlineStr">
        <is>
          <t>SOURCE-058</t>
        </is>
      </c>
      <c r="B59" s="5" t="inlineStr">
        <is>
          <t>FILM-066</t>
        </is>
      </c>
      <c r="C59" s="5" t="inlineStr">
        <is>
          <t>PAIR-039</t>
        </is>
      </c>
      <c r="D59" s="5" t="inlineStr">
        <is>
          <t>Chakkar Pe Chakkar</t>
        </is>
      </c>
      <c r="E59" s="5" t="inlineStr">
        <is>
          <t>Wikipedia</t>
        </is>
      </c>
      <c r="F59" s="5" t="n"/>
      <c r="G59" s="5" t="n"/>
      <c r="H59" s="22" t="inlineStr">
        <is>
          <t>https://en.wikipedia.org/wiki/Chakkar_Pe_Chakkar</t>
        </is>
      </c>
      <c r="I59" s="16" t="n">
        <v>46286</v>
      </c>
      <c r="J59" s="5" t="inlineStr">
        <is>
          <t>Infobox: release date, language, director, producers, writers, song composer, billing position.</t>
        </is>
      </c>
      <c r="K59" s="5" t="inlineStr">
        <is>
          <t>Reference encyclopedia</t>
        </is>
      </c>
      <c r="L59" s="5" t="inlineStr">
        <is>
          <t>C</t>
        </is>
      </c>
      <c r="M59" s="5" t="inlineStr">
        <is>
          <t>Film article; downloaded as raw wikitext.</t>
        </is>
      </c>
    </row>
    <row r="60" ht="34" customHeight="1">
      <c r="A60" s="15" t="inlineStr">
        <is>
          <t>SOURCE-059</t>
        </is>
      </c>
      <c r="B60" s="5" t="inlineStr">
        <is>
          <t>FILM-070</t>
        </is>
      </c>
      <c r="C60" s="5" t="n"/>
      <c r="D60" s="5" t="inlineStr">
        <is>
          <t>Rahu Ketu (1978 film)</t>
        </is>
      </c>
      <c r="E60" s="5" t="inlineStr">
        <is>
          <t>Wikipedia</t>
        </is>
      </c>
      <c r="F60" s="5" t="n"/>
      <c r="G60" s="5" t="n"/>
      <c r="H60" s="22" t="inlineStr">
        <is>
          <t>https://en.wikipedia.org/wiki/Rahu_Ketu_(1978_film)</t>
        </is>
      </c>
      <c r="I60" s="16" t="n">
        <v>46286</v>
      </c>
      <c r="J60" s="5" t="inlineStr">
        <is>
          <t>Infobox: release date, language, director, producers, song composer, lyricist, billing position.</t>
        </is>
      </c>
      <c r="K60" s="5" t="inlineStr">
        <is>
          <t>Reference encyclopedia</t>
        </is>
      </c>
      <c r="L60" s="5" t="inlineStr">
        <is>
          <t>C</t>
        </is>
      </c>
      <c r="M60" s="5" t="inlineStr">
        <is>
          <t>Film article; downloaded as raw wikitext.</t>
        </is>
      </c>
    </row>
    <row r="61" ht="34" customHeight="1">
      <c r="A61" s="15" t="inlineStr">
        <is>
          <t>SOURCE-060</t>
        </is>
      </c>
      <c r="B61" s="5" t="inlineStr">
        <is>
          <t>FILM-075</t>
        </is>
      </c>
      <c r="C61" s="5" t="n"/>
      <c r="D61" s="5" t="inlineStr">
        <is>
          <t>Phaansi</t>
        </is>
      </c>
      <c r="E61" s="5" t="inlineStr">
        <is>
          <t>Wikipedia</t>
        </is>
      </c>
      <c r="F61" s="5" t="n"/>
      <c r="G61" s="5" t="n"/>
      <c r="H61" s="22" t="inlineStr">
        <is>
          <t>https://en.wikipedia.org/wiki/Phaansi</t>
        </is>
      </c>
      <c r="I61" s="16" t="n">
        <v>46286</v>
      </c>
      <c r="J61" s="5" t="inlineStr">
        <is>
          <t>Infobox: release date, language, director, song composer, billing position.</t>
        </is>
      </c>
      <c r="K61" s="5" t="inlineStr">
        <is>
          <t>Reference encyclopedia</t>
        </is>
      </c>
      <c r="L61" s="5" t="inlineStr">
        <is>
          <t>C</t>
        </is>
      </c>
      <c r="M61" s="5" t="inlineStr">
        <is>
          <t>Film article; downloaded as raw wikitext.</t>
        </is>
      </c>
    </row>
    <row r="62" ht="49" customHeight="1">
      <c r="A62" s="15" t="inlineStr">
        <is>
          <t>SOURCE-061</t>
        </is>
      </c>
      <c r="B62" s="5" t="inlineStr">
        <is>
          <t>FILM-076</t>
        </is>
      </c>
      <c r="C62" s="5" t="inlineStr">
        <is>
          <t>PAIR-043</t>
        </is>
      </c>
      <c r="D62" s="5" t="inlineStr">
        <is>
          <t>Satyam Shivam Sundaram</t>
        </is>
      </c>
      <c r="E62" s="5" t="inlineStr">
        <is>
          <t>Wikipedia</t>
        </is>
      </c>
      <c r="F62" s="5" t="n"/>
      <c r="G62" s="5" t="n"/>
      <c r="H62" s="22" t="inlineStr">
        <is>
          <t>https://en.wikipedia.org/wiki/Satyam_Shivam_Sundaram</t>
        </is>
      </c>
      <c r="I62" s="16" t="n">
        <v>46286</v>
      </c>
      <c r="J62" s="5" t="inlineStr">
        <is>
          <t>Infobox: release date, language, runtime, director, producers, production banner, writers, song composer, billing position.</t>
        </is>
      </c>
      <c r="K62" s="5" t="inlineStr">
        <is>
          <t>Reference encyclopedia</t>
        </is>
      </c>
      <c r="L62" s="5" t="inlineStr">
        <is>
          <t>C</t>
        </is>
      </c>
      <c r="M62" s="5" t="inlineStr">
        <is>
          <t>Film article; downloaded as raw wikitext.</t>
        </is>
      </c>
    </row>
    <row r="63" ht="49" customHeight="1">
      <c r="A63" s="15" t="inlineStr">
        <is>
          <t>SOURCE-062</t>
        </is>
      </c>
      <c r="B63" s="5" t="inlineStr">
        <is>
          <t>FILM-078</t>
        </is>
      </c>
      <c r="C63" s="5" t="inlineStr">
        <is>
          <t>PAIR-045</t>
        </is>
      </c>
      <c r="D63" s="5" t="inlineStr">
        <is>
          <t>Trishul (film)</t>
        </is>
      </c>
      <c r="E63" s="5" t="inlineStr">
        <is>
          <t>Wikipedia</t>
        </is>
      </c>
      <c r="F63" s="5" t="n"/>
      <c r="G63" s="5" t="n"/>
      <c r="H63" s="22" t="inlineStr">
        <is>
          <t>https://en.wikipedia.org/wiki/Trishul_(film)</t>
        </is>
      </c>
      <c r="I63" s="16" t="n">
        <v>46286</v>
      </c>
      <c r="J63" s="5" t="inlineStr">
        <is>
          <t>Infobox: release date, language, runtime, director, producers, production banner, writers, song composer, lyricist, billing position.</t>
        </is>
      </c>
      <c r="K63" s="5" t="inlineStr">
        <is>
          <t>Reference encyclopedia</t>
        </is>
      </c>
      <c r="L63" s="5" t="inlineStr">
        <is>
          <t>C</t>
        </is>
      </c>
      <c r="M63" s="5" t="inlineStr">
        <is>
          <t>Film article; downloaded as raw wikitext.</t>
        </is>
      </c>
    </row>
    <row r="64" ht="34" customHeight="1">
      <c r="A64" s="15" t="inlineStr">
        <is>
          <t>SOURCE-063</t>
        </is>
      </c>
      <c r="B64" s="5" t="inlineStr">
        <is>
          <t>FILM-071</t>
        </is>
      </c>
      <c r="C64" s="5" t="n"/>
      <c r="D64" s="5" t="inlineStr">
        <is>
          <t>Do Musafir</t>
        </is>
      </c>
      <c r="E64" s="5" t="inlineStr">
        <is>
          <t>Wikipedia</t>
        </is>
      </c>
      <c r="F64" s="5" t="n"/>
      <c r="G64" s="5" t="n"/>
      <c r="H64" s="22" t="inlineStr">
        <is>
          <t>https://en.wikipedia.org/wiki/Do_Musafir</t>
        </is>
      </c>
      <c r="I64" s="16" t="n">
        <v>46286</v>
      </c>
      <c r="J64" s="5" t="inlineStr">
        <is>
          <t>Infobox: release date, language, director, producers, song composer, lyricist, billing position.</t>
        </is>
      </c>
      <c r="K64" s="5" t="inlineStr">
        <is>
          <t>Reference encyclopedia</t>
        </is>
      </c>
      <c r="L64" s="5" t="inlineStr">
        <is>
          <t>C</t>
        </is>
      </c>
      <c r="M64" s="5" t="inlineStr">
        <is>
          <t>Film article; downloaded as raw wikitext.</t>
        </is>
      </c>
    </row>
    <row r="65" ht="49" customHeight="1">
      <c r="A65" s="15" t="inlineStr">
        <is>
          <t>SOURCE-064</t>
        </is>
      </c>
      <c r="B65" s="5" t="inlineStr">
        <is>
          <t>FILM-072</t>
        </is>
      </c>
      <c r="C65" s="5" t="inlineStr">
        <is>
          <t>PAIR-042</t>
        </is>
      </c>
      <c r="D65" s="5" t="inlineStr">
        <is>
          <t>Trishna (1978 film)</t>
        </is>
      </c>
      <c r="E65" s="5" t="inlineStr">
        <is>
          <t>Wikipedia</t>
        </is>
      </c>
      <c r="F65" s="5" t="n"/>
      <c r="G65" s="5" t="n"/>
      <c r="H65" s="22" t="inlineStr">
        <is>
          <t>https://en.wikipedia.org/wiki/Trishna_(1978_film)</t>
        </is>
      </c>
      <c r="I65" s="16" t="n">
        <v>46286</v>
      </c>
      <c r="J65" s="5" t="inlineStr">
        <is>
          <t>Infobox: release date, language, runtime, director, producers, writers, song composer, billing position.</t>
        </is>
      </c>
      <c r="K65" s="5" t="inlineStr">
        <is>
          <t>Reference encyclopedia</t>
        </is>
      </c>
      <c r="L65" s="5" t="inlineStr">
        <is>
          <t>C</t>
        </is>
      </c>
      <c r="M65" s="5" t="inlineStr">
        <is>
          <t>Film article; downloaded as raw wikitext.</t>
        </is>
      </c>
    </row>
    <row r="66" ht="34" customHeight="1">
      <c r="A66" s="15" t="inlineStr">
        <is>
          <t>SOURCE-065</t>
        </is>
      </c>
      <c r="B66" s="5" t="inlineStr">
        <is>
          <t>FILM-080</t>
        </is>
      </c>
      <c r="C66" s="5" t="n"/>
      <c r="D66" s="5" t="inlineStr">
        <is>
          <t>Apna Khoon</t>
        </is>
      </c>
      <c r="E66" s="5" t="inlineStr">
        <is>
          <t>Wikipedia</t>
        </is>
      </c>
      <c r="F66" s="5" t="n"/>
      <c r="G66" s="5" t="n"/>
      <c r="H66" s="22" t="inlineStr">
        <is>
          <t>https://en.wikipedia.org/wiki/Apna_Khoon</t>
        </is>
      </c>
      <c r="I66" s="16" t="n">
        <v>46286</v>
      </c>
      <c r="J66" s="5" t="inlineStr">
        <is>
          <t>Infobox: release date, language, director, producers, song composer, billing position.</t>
        </is>
      </c>
      <c r="K66" s="5" t="inlineStr">
        <is>
          <t>Reference encyclopedia</t>
        </is>
      </c>
      <c r="L66" s="5" t="inlineStr">
        <is>
          <t>C</t>
        </is>
      </c>
      <c r="M66" s="5" t="inlineStr">
        <is>
          <t>Film article; downloaded as raw wikitext.</t>
        </is>
      </c>
    </row>
    <row r="67" ht="34" customHeight="1">
      <c r="A67" s="15" t="inlineStr">
        <is>
          <t>SOURCE-066</t>
        </is>
      </c>
      <c r="B67" s="5" t="inlineStr">
        <is>
          <t>FILM-081</t>
        </is>
      </c>
      <c r="C67" s="5" t="inlineStr">
        <is>
          <t>PAIR-046</t>
        </is>
      </c>
      <c r="D67" s="5" t="inlineStr">
        <is>
          <t>Heeralaal Pannalaal (film)</t>
        </is>
      </c>
      <c r="E67" s="5" t="inlineStr">
        <is>
          <t>Wikipedia</t>
        </is>
      </c>
      <c r="F67" s="5" t="n"/>
      <c r="G67" s="5" t="n"/>
      <c r="H67" s="22" t="inlineStr">
        <is>
          <t>https://en.wikipedia.org/wiki/Heeralaal_Pannalaal_(film)</t>
        </is>
      </c>
      <c r="I67" s="16" t="n">
        <v>46286</v>
      </c>
      <c r="J67" s="5" t="inlineStr">
        <is>
          <t>Infobox: release date, language, director, producers, writers, song composer, billing position.</t>
        </is>
      </c>
      <c r="K67" s="5" t="inlineStr">
        <is>
          <t>Reference encyclopedia</t>
        </is>
      </c>
      <c r="L67" s="5" t="inlineStr">
        <is>
          <t>C</t>
        </is>
      </c>
      <c r="M67" s="5" t="inlineStr">
        <is>
          <t>Film article; downloaded as raw wikitext.</t>
        </is>
      </c>
    </row>
    <row r="68" ht="34" customHeight="1">
      <c r="A68" s="15" t="inlineStr">
        <is>
          <t>SOURCE-067</t>
        </is>
      </c>
      <c r="B68" s="5" t="inlineStr">
        <is>
          <t>FILM-079</t>
        </is>
      </c>
      <c r="C68" s="5" t="n"/>
      <c r="D68" s="5" t="inlineStr">
        <is>
          <t>Atithee</t>
        </is>
      </c>
      <c r="E68" s="5" t="inlineStr">
        <is>
          <t>Wikipedia</t>
        </is>
      </c>
      <c r="F68" s="5" t="n"/>
      <c r="G68" s="5" t="n"/>
      <c r="H68" s="22" t="inlineStr">
        <is>
          <t>https://en.wikipedia.org/wiki/Atithee</t>
        </is>
      </c>
      <c r="I68" s="16" t="n">
        <v>46286</v>
      </c>
      <c r="J68" s="5" t="inlineStr">
        <is>
          <t>Infobox: release date, language, director, writers, song composer, lyricist, billing position.</t>
        </is>
      </c>
      <c r="K68" s="5" t="inlineStr">
        <is>
          <t>Reference encyclopedia</t>
        </is>
      </c>
      <c r="L68" s="5" t="inlineStr">
        <is>
          <t>C</t>
        </is>
      </c>
      <c r="M68" s="5" t="inlineStr">
        <is>
          <t>Film article; downloaded as raw wikitext.</t>
        </is>
      </c>
    </row>
    <row r="69" ht="34" customHeight="1">
      <c r="A69" s="15" t="inlineStr">
        <is>
          <t>SOURCE-068</t>
        </is>
      </c>
      <c r="B69" s="5" t="inlineStr">
        <is>
          <t>FILM-074</t>
        </is>
      </c>
      <c r="C69" s="5" t="n"/>
      <c r="D69" s="5" t="inlineStr">
        <is>
          <t>Amar Shakti</t>
        </is>
      </c>
      <c r="E69" s="5" t="inlineStr">
        <is>
          <t>Wikipedia</t>
        </is>
      </c>
      <c r="F69" s="5" t="n"/>
      <c r="G69" s="5" t="n"/>
      <c r="H69" s="22" t="inlineStr">
        <is>
          <t>https://en.wikipedia.org/wiki/Amar_Shakti</t>
        </is>
      </c>
      <c r="I69" s="16" t="n">
        <v>46286</v>
      </c>
      <c r="J69" s="5" t="inlineStr">
        <is>
          <t>Infobox: release date, language, director, producers, song composer, lyricist, billing position.</t>
        </is>
      </c>
      <c r="K69" s="5" t="inlineStr">
        <is>
          <t>Reference encyclopedia</t>
        </is>
      </c>
      <c r="L69" s="5" t="inlineStr">
        <is>
          <t>C</t>
        </is>
      </c>
      <c r="M69" s="5" t="inlineStr">
        <is>
          <t>Film article; downloaded as raw wikitext.</t>
        </is>
      </c>
    </row>
    <row r="70" ht="34" customHeight="1">
      <c r="A70" s="15" t="inlineStr">
        <is>
          <t>SOURCE-069</t>
        </is>
      </c>
      <c r="B70" s="5" t="inlineStr">
        <is>
          <t>FILM-077</t>
        </is>
      </c>
      <c r="C70" s="5" t="inlineStr">
        <is>
          <t>PAIR-044</t>
        </is>
      </c>
      <c r="D70" s="5" t="inlineStr">
        <is>
          <t>Aahuti (1978 film)</t>
        </is>
      </c>
      <c r="E70" s="5" t="inlineStr">
        <is>
          <t>Wikipedia</t>
        </is>
      </c>
      <c r="F70" s="5" t="n"/>
      <c r="G70" s="5" t="n"/>
      <c r="H70" s="22" t="inlineStr">
        <is>
          <t>https://en.wikipedia.org/wiki/Aahuti_(1978_film)</t>
        </is>
      </c>
      <c r="I70" s="16" t="n">
        <v>46286</v>
      </c>
      <c r="J70" s="5" t="inlineStr">
        <is>
          <t>Infobox: release date, language, director, producers, song composer, billing position.</t>
        </is>
      </c>
      <c r="K70" s="5" t="inlineStr">
        <is>
          <t>Reference encyclopedia</t>
        </is>
      </c>
      <c r="L70" s="5" t="inlineStr">
        <is>
          <t>C</t>
        </is>
      </c>
      <c r="M70" s="5" t="inlineStr">
        <is>
          <t>Film article; downloaded as raw wikitext.</t>
        </is>
      </c>
    </row>
    <row r="71" ht="34" customHeight="1">
      <c r="A71" s="15" t="inlineStr">
        <is>
          <t>SOURCE-070</t>
        </is>
      </c>
      <c r="B71" s="5" t="inlineStr">
        <is>
          <t>FILM-083</t>
        </is>
      </c>
      <c r="C71" s="5" t="inlineStr">
        <is>
          <t>PAIR-047</t>
        </is>
      </c>
      <c r="D71" s="5" t="inlineStr">
        <is>
          <t>Gautam Govinda</t>
        </is>
      </c>
      <c r="E71" s="5" t="inlineStr">
        <is>
          <t>Wikipedia</t>
        </is>
      </c>
      <c r="F71" s="5" t="n"/>
      <c r="G71" s="5" t="n"/>
      <c r="H71" s="22" t="inlineStr">
        <is>
          <t>https://en.wikipedia.org/wiki/Gautam_Govinda</t>
        </is>
      </c>
      <c r="I71" s="16" t="n">
        <v>46286</v>
      </c>
      <c r="J71" s="5" t="inlineStr">
        <is>
          <t>Infobox: release date, language, director, producers, song composer, billing position.</t>
        </is>
      </c>
      <c r="K71" s="5" t="inlineStr">
        <is>
          <t>Reference encyclopedia</t>
        </is>
      </c>
      <c r="L71" s="5" t="inlineStr">
        <is>
          <t>C</t>
        </is>
      </c>
      <c r="M71" s="5" t="inlineStr">
        <is>
          <t>Film article; downloaded as raw wikitext.</t>
        </is>
      </c>
    </row>
    <row r="72" ht="49" customHeight="1">
      <c r="A72" s="15" t="inlineStr">
        <is>
          <t>SOURCE-071</t>
        </is>
      </c>
      <c r="B72" s="5" t="inlineStr">
        <is>
          <t>FILM-084</t>
        </is>
      </c>
      <c r="C72" s="5" t="inlineStr">
        <is>
          <t>PAIR-048; PAIR-049</t>
        </is>
      </c>
      <c r="D72" s="5" t="inlineStr">
        <is>
          <t>Junoon (1978 film)</t>
        </is>
      </c>
      <c r="E72" s="5" t="inlineStr">
        <is>
          <t>Wikipedia</t>
        </is>
      </c>
      <c r="F72" s="5" t="n"/>
      <c r="G72" s="5" t="n"/>
      <c r="H72" s="22" t="inlineStr">
        <is>
          <t>https://en.wikipedia.org/wiki/Junoon_(1978_film)</t>
        </is>
      </c>
      <c r="I72" s="16" t="n">
        <v>46286</v>
      </c>
      <c r="J72" s="5" t="inlineStr">
        <is>
          <t>Infobox: release date, language, runtime, director, producers, writers, source material, song composer, lyricist, billing position.</t>
        </is>
      </c>
      <c r="K72" s="5" t="inlineStr">
        <is>
          <t>Reference encyclopedia</t>
        </is>
      </c>
      <c r="L72" s="5" t="inlineStr">
        <is>
          <t>C</t>
        </is>
      </c>
      <c r="M72" s="5" t="inlineStr">
        <is>
          <t>Film article; downloaded as raw wikitext.</t>
        </is>
      </c>
    </row>
    <row r="73" ht="49" customHeight="1">
      <c r="A73" s="15" t="inlineStr">
        <is>
          <t>SOURCE-072</t>
        </is>
      </c>
      <c r="B73" s="5" t="inlineStr">
        <is>
          <t>FILM-086</t>
        </is>
      </c>
      <c r="C73" s="5" t="n"/>
      <c r="D73" s="5" t="inlineStr">
        <is>
          <t>Duniya Meri Jeb Mein</t>
        </is>
      </c>
      <c r="E73" s="5" t="inlineStr">
        <is>
          <t>Wikipedia</t>
        </is>
      </c>
      <c r="F73" s="5" t="n"/>
      <c r="G73" s="5" t="n"/>
      <c r="H73" s="22" t="inlineStr">
        <is>
          <t>https://en.wikipedia.org/wiki/Duniya_Meri_Jeb_Mein</t>
        </is>
      </c>
      <c r="I73" s="16" t="n">
        <v>46286</v>
      </c>
      <c r="J73" s="5" t="inlineStr">
        <is>
          <t>Infobox: release date, language, director, producers, writers, song composer, lyricist, billing position.</t>
        </is>
      </c>
      <c r="K73" s="5" t="inlineStr">
        <is>
          <t>Reference encyclopedia</t>
        </is>
      </c>
      <c r="L73" s="5" t="inlineStr">
        <is>
          <t>C</t>
        </is>
      </c>
      <c r="M73" s="5" t="inlineStr">
        <is>
          <t>Film article; downloaded as raw wikitext.</t>
        </is>
      </c>
    </row>
    <row r="74" ht="64" customHeight="1">
      <c r="A74" s="15" t="inlineStr">
        <is>
          <t>SOURCE-073</t>
        </is>
      </c>
      <c r="B74" s="5" t="inlineStr">
        <is>
          <t>FILM-085</t>
        </is>
      </c>
      <c r="C74" s="5" t="inlineStr">
        <is>
          <t>PAIR-050</t>
        </is>
      </c>
      <c r="D74" s="5" t="inlineStr">
        <is>
          <t>Kaala Patthar</t>
        </is>
      </c>
      <c r="E74" s="5" t="inlineStr">
        <is>
          <t>Wikipedia</t>
        </is>
      </c>
      <c r="F74" s="5" t="n"/>
      <c r="G74" s="5" t="n"/>
      <c r="H74" s="22" t="inlineStr">
        <is>
          <t>https://en.wikipedia.org/wiki/Kaala_Patthar</t>
        </is>
      </c>
      <c r="I74" s="16" t="n">
        <v>46286</v>
      </c>
      <c r="J74" s="5" t="inlineStr">
        <is>
          <t>Infobox: release date, language, runtime, director, producers, production banner, writers, source material, song composer, background score composer, lyricist, billing position.</t>
        </is>
      </c>
      <c r="K74" s="5" t="inlineStr">
        <is>
          <t>Reference encyclopedia</t>
        </is>
      </c>
      <c r="L74" s="5" t="inlineStr">
        <is>
          <t>C</t>
        </is>
      </c>
      <c r="M74" s="5" t="inlineStr">
        <is>
          <t>Film article; downloaded as raw wikitext.</t>
        </is>
      </c>
    </row>
    <row r="75" ht="49" customHeight="1">
      <c r="A75" s="15" t="inlineStr">
        <is>
          <t>SOURCE-074</t>
        </is>
      </c>
      <c r="B75" s="5" t="inlineStr">
        <is>
          <t>FILM-087</t>
        </is>
      </c>
      <c r="C75" s="5" t="n"/>
      <c r="D75" s="5" t="inlineStr">
        <is>
          <t>Suhaag (1979 film)</t>
        </is>
      </c>
      <c r="E75" s="5" t="inlineStr">
        <is>
          <t>Wikipedia</t>
        </is>
      </c>
      <c r="F75" s="5" t="n"/>
      <c r="G75" s="5" t="n"/>
      <c r="H75" s="22" t="inlineStr">
        <is>
          <t>https://en.wikipedia.org/wiki/Suhaag_(1979_film)</t>
        </is>
      </c>
      <c r="I75" s="16" t="n">
        <v>46286</v>
      </c>
      <c r="J75" s="5" t="inlineStr">
        <is>
          <t>Infobox: release date, language, runtime, director, producers, writers, song composer, billing position, budget, currency.</t>
        </is>
      </c>
      <c r="K75" s="5" t="inlineStr">
        <is>
          <t>Reference encyclopedia</t>
        </is>
      </c>
      <c r="L75" s="5" t="inlineStr">
        <is>
          <t>C</t>
        </is>
      </c>
      <c r="M75" s="5" t="inlineStr">
        <is>
          <t>Film article; downloaded as raw wikitext.</t>
        </is>
      </c>
    </row>
    <row r="76" ht="49" customHeight="1">
      <c r="A76" s="15" t="inlineStr">
        <is>
          <t>SOURCE-075</t>
        </is>
      </c>
      <c r="B76" s="5" t="inlineStr">
        <is>
          <t>FILM-091</t>
        </is>
      </c>
      <c r="C76" s="5" t="inlineStr">
        <is>
          <t>PAIR-051</t>
        </is>
      </c>
      <c r="D76" s="5" t="inlineStr">
        <is>
          <t>Kali Ghata (1980 film)</t>
        </is>
      </c>
      <c r="E76" s="5" t="inlineStr">
        <is>
          <t>Wikipedia</t>
        </is>
      </c>
      <c r="F76" s="5" t="n"/>
      <c r="G76" s="5" t="n"/>
      <c r="H76" s="22" t="inlineStr">
        <is>
          <t>https://en.wikipedia.org/wiki/Kali_Ghata_(1980_film)</t>
        </is>
      </c>
      <c r="I76" s="16" t="n">
        <v>46286</v>
      </c>
      <c r="J76" s="5" t="inlineStr">
        <is>
          <t>Infobox: release date, language, director, producers, writers, song composer, lyricist, billing position.</t>
        </is>
      </c>
      <c r="K76" s="5" t="inlineStr">
        <is>
          <t>Reference encyclopedia</t>
        </is>
      </c>
      <c r="L76" s="5" t="inlineStr">
        <is>
          <t>C</t>
        </is>
      </c>
      <c r="M76" s="5" t="inlineStr">
        <is>
          <t>Film article; downloaded as raw wikitext.</t>
        </is>
      </c>
    </row>
    <row r="77" ht="49" customHeight="1">
      <c r="A77" s="15" t="inlineStr">
        <is>
          <t>SOURCE-076</t>
        </is>
      </c>
      <c r="B77" s="5" t="inlineStr">
        <is>
          <t>FILM-092</t>
        </is>
      </c>
      <c r="C77" s="5" t="inlineStr">
        <is>
          <t>PAIR-052</t>
        </is>
      </c>
      <c r="D77" s="5" t="inlineStr">
        <is>
          <t>Do Aur Do Paanch</t>
        </is>
      </c>
      <c r="E77" s="5" t="inlineStr">
        <is>
          <t>Wikipedia</t>
        </is>
      </c>
      <c r="F77" s="5" t="n"/>
      <c r="G77" s="5" t="n"/>
      <c r="H77" s="22" t="inlineStr">
        <is>
          <t>https://en.wikipedia.org/wiki/Do_Aur_Do_Paanch</t>
        </is>
      </c>
      <c r="I77" s="16" t="n">
        <v>46286</v>
      </c>
      <c r="J77" s="5" t="inlineStr">
        <is>
          <t>Infobox: release date, language, director, producers, production banner, writers, song composer, billing position.</t>
        </is>
      </c>
      <c r="K77" s="5" t="inlineStr">
        <is>
          <t>Reference encyclopedia</t>
        </is>
      </c>
      <c r="L77" s="5" t="inlineStr">
        <is>
          <t>C</t>
        </is>
      </c>
      <c r="M77" s="5" t="inlineStr">
        <is>
          <t>Film article; downloaded as raw wikitext.</t>
        </is>
      </c>
    </row>
    <row r="78" ht="49" customHeight="1">
      <c r="A78" s="15" t="inlineStr">
        <is>
          <t>SOURCE-077</t>
        </is>
      </c>
      <c r="B78" s="5" t="inlineStr">
        <is>
          <t>FILM-093</t>
        </is>
      </c>
      <c r="C78" s="5" t="inlineStr">
        <is>
          <t>PAIR-053</t>
        </is>
      </c>
      <c r="D78" s="5" t="inlineStr">
        <is>
          <t>Neeyat (1980 film)</t>
        </is>
      </c>
      <c r="E78" s="5" t="inlineStr">
        <is>
          <t>Wikipedia</t>
        </is>
      </c>
      <c r="F78" s="5" t="n"/>
      <c r="G78" s="5" t="n"/>
      <c r="H78" s="22" t="inlineStr">
        <is>
          <t>https://en.wikipedia.org/wiki/Neeyat_(1980_film)</t>
        </is>
      </c>
      <c r="I78" s="16" t="n">
        <v>46286</v>
      </c>
      <c r="J78" s="5" t="inlineStr">
        <is>
          <t>Infobox: release date, language, runtime, director, producers, production banner, writers, song composer, billing position.</t>
        </is>
      </c>
      <c r="K78" s="5" t="inlineStr">
        <is>
          <t>Reference encyclopedia</t>
        </is>
      </c>
      <c r="L78" s="5" t="inlineStr">
        <is>
          <t>C</t>
        </is>
      </c>
      <c r="M78" s="5" t="inlineStr">
        <is>
          <t>Film article; downloaded as raw wikitext.</t>
        </is>
      </c>
    </row>
    <row r="79" ht="64" customHeight="1">
      <c r="A79" s="15" t="inlineStr">
        <is>
          <t>SOURCE-078</t>
        </is>
      </c>
      <c r="B79" s="5" t="inlineStr">
        <is>
          <t>FILM-094</t>
        </is>
      </c>
      <c r="C79" s="5" t="inlineStr">
        <is>
          <t>PAIR-054</t>
        </is>
      </c>
      <c r="D79" s="5" t="inlineStr">
        <is>
          <t>Shaan (1980 film)</t>
        </is>
      </c>
      <c r="E79" s="5" t="inlineStr">
        <is>
          <t>Wikipedia</t>
        </is>
      </c>
      <c r="F79" s="5" t="n"/>
      <c r="G79" s="5" t="n"/>
      <c r="H79" s="22" t="inlineStr">
        <is>
          <t>https://en.wikipedia.org/wiki/Shaan_(1980_film)</t>
        </is>
      </c>
      <c r="I79" s="16" t="n">
        <v>46286</v>
      </c>
      <c r="J79" s="5" t="inlineStr">
        <is>
          <t>Infobox: release date, language, runtime, director, producers, production banner, writers, song composer, lyricist, billing position, budget, currency.</t>
        </is>
      </c>
      <c r="K79" s="5" t="inlineStr">
        <is>
          <t>Reference encyclopedia</t>
        </is>
      </c>
      <c r="L79" s="5" t="inlineStr">
        <is>
          <t>C</t>
        </is>
      </c>
      <c r="M79" s="5" t="inlineStr">
        <is>
          <t>Film article; downloaded as raw wikitext.</t>
        </is>
      </c>
    </row>
    <row r="80" ht="49" customHeight="1">
      <c r="A80" s="15" t="inlineStr">
        <is>
          <t>SOURCE-079</t>
        </is>
      </c>
      <c r="B80" s="5" t="inlineStr">
        <is>
          <t>FILM-097</t>
        </is>
      </c>
      <c r="C80" s="5" t="n"/>
      <c r="D80" s="5" t="inlineStr">
        <is>
          <t>Kranti</t>
        </is>
      </c>
      <c r="E80" s="5" t="inlineStr">
        <is>
          <t>Wikipedia</t>
        </is>
      </c>
      <c r="F80" s="5" t="n"/>
      <c r="G80" s="5" t="n"/>
      <c r="H80" s="22" t="inlineStr">
        <is>
          <t>https://en.wikipedia.org/wiki/Kranti</t>
        </is>
      </c>
      <c r="I80" s="16" t="n">
        <v>46286</v>
      </c>
      <c r="J80" s="5" t="inlineStr">
        <is>
          <t>Infobox: release date, language, runtime, director, producers, writers, song composer, lyricist, billing position.</t>
        </is>
      </c>
      <c r="K80" s="5" t="inlineStr">
        <is>
          <t>Reference encyclopedia</t>
        </is>
      </c>
      <c r="L80" s="5" t="inlineStr">
        <is>
          <t>C</t>
        </is>
      </c>
      <c r="M80" s="5" t="inlineStr">
        <is>
          <t>Film article; downloaded as raw wikitext.</t>
        </is>
      </c>
    </row>
    <row r="81" ht="64" customHeight="1">
      <c r="A81" s="15" t="inlineStr">
        <is>
          <t>SOURCE-080</t>
        </is>
      </c>
      <c r="B81" s="5" t="inlineStr">
        <is>
          <t>FILM-098</t>
        </is>
      </c>
      <c r="C81" s="5" t="inlineStr">
        <is>
          <t>PAIR-057</t>
        </is>
      </c>
      <c r="D81" s="5" t="inlineStr">
        <is>
          <t>Krodhi</t>
        </is>
      </c>
      <c r="E81" s="5" t="inlineStr">
        <is>
          <t>Wikipedia</t>
        </is>
      </c>
      <c r="F81" s="5" t="n"/>
      <c r="G81" s="5" t="n"/>
      <c r="H81" s="22" t="inlineStr">
        <is>
          <t>https://en.wikipedia.org/wiki/Krodhi</t>
        </is>
      </c>
      <c r="I81" s="16" t="n">
        <v>46286</v>
      </c>
      <c r="J81" s="5" t="inlineStr">
        <is>
          <t>Infobox: release date, language, runtime, director, producers, production banner, writers, song composer, background score composer, lyricist, billing position.</t>
        </is>
      </c>
      <c r="K81" s="5" t="inlineStr">
        <is>
          <t>Reference encyclopedia</t>
        </is>
      </c>
      <c r="L81" s="5" t="inlineStr">
        <is>
          <t>C</t>
        </is>
      </c>
      <c r="M81" s="5" t="inlineStr">
        <is>
          <t>Film article; downloaded as raw wikitext.</t>
        </is>
      </c>
    </row>
    <row r="82" ht="49" customHeight="1">
      <c r="A82" s="15" t="inlineStr">
        <is>
          <t>SOURCE-081</t>
        </is>
      </c>
      <c r="B82" s="5" t="inlineStr">
        <is>
          <t>FILM-100</t>
        </is>
      </c>
      <c r="C82" s="5" t="n"/>
      <c r="D82" s="5" t="inlineStr">
        <is>
          <t>Kalyug (1981 film)</t>
        </is>
      </c>
      <c r="E82" s="5" t="inlineStr">
        <is>
          <t>Wikipedia</t>
        </is>
      </c>
      <c r="F82" s="5" t="n"/>
      <c r="G82" s="5" t="n"/>
      <c r="H82" s="22" t="inlineStr">
        <is>
          <t>https://en.wikipedia.org/wiki/Kalyug_(1981_film)</t>
        </is>
      </c>
      <c r="I82" s="16" t="n">
        <v>46286</v>
      </c>
      <c r="J82" s="5" t="inlineStr">
        <is>
          <t>Infobox: release date, language, runtime, director, producers, writers, source material, song composer, billing position.</t>
        </is>
      </c>
      <c r="K82" s="5" t="inlineStr">
        <is>
          <t>Reference encyclopedia</t>
        </is>
      </c>
      <c r="L82" s="5" t="inlineStr">
        <is>
          <t>C</t>
        </is>
      </c>
      <c r="M82" s="5" t="inlineStr">
        <is>
          <t>Film article; downloaded as raw wikitext.</t>
        </is>
      </c>
    </row>
    <row r="83" ht="49" customHeight="1">
      <c r="A83" s="15" t="inlineStr">
        <is>
          <t>SOURCE-082</t>
        </is>
      </c>
      <c r="B83" s="5" t="inlineStr">
        <is>
          <t>FILM-101</t>
        </is>
      </c>
      <c r="C83" s="5" t="inlineStr">
        <is>
          <t>PAIR-058</t>
        </is>
      </c>
      <c r="D83" s="5" t="inlineStr">
        <is>
          <t>Silsila (1981 film)</t>
        </is>
      </c>
      <c r="E83" s="5" t="inlineStr">
        <is>
          <t>Wikipedia</t>
        </is>
      </c>
      <c r="F83" s="5" t="n"/>
      <c r="G83" s="5" t="n"/>
      <c r="H83" s="22" t="inlineStr">
        <is>
          <t>https://en.wikipedia.org/wiki/Silsila_(1981_film)</t>
        </is>
      </c>
      <c r="I83" s="16" t="n">
        <v>46286</v>
      </c>
      <c r="J83" s="5" t="inlineStr">
        <is>
          <t>Infobox: release date, language, runtime, director, producers, production banner, writers, song composer, lyricist, billing position.</t>
        </is>
      </c>
      <c r="K83" s="5" t="inlineStr">
        <is>
          <t>Reference encyclopedia</t>
        </is>
      </c>
      <c r="L83" s="5" t="inlineStr">
        <is>
          <t>C</t>
        </is>
      </c>
      <c r="M83" s="5" t="inlineStr">
        <is>
          <t>Film article; downloaded as raw wikitext.</t>
        </is>
      </c>
    </row>
    <row r="84" ht="49" customHeight="1">
      <c r="A84" s="15" t="inlineStr">
        <is>
          <t>SOURCE-083</t>
        </is>
      </c>
      <c r="B84" s="5" t="inlineStr">
        <is>
          <t>FILM-095</t>
        </is>
      </c>
      <c r="C84" s="5" t="inlineStr">
        <is>
          <t>PAIR-055; PAIR-056</t>
        </is>
      </c>
      <c r="D84" s="5" t="inlineStr">
        <is>
          <t>Baseraa</t>
        </is>
      </c>
      <c r="E84" s="5" t="inlineStr">
        <is>
          <t>Wikipedia</t>
        </is>
      </c>
      <c r="F84" s="5" t="n"/>
      <c r="G84" s="5" t="n"/>
      <c r="H84" s="22" t="inlineStr">
        <is>
          <t>https://en.wikipedia.org/wiki/Baseraa</t>
        </is>
      </c>
      <c r="I84" s="16" t="n">
        <v>46286</v>
      </c>
      <c r="J84" s="5" t="inlineStr">
        <is>
          <t>Infobox: release date, language, runtime, director, producers, writers, song composer, lyricist, billing position.</t>
        </is>
      </c>
      <c r="K84" s="5" t="inlineStr">
        <is>
          <t>Reference encyclopedia</t>
        </is>
      </c>
      <c r="L84" s="5" t="inlineStr">
        <is>
          <t>C</t>
        </is>
      </c>
      <c r="M84" s="5" t="inlineStr">
        <is>
          <t>Film article; downloaded as raw wikitext.</t>
        </is>
      </c>
    </row>
    <row r="85" ht="49" customHeight="1">
      <c r="A85" s="15" t="inlineStr">
        <is>
          <t>SOURCE-084</t>
        </is>
      </c>
      <c r="B85" s="5" t="inlineStr">
        <is>
          <t>FILM-099</t>
        </is>
      </c>
      <c r="C85" s="5" t="n"/>
      <c r="D85" s="5" t="inlineStr">
        <is>
          <t>Maan Gaye Ustaad</t>
        </is>
      </c>
      <c r="E85" s="5" t="inlineStr">
        <is>
          <t>Wikipedia</t>
        </is>
      </c>
      <c r="F85" s="5" t="n"/>
      <c r="G85" s="5" t="n"/>
      <c r="H85" s="22" t="inlineStr">
        <is>
          <t>https://en.wikipedia.org/wiki/Maan_Gaye_Ustaad</t>
        </is>
      </c>
      <c r="I85" s="16" t="n">
        <v>46286</v>
      </c>
      <c r="J85" s="5" t="inlineStr">
        <is>
          <t>Infobox: release date, language, director, producers, production banner, song composer, billing position.</t>
        </is>
      </c>
      <c r="K85" s="5" t="inlineStr">
        <is>
          <t>Reference encyclopedia</t>
        </is>
      </c>
      <c r="L85" s="5" t="inlineStr">
        <is>
          <t>C</t>
        </is>
      </c>
      <c r="M85" s="5" t="inlineStr">
        <is>
          <t>Film article; downloaded as raw wikitext.</t>
        </is>
      </c>
    </row>
    <row r="86" ht="34" customHeight="1">
      <c r="A86" s="15" t="inlineStr">
        <is>
          <t>SOURCE-085</t>
        </is>
      </c>
      <c r="B86" s="5" t="inlineStr">
        <is>
          <t>FILM-104</t>
        </is>
      </c>
      <c r="C86" s="5" t="inlineStr">
        <is>
          <t>PAIR-061</t>
        </is>
      </c>
      <c r="D86" s="5" t="inlineStr">
        <is>
          <t>Vakil Babu</t>
        </is>
      </c>
      <c r="E86" s="5" t="inlineStr">
        <is>
          <t>Wikipedia</t>
        </is>
      </c>
      <c r="F86" s="5" t="n"/>
      <c r="G86" s="5" t="n"/>
      <c r="H86" s="22" t="inlineStr">
        <is>
          <t>https://en.wikipedia.org/wiki/Vakil_Babu</t>
        </is>
      </c>
      <c r="I86" s="16" t="n">
        <v>46286</v>
      </c>
      <c r="J86" s="5" t="inlineStr">
        <is>
          <t>Infobox: release date, language, director, producers, writers, song composer, billing position.</t>
        </is>
      </c>
      <c r="K86" s="5" t="inlineStr">
        <is>
          <t>Reference encyclopedia</t>
        </is>
      </c>
      <c r="L86" s="5" t="inlineStr">
        <is>
          <t>C</t>
        </is>
      </c>
      <c r="M86" s="5" t="inlineStr">
        <is>
          <t>Film article; downloaded as raw wikitext.</t>
        </is>
      </c>
    </row>
    <row r="87" ht="49" customHeight="1">
      <c r="A87" s="15" t="inlineStr">
        <is>
          <t>SOURCE-086</t>
        </is>
      </c>
      <c r="B87" s="5" t="inlineStr">
        <is>
          <t>FILM-103</t>
        </is>
      </c>
      <c r="C87" s="5" t="inlineStr">
        <is>
          <t>PAIR-060</t>
        </is>
      </c>
      <c r="D87" s="5" t="inlineStr">
        <is>
          <t>Vijeta (1982 film)</t>
        </is>
      </c>
      <c r="E87" s="5" t="inlineStr">
        <is>
          <t>Wikipedia</t>
        </is>
      </c>
      <c r="F87" s="5" t="n"/>
      <c r="G87" s="5" t="n"/>
      <c r="H87" s="22" t="inlineStr">
        <is>
          <t>https://en.wikipedia.org/wiki/Vijeta_(1982_film)</t>
        </is>
      </c>
      <c r="I87" s="16" t="n">
        <v>46286</v>
      </c>
      <c r="J87" s="5" t="inlineStr">
        <is>
          <t>Infobox: release date, language, runtime, director, producers, writers, song composer, background score composer, billing position.</t>
        </is>
      </c>
      <c r="K87" s="5" t="inlineStr">
        <is>
          <t>Reference encyclopedia</t>
        </is>
      </c>
      <c r="L87" s="5" t="inlineStr">
        <is>
          <t>C</t>
        </is>
      </c>
      <c r="M87" s="5" t="inlineStr">
        <is>
          <t>Film article; downloaded as raw wikitext.</t>
        </is>
      </c>
    </row>
    <row r="88" ht="49" customHeight="1">
      <c r="A88" s="15" t="inlineStr">
        <is>
          <t>SOURCE-087</t>
        </is>
      </c>
      <c r="B88" s="5" t="inlineStr">
        <is>
          <t>FILM-105</t>
        </is>
      </c>
      <c r="C88" s="5" t="inlineStr">
        <is>
          <t>PAIR-062</t>
        </is>
      </c>
      <c r="D88" s="5" t="inlineStr">
        <is>
          <t>Namak Halaal</t>
        </is>
      </c>
      <c r="E88" s="5" t="inlineStr">
        <is>
          <t>Wikipedia</t>
        </is>
      </c>
      <c r="F88" s="5" t="n"/>
      <c r="G88" s="5" t="n"/>
      <c r="H88" s="22" t="inlineStr">
        <is>
          <t>https://en.wikipedia.org/wiki/Namak_Halaal</t>
        </is>
      </c>
      <c r="I88" s="16" t="n">
        <v>46286</v>
      </c>
      <c r="J88" s="5" t="inlineStr">
        <is>
          <t>Infobox: release date, language, runtime, director, producers, writers, song composer, lyricist, billing position.</t>
        </is>
      </c>
      <c r="K88" s="5" t="inlineStr">
        <is>
          <t>Reference encyclopedia</t>
        </is>
      </c>
      <c r="L88" s="5" t="inlineStr">
        <is>
          <t>C</t>
        </is>
      </c>
      <c r="M88" s="5" t="inlineStr">
        <is>
          <t>Film article; downloaded as raw wikitext.</t>
        </is>
      </c>
    </row>
    <row r="89" ht="49" customHeight="1">
      <c r="A89" s="15" t="inlineStr">
        <is>
          <t>SOURCE-088</t>
        </is>
      </c>
      <c r="B89" s="5" t="inlineStr">
        <is>
          <t>FILM-106</t>
        </is>
      </c>
      <c r="C89" s="5" t="inlineStr">
        <is>
          <t>PAIR-063</t>
        </is>
      </c>
      <c r="D89" s="5" t="inlineStr">
        <is>
          <t>Sawaal (film)</t>
        </is>
      </c>
      <c r="E89" s="5" t="inlineStr">
        <is>
          <t>Wikipedia</t>
        </is>
      </c>
      <c r="F89" s="5" t="n"/>
      <c r="G89" s="5" t="n"/>
      <c r="H89" s="22" t="inlineStr">
        <is>
          <t>https://en.wikipedia.org/wiki/Sawaal_(film)</t>
        </is>
      </c>
      <c r="I89" s="16" t="n">
        <v>46286</v>
      </c>
      <c r="J89" s="5" t="inlineStr">
        <is>
          <t>Infobox: release date, language, runtime, director, producers, production banner, writers, song composer, lyricist, billing position.</t>
        </is>
      </c>
      <c r="K89" s="5" t="inlineStr">
        <is>
          <t>Reference encyclopedia</t>
        </is>
      </c>
      <c r="L89" s="5" t="inlineStr">
        <is>
          <t>C</t>
        </is>
      </c>
      <c r="M89" s="5" t="inlineStr">
        <is>
          <t>Film article; downloaded as raw wikitext.</t>
        </is>
      </c>
    </row>
    <row r="90" ht="49" customHeight="1">
      <c r="A90" s="15" t="inlineStr">
        <is>
          <t>SOURCE-089</t>
        </is>
      </c>
      <c r="B90" s="5" t="inlineStr">
        <is>
          <t>FILM-102</t>
        </is>
      </c>
      <c r="C90" s="5" t="inlineStr">
        <is>
          <t>PAIR-059</t>
        </is>
      </c>
      <c r="D90" s="5" t="inlineStr">
        <is>
          <t>Bezubaan</t>
        </is>
      </c>
      <c r="E90" s="5" t="inlineStr">
        <is>
          <t>Wikipedia</t>
        </is>
      </c>
      <c r="F90" s="5" t="n"/>
      <c r="G90" s="5" t="n"/>
      <c r="H90" s="22" t="inlineStr">
        <is>
          <t>https://en.wikipedia.org/wiki/Bezubaan</t>
        </is>
      </c>
      <c r="I90" s="16" t="n">
        <v>46286</v>
      </c>
      <c r="J90" s="5" t="inlineStr">
        <is>
          <t>Infobox: release date, language, director, producers, production banner, writers, source material, song composer, billing position.</t>
        </is>
      </c>
      <c r="K90" s="5" t="inlineStr">
        <is>
          <t>Reference encyclopedia</t>
        </is>
      </c>
      <c r="L90" s="5" t="inlineStr">
        <is>
          <t>C</t>
        </is>
      </c>
      <c r="M90" s="5" t="inlineStr">
        <is>
          <t>Film article; downloaded as raw wikitext.</t>
        </is>
      </c>
    </row>
    <row r="91" ht="64" customHeight="1">
      <c r="A91" s="15" t="inlineStr">
        <is>
          <t>SOURCE-090</t>
        </is>
      </c>
      <c r="B91" s="5" t="inlineStr">
        <is>
          <t>FILM-109</t>
        </is>
      </c>
      <c r="C91" s="5" t="inlineStr">
        <is>
          <t>PAIR-066</t>
        </is>
      </c>
      <c r="D91" s="5" t="inlineStr">
        <is>
          <t>Heat and Dust (film)</t>
        </is>
      </c>
      <c r="E91" s="5" t="inlineStr">
        <is>
          <t>Wikipedia</t>
        </is>
      </c>
      <c r="F91" s="5" t="n"/>
      <c r="G91" s="5" t="n"/>
      <c r="H91" s="22" t="inlineStr">
        <is>
          <t>https://en.wikipedia.org/wiki/Heat_and_Dust_(film)</t>
        </is>
      </c>
      <c r="I91" s="16" t="n">
        <v>46286</v>
      </c>
      <c r="J91" s="5" t="inlineStr">
        <is>
          <t>Infobox: release date, language, runtime, director, producers, production banner, writers, source material, song composer, billing position, budget, overseas gross, currency.</t>
        </is>
      </c>
      <c r="K91" s="5" t="inlineStr">
        <is>
          <t>Reference encyclopedia</t>
        </is>
      </c>
      <c r="L91" s="5" t="inlineStr">
        <is>
          <t>C</t>
        </is>
      </c>
      <c r="M91" s="5" t="inlineStr">
        <is>
          <t>Film article; downloaded as raw wikitext.</t>
        </is>
      </c>
    </row>
    <row r="92" ht="49" customHeight="1">
      <c r="A92" s="15" t="inlineStr">
        <is>
          <t>SOURCE-091</t>
        </is>
      </c>
      <c r="B92" s="5" t="inlineStr">
        <is>
          <t>FILM-110</t>
        </is>
      </c>
      <c r="C92" s="5" t="inlineStr">
        <is>
          <t>PAIR-067</t>
        </is>
      </c>
      <c r="D92" s="5" t="inlineStr">
        <is>
          <t>Door-Desh</t>
        </is>
      </c>
      <c r="E92" s="5" t="inlineStr">
        <is>
          <t>Wikipedia</t>
        </is>
      </c>
      <c r="F92" s="5" t="n"/>
      <c r="G92" s="5" t="n"/>
      <c r="H92" s="22" t="inlineStr">
        <is>
          <t>https://en.wikipedia.org/wiki/Door-Desh</t>
        </is>
      </c>
      <c r="I92" s="16" t="n">
        <v>46286</v>
      </c>
      <c r="J92" s="5" t="inlineStr">
        <is>
          <t>Infobox: release date, language, runtime, director, producers, production banner, writers, song composer, lyricist, billing position.</t>
        </is>
      </c>
      <c r="K92" s="5" t="inlineStr">
        <is>
          <t>Reference encyclopedia</t>
        </is>
      </c>
      <c r="L92" s="5" t="inlineStr">
        <is>
          <t>C</t>
        </is>
      </c>
      <c r="M92" s="5" t="inlineStr">
        <is>
          <t>Film article; downloaded as raw wikitext.</t>
        </is>
      </c>
    </row>
    <row r="93" ht="49" customHeight="1">
      <c r="A93" s="15" t="inlineStr">
        <is>
          <t>SOURCE-092</t>
        </is>
      </c>
      <c r="B93" s="5" t="inlineStr">
        <is>
          <t>FILM-108</t>
        </is>
      </c>
      <c r="C93" s="5" t="inlineStr">
        <is>
          <t>PAIR-064; PAIR-065</t>
        </is>
      </c>
      <c r="D93" s="5" t="inlineStr">
        <is>
          <t>Bandhan Kuchchey Dhaagon Ka</t>
        </is>
      </c>
      <c r="E93" s="5" t="inlineStr">
        <is>
          <t>Wikipedia</t>
        </is>
      </c>
      <c r="F93" s="5" t="n"/>
      <c r="G93" s="5" t="n"/>
      <c r="H93" s="22" t="inlineStr">
        <is>
          <t>https://en.wikipedia.org/wiki/Bandhan_Kuchchey_Dhaagon_Ka</t>
        </is>
      </c>
      <c r="I93" s="16" t="n">
        <v>46286</v>
      </c>
      <c r="J93" s="5" t="inlineStr">
        <is>
          <t>Infobox: release date, language, runtime, director, producers, writers, song composer, billing position.</t>
        </is>
      </c>
      <c r="K93" s="5" t="inlineStr">
        <is>
          <t>Reference encyclopedia</t>
        </is>
      </c>
      <c r="L93" s="5" t="inlineStr">
        <is>
          <t>C</t>
        </is>
      </c>
      <c r="M93" s="5" t="inlineStr">
        <is>
          <t>Film article; downloaded as raw wikitext.</t>
        </is>
      </c>
    </row>
    <row r="94" ht="49" customHeight="1">
      <c r="A94" s="15" t="inlineStr">
        <is>
          <t>SOURCE-093</t>
        </is>
      </c>
      <c r="B94" s="5" t="inlineStr">
        <is>
          <t>FILM-112</t>
        </is>
      </c>
      <c r="C94" s="5" t="inlineStr">
        <is>
          <t>PAIR-068</t>
        </is>
      </c>
      <c r="D94" s="5" t="inlineStr">
        <is>
          <t>Ghar Ek Mandir (film)</t>
        </is>
      </c>
      <c r="E94" s="5" t="inlineStr">
        <is>
          <t>Wikipedia</t>
        </is>
      </c>
      <c r="F94" s="5" t="n"/>
      <c r="G94" s="5" t="n"/>
      <c r="H94" s="22" t="inlineStr">
        <is>
          <t>https://en.wikipedia.org/wiki/Ghar_Ek_Mandir_(film)</t>
        </is>
      </c>
      <c r="I94" s="16" t="n">
        <v>46286</v>
      </c>
      <c r="J94" s="5" t="inlineStr">
        <is>
          <t>Infobox: release date, language, runtime, director, producers, production banner, writers, song composer, lyricist, billing position.</t>
        </is>
      </c>
      <c r="K94" s="5" t="inlineStr">
        <is>
          <t>Reference encyclopedia</t>
        </is>
      </c>
      <c r="L94" s="5" t="inlineStr">
        <is>
          <t>C</t>
        </is>
      </c>
      <c r="M94" s="5" t="inlineStr">
        <is>
          <t>Film article; downloaded as raw wikitext.</t>
        </is>
      </c>
    </row>
    <row r="95" ht="49" customHeight="1">
      <c r="A95" s="15" t="inlineStr">
        <is>
          <t>SOURCE-094</t>
        </is>
      </c>
      <c r="B95" s="5" t="inlineStr">
        <is>
          <t>FILM-113</t>
        </is>
      </c>
      <c r="C95" s="5" t="n"/>
      <c r="D95" s="5" t="inlineStr">
        <is>
          <t>Zameen Aasmaan (1984 film)</t>
        </is>
      </c>
      <c r="E95" s="5" t="inlineStr">
        <is>
          <t>Wikipedia</t>
        </is>
      </c>
      <c r="F95" s="5" t="n"/>
      <c r="G95" s="5" t="n"/>
      <c r="H95" s="22" t="inlineStr">
        <is>
          <t>https://en.wikipedia.org/wiki/Zameen_Aasmaan_(1984_film)</t>
        </is>
      </c>
      <c r="I95" s="16" t="n">
        <v>46286</v>
      </c>
      <c r="J95" s="5" t="inlineStr">
        <is>
          <t>Infobox: release date, language, director, producers, production banner, writers, song composer, lyricist, billing position.</t>
        </is>
      </c>
      <c r="K95" s="5" t="inlineStr">
        <is>
          <t>Reference encyclopedia</t>
        </is>
      </c>
      <c r="L95" s="5" t="inlineStr">
        <is>
          <t>C</t>
        </is>
      </c>
      <c r="M95" s="5" t="inlineStr">
        <is>
          <t>Film article; downloaded as raw wikitext.</t>
        </is>
      </c>
    </row>
    <row r="96" ht="64" customHeight="1">
      <c r="A96" s="15" t="inlineStr">
        <is>
          <t>SOURCE-095</t>
        </is>
      </c>
      <c r="B96" s="5" t="inlineStr">
        <is>
          <t>FILM-114</t>
        </is>
      </c>
      <c r="C96" s="5" t="n"/>
      <c r="D96" s="5" t="inlineStr">
        <is>
          <t>Utsav</t>
        </is>
      </c>
      <c r="E96" s="5" t="inlineStr">
        <is>
          <t>Wikipedia</t>
        </is>
      </c>
      <c r="F96" s="5" t="n"/>
      <c r="G96" s="5" t="n"/>
      <c r="H96" s="22" t="inlineStr">
        <is>
          <t>https://en.wikipedia.org/wiki/Utsav</t>
        </is>
      </c>
      <c r="I96" s="16" t="n">
        <v>46286</v>
      </c>
      <c r="J96" s="5" t="inlineStr">
        <is>
          <t>Infobox: release date, language, runtime, director, producers, production banner, writers, source material, song composer, lyricist, billing position.</t>
        </is>
      </c>
      <c r="K96" s="5" t="inlineStr">
        <is>
          <t>Reference encyclopedia</t>
        </is>
      </c>
      <c r="L96" s="5" t="inlineStr">
        <is>
          <t>C</t>
        </is>
      </c>
      <c r="M96" s="5" t="inlineStr">
        <is>
          <t>Film article; downloaded as raw wikitext.</t>
        </is>
      </c>
    </row>
    <row r="97" ht="49" customHeight="1">
      <c r="A97" s="15" t="inlineStr">
        <is>
          <t>SOURCE-096</t>
        </is>
      </c>
      <c r="B97" s="5" t="inlineStr">
        <is>
          <t>FILM-115</t>
        </is>
      </c>
      <c r="C97" s="5" t="inlineStr">
        <is>
          <t>PAIR-069</t>
        </is>
      </c>
      <c r="D97" s="5" t="inlineStr">
        <is>
          <t>Pighalta Aasman</t>
        </is>
      </c>
      <c r="E97" s="5" t="inlineStr">
        <is>
          <t>Wikipedia</t>
        </is>
      </c>
      <c r="F97" s="5" t="n"/>
      <c r="G97" s="5" t="n"/>
      <c r="H97" s="22" t="inlineStr">
        <is>
          <t>https://en.wikipedia.org/wiki/Pighalta_Aasman</t>
        </is>
      </c>
      <c r="I97" s="16" t="n">
        <v>46286</v>
      </c>
      <c r="J97" s="5" t="inlineStr">
        <is>
          <t>Infobox: release date, language, runtime, director, producers, production banner, writers, song composer, lyricist, billing position.</t>
        </is>
      </c>
      <c r="K97" s="5" t="inlineStr">
        <is>
          <t>Reference encyclopedia</t>
        </is>
      </c>
      <c r="L97" s="5" t="inlineStr">
        <is>
          <t>C</t>
        </is>
      </c>
      <c r="M97" s="5" t="inlineStr">
        <is>
          <t>Film article; downloaded as raw wikitext.</t>
        </is>
      </c>
    </row>
    <row r="98" ht="49" customHeight="1">
      <c r="A98" s="15" t="inlineStr">
        <is>
          <t>SOURCE-097</t>
        </is>
      </c>
      <c r="B98" s="5" t="inlineStr">
        <is>
          <t>FILM-116</t>
        </is>
      </c>
      <c r="C98" s="5" t="inlineStr">
        <is>
          <t>PAIR-070</t>
        </is>
      </c>
      <c r="D98" s="5" t="inlineStr">
        <is>
          <t>Aandhi-Toofan</t>
        </is>
      </c>
      <c r="E98" s="5" t="inlineStr">
        <is>
          <t>Wikipedia</t>
        </is>
      </c>
      <c r="F98" s="5" t="n"/>
      <c r="G98" s="5" t="n"/>
      <c r="H98" s="22" t="inlineStr">
        <is>
          <t>https://en.wikipedia.org/wiki/Aandhi-Toofan</t>
        </is>
      </c>
      <c r="I98" s="16" t="n">
        <v>46286</v>
      </c>
      <c r="J98" s="5" t="inlineStr">
        <is>
          <t>Infobox: release date, language, runtime, director, producers, song composer, lyricist, billing position.</t>
        </is>
      </c>
      <c r="K98" s="5" t="inlineStr">
        <is>
          <t>Reference encyclopedia</t>
        </is>
      </c>
      <c r="L98" s="5" t="inlineStr">
        <is>
          <t>C</t>
        </is>
      </c>
      <c r="M98" s="5" t="inlineStr">
        <is>
          <t>Film article; downloaded as raw wikitext.</t>
        </is>
      </c>
    </row>
    <row r="99" ht="49" customHeight="1">
      <c r="A99" s="15" t="inlineStr">
        <is>
          <t>SOURCE-098</t>
        </is>
      </c>
      <c r="B99" s="5" t="inlineStr">
        <is>
          <t>FILM-117</t>
        </is>
      </c>
      <c r="C99" s="5" t="inlineStr">
        <is>
          <t>PAIR-071</t>
        </is>
      </c>
      <c r="D99" s="5" t="inlineStr">
        <is>
          <t>Bepanaah</t>
        </is>
      </c>
      <c r="E99" s="5" t="inlineStr">
        <is>
          <t>Wikipedia</t>
        </is>
      </c>
      <c r="F99" s="5" t="n"/>
      <c r="G99" s="5" t="n"/>
      <c r="H99" s="22" t="inlineStr">
        <is>
          <t>https://en.wikipedia.org/wiki/Bepanaah</t>
        </is>
      </c>
      <c r="I99" s="16" t="n">
        <v>46286</v>
      </c>
      <c r="J99" s="5" t="inlineStr">
        <is>
          <t>Infobox: release date, language, runtime, director, producers, song composer, lyricist, billing position.</t>
        </is>
      </c>
      <c r="K99" s="5" t="inlineStr">
        <is>
          <t>Reference encyclopedia</t>
        </is>
      </c>
      <c r="L99" s="5" t="inlineStr">
        <is>
          <t>C</t>
        </is>
      </c>
      <c r="M99" s="5" t="inlineStr">
        <is>
          <t>Film article; downloaded as raw wikitext.</t>
        </is>
      </c>
    </row>
    <row r="100" ht="64" customHeight="1">
      <c r="A100" s="15" t="inlineStr">
        <is>
          <t>SOURCE-099</t>
        </is>
      </c>
      <c r="B100" s="5" t="inlineStr">
        <is>
          <t>FILM-118</t>
        </is>
      </c>
      <c r="C100" s="5" t="n"/>
      <c r="D100" s="5" t="inlineStr">
        <is>
          <t>Alag Alag</t>
        </is>
      </c>
      <c r="E100" s="5" t="inlineStr">
        <is>
          <t>Wikipedia</t>
        </is>
      </c>
      <c r="F100" s="5" t="n"/>
      <c r="G100" s="5" t="n"/>
      <c r="H100" s="22" t="inlineStr">
        <is>
          <t>https://en.wikipedia.org/wiki/Alag_Alag</t>
        </is>
      </c>
      <c r="I100" s="16" t="n">
        <v>46286</v>
      </c>
      <c r="J100" s="5" t="inlineStr">
        <is>
          <t>Infobox: release date, language, runtime, director, producers, production banner, writers, source material, song composer, lyricist, billing position.</t>
        </is>
      </c>
      <c r="K100" s="5" t="inlineStr">
        <is>
          <t>Reference encyclopedia</t>
        </is>
      </c>
      <c r="L100" s="5" t="inlineStr">
        <is>
          <t>C</t>
        </is>
      </c>
      <c r="M100" s="5" t="inlineStr">
        <is>
          <t>Film article; downloaded as raw wikitext.</t>
        </is>
      </c>
    </row>
    <row r="101" ht="49" customHeight="1">
      <c r="A101" s="15" t="inlineStr">
        <is>
          <t>SOURCE-100</t>
        </is>
      </c>
      <c r="B101" s="5" t="inlineStr">
        <is>
          <t>FILM-119</t>
        </is>
      </c>
      <c r="C101" s="5" t="n"/>
      <c r="D101" s="5" t="inlineStr">
        <is>
          <t>Bhavani Junction</t>
        </is>
      </c>
      <c r="E101" s="5" t="inlineStr">
        <is>
          <t>Wikipedia</t>
        </is>
      </c>
      <c r="F101" s="5" t="n"/>
      <c r="G101" s="5" t="n"/>
      <c r="H101" s="22" t="inlineStr">
        <is>
          <t>https://en.wikipedia.org/wiki/Bhavani_Junction</t>
        </is>
      </c>
      <c r="I101" s="16" t="n">
        <v>46286</v>
      </c>
      <c r="J101" s="5" t="inlineStr">
        <is>
          <t>Infobox: release date, language, runtime, director, producers, writers, song composer, billing position.</t>
        </is>
      </c>
      <c r="K101" s="5" t="inlineStr">
        <is>
          <t>Reference encyclopedia</t>
        </is>
      </c>
      <c r="L101" s="5" t="inlineStr">
        <is>
          <t>C</t>
        </is>
      </c>
      <c r="M101" s="5" t="inlineStr">
        <is>
          <t>Film article; downloaded as raw wikitext.</t>
        </is>
      </c>
    </row>
    <row r="102" ht="49" customHeight="1">
      <c r="A102" s="15" t="inlineStr">
        <is>
          <t>SOURCE-101</t>
        </is>
      </c>
      <c r="B102" s="5" t="inlineStr">
        <is>
          <t>FILM-123</t>
        </is>
      </c>
      <c r="C102" s="5" t="n"/>
      <c r="D102" s="5" t="inlineStr">
        <is>
          <t>Ilzaam</t>
        </is>
      </c>
      <c r="E102" s="5" t="inlineStr">
        <is>
          <t>Wikipedia</t>
        </is>
      </c>
      <c r="F102" s="5" t="n"/>
      <c r="G102" s="5" t="n"/>
      <c r="H102" s="22" t="inlineStr">
        <is>
          <t>https://en.wikipedia.org/wiki/Ilzaam</t>
        </is>
      </c>
      <c r="I102" s="16" t="n">
        <v>46286</v>
      </c>
      <c r="J102" s="5" t="inlineStr">
        <is>
          <t>Infobox: release date, language, runtime, director, producers, writers, song composer, lyricist, billing position.</t>
        </is>
      </c>
      <c r="K102" s="5" t="inlineStr">
        <is>
          <t>Reference encyclopedia</t>
        </is>
      </c>
      <c r="L102" s="5" t="inlineStr">
        <is>
          <t>C</t>
        </is>
      </c>
      <c r="M102" s="5" t="inlineStr">
        <is>
          <t>Film article; downloaded as raw wikitext.</t>
        </is>
      </c>
    </row>
    <row r="103" ht="49" customHeight="1">
      <c r="A103" s="15" t="inlineStr">
        <is>
          <t>SOURCE-102</t>
        </is>
      </c>
      <c r="B103" s="5" t="inlineStr">
        <is>
          <t>FILM-124</t>
        </is>
      </c>
      <c r="C103" s="5" t="inlineStr">
        <is>
          <t>PAIR-073</t>
        </is>
      </c>
      <c r="D103" s="5" t="inlineStr">
        <is>
          <t>Swati (1986 film)</t>
        </is>
      </c>
      <c r="E103" s="5" t="inlineStr">
        <is>
          <t>Wikipedia</t>
        </is>
      </c>
      <c r="F103" s="5" t="n"/>
      <c r="G103" s="5" t="n"/>
      <c r="H103" s="22" t="inlineStr">
        <is>
          <t>https://en.wikipedia.org/wiki/Swati_(1986_film)</t>
        </is>
      </c>
      <c r="I103" s="16" t="n">
        <v>46286</v>
      </c>
      <c r="J103" s="5" t="inlineStr">
        <is>
          <t>Infobox: release date, language, director, producers, writers, source material, song composer, lyricist, billing position.</t>
        </is>
      </c>
      <c r="K103" s="5" t="inlineStr">
        <is>
          <t>Reference encyclopedia</t>
        </is>
      </c>
      <c r="L103" s="5" t="inlineStr">
        <is>
          <t>C</t>
        </is>
      </c>
      <c r="M103" s="5" t="inlineStr">
        <is>
          <t>Film article; downloaded as raw wikitext.</t>
        </is>
      </c>
    </row>
    <row r="104" ht="49" customHeight="1">
      <c r="A104" s="15" t="inlineStr">
        <is>
          <t>SOURCE-103</t>
        </is>
      </c>
      <c r="B104" s="5" t="inlineStr">
        <is>
          <t>FILM-125</t>
        </is>
      </c>
      <c r="C104" s="5" t="n"/>
      <c r="D104" s="5" t="inlineStr">
        <is>
          <t>Maa Beti</t>
        </is>
      </c>
      <c r="E104" s="5" t="inlineStr">
        <is>
          <t>Wikipedia</t>
        </is>
      </c>
      <c r="F104" s="5" t="n"/>
      <c r="G104" s="5" t="n"/>
      <c r="H104" s="22" t="inlineStr">
        <is>
          <t>https://en.wikipedia.org/wiki/Maa_Beti</t>
        </is>
      </c>
      <c r="I104" s="16" t="n">
        <v>46286</v>
      </c>
      <c r="J104" s="5" t="inlineStr">
        <is>
          <t>Infobox: release date, language, runtime, director, producers, writers, song composer, billing position.</t>
        </is>
      </c>
      <c r="K104" s="5" t="inlineStr">
        <is>
          <t>Reference encyclopedia</t>
        </is>
      </c>
      <c r="L104" s="5" t="inlineStr">
        <is>
          <t>C</t>
        </is>
      </c>
      <c r="M104" s="5" t="inlineStr">
        <is>
          <t>Film article; downloaded as raw wikitext.</t>
        </is>
      </c>
    </row>
    <row r="105" ht="49" customHeight="1">
      <c r="A105" s="15" t="inlineStr">
        <is>
          <t>SOURCE-104</t>
        </is>
      </c>
      <c r="B105" s="5" t="inlineStr">
        <is>
          <t>FILM-120</t>
        </is>
      </c>
      <c r="C105" s="5" t="inlineStr">
        <is>
          <t>PAIR-072</t>
        </is>
      </c>
      <c r="D105" s="5" t="inlineStr">
        <is>
          <t>New Delhi Times</t>
        </is>
      </c>
      <c r="E105" s="5" t="inlineStr">
        <is>
          <t>Wikipedia</t>
        </is>
      </c>
      <c r="F105" s="5" t="n"/>
      <c r="G105" s="5" t="n"/>
      <c r="H105" s="22" t="inlineStr">
        <is>
          <t>https://en.wikipedia.org/wiki/New_Delhi_Times</t>
        </is>
      </c>
      <c r="I105" s="16" t="n">
        <v>46286</v>
      </c>
      <c r="J105" s="5" t="inlineStr">
        <is>
          <t>Infobox: release date, language, runtime, director, producers, writers, song composer, billing position.</t>
        </is>
      </c>
      <c r="K105" s="5" t="inlineStr">
        <is>
          <t>Reference encyclopedia</t>
        </is>
      </c>
      <c r="L105" s="5" t="inlineStr">
        <is>
          <t>C</t>
        </is>
      </c>
      <c r="M105" s="5" t="inlineStr">
        <is>
          <t>Film article; downloaded as raw wikitext.</t>
        </is>
      </c>
    </row>
    <row r="106" ht="34" customHeight="1">
      <c r="A106" s="15" t="inlineStr">
        <is>
          <t>SOURCE-105</t>
        </is>
      </c>
      <c r="B106" s="5" t="inlineStr">
        <is>
          <t>FILM-121</t>
        </is>
      </c>
      <c r="C106" s="5" t="n"/>
      <c r="D106" s="5" t="inlineStr">
        <is>
          <t>Ek Main Aur Ek Tu (1986 film)</t>
        </is>
      </c>
      <c r="E106" s="5" t="inlineStr">
        <is>
          <t>Wikipedia</t>
        </is>
      </c>
      <c r="F106" s="5" t="n"/>
      <c r="G106" s="5" t="n"/>
      <c r="H106" s="22" t="inlineStr">
        <is>
          <t>https://en.wikipedia.org/wiki/Ek_Main_Aur_Ek_Tu_(1986_film)</t>
        </is>
      </c>
      <c r="I106" s="16" t="n">
        <v>46286</v>
      </c>
      <c r="J106" s="5" t="inlineStr">
        <is>
          <t>Infobox: release date, language, director, song composer, billing position.</t>
        </is>
      </c>
      <c r="K106" s="5" t="inlineStr">
        <is>
          <t>Reference encyclopedia</t>
        </is>
      </c>
      <c r="L106" s="5" t="inlineStr">
        <is>
          <t>C</t>
        </is>
      </c>
      <c r="M106" s="5" t="inlineStr">
        <is>
          <t>Film article; downloaded as raw wikitext.</t>
        </is>
      </c>
    </row>
    <row r="107" ht="49" customHeight="1">
      <c r="A107" s="15" t="inlineStr">
        <is>
          <t>SOURCE-106</t>
        </is>
      </c>
      <c r="B107" s="5" t="inlineStr">
        <is>
          <t>FILM-131</t>
        </is>
      </c>
      <c r="C107" s="5" t="n"/>
      <c r="D107" s="5" t="inlineStr">
        <is>
          <t>Ijaazat</t>
        </is>
      </c>
      <c r="E107" s="5" t="inlineStr">
        <is>
          <t>Wikipedia</t>
        </is>
      </c>
      <c r="F107" s="5" t="n"/>
      <c r="G107" s="5" t="n"/>
      <c r="H107" s="22" t="inlineStr">
        <is>
          <t>https://en.wikipedia.org/wiki/Ijaazat</t>
        </is>
      </c>
      <c r="I107" s="16" t="n">
        <v>46286</v>
      </c>
      <c r="J107" s="5" t="inlineStr">
        <is>
          <t>Infobox: release date, language, runtime, director, producers, writers, source material, song composer, lyricist.</t>
        </is>
      </c>
      <c r="K107" s="5" t="inlineStr">
        <is>
          <t>Reference encyclopedia</t>
        </is>
      </c>
      <c r="L107" s="5" t="inlineStr">
        <is>
          <t>C</t>
        </is>
      </c>
      <c r="M107" s="5" t="inlineStr">
        <is>
          <t>Film article; downloaded as raw wikitext.</t>
        </is>
      </c>
    </row>
    <row r="108" ht="49" customHeight="1">
      <c r="A108" s="15" t="inlineStr">
        <is>
          <t>SOURCE-107</t>
        </is>
      </c>
      <c r="B108" s="5" t="inlineStr">
        <is>
          <t>FILM-130</t>
        </is>
      </c>
      <c r="C108" s="5" t="inlineStr">
        <is>
          <t>PAIR-074</t>
        </is>
      </c>
      <c r="D108" s="5" t="inlineStr">
        <is>
          <t>Sindoor (1987 film)</t>
        </is>
      </c>
      <c r="E108" s="5" t="inlineStr">
        <is>
          <t>Wikipedia</t>
        </is>
      </c>
      <c r="F108" s="5" t="n"/>
      <c r="G108" s="5" t="n"/>
      <c r="H108" s="22" t="inlineStr">
        <is>
          <t>https://en.wikipedia.org/wiki/Sindoor_(1987_film)</t>
        </is>
      </c>
      <c r="I108" s="16" t="n">
        <v>46286</v>
      </c>
      <c r="J108" s="5" t="inlineStr">
        <is>
          <t>Infobox: release date, language, runtime, director, producers, production banner, writers, source material, song composer, billing position.</t>
        </is>
      </c>
      <c r="K108" s="5" t="inlineStr">
        <is>
          <t>Reference encyclopedia</t>
        </is>
      </c>
      <c r="L108" s="5" t="inlineStr">
        <is>
          <t>C</t>
        </is>
      </c>
      <c r="M108" s="5" t="inlineStr">
        <is>
          <t>Film article; downloaded as raw wikitext.</t>
        </is>
      </c>
    </row>
    <row r="109" ht="49" customHeight="1">
      <c r="A109" s="15" t="inlineStr">
        <is>
          <t>SOURCE-108</t>
        </is>
      </c>
      <c r="B109" s="5" t="inlineStr">
        <is>
          <t>FILM-132</t>
        </is>
      </c>
      <c r="C109" s="5" t="n"/>
      <c r="D109" s="5" t="inlineStr">
        <is>
          <t>Sammy and Rosie Get Laid</t>
        </is>
      </c>
      <c r="E109" s="5" t="inlineStr">
        <is>
          <t>Wikipedia</t>
        </is>
      </c>
      <c r="F109" s="5" t="n"/>
      <c r="G109" s="5" t="n"/>
      <c r="H109" s="22" t="inlineStr">
        <is>
          <t>https://en.wikipedia.org/wiki/Sammy_and_Rosie_Get_Laid</t>
        </is>
      </c>
      <c r="I109" s="16" t="n">
        <v>46286</v>
      </c>
      <c r="J109" s="5" t="inlineStr">
        <is>
          <t>Infobox: release date, language, runtime, director, producers, production banner, writers, song composer, billing position, budget, currency.</t>
        </is>
      </c>
      <c r="K109" s="5" t="inlineStr">
        <is>
          <t>Reference encyclopedia</t>
        </is>
      </c>
      <c r="L109" s="5" t="inlineStr">
        <is>
          <t>C</t>
        </is>
      </c>
      <c r="M109" s="5" t="inlineStr">
        <is>
          <t>Film article; downloaded as raw wikitext.</t>
        </is>
      </c>
    </row>
    <row r="110" ht="34" customHeight="1">
      <c r="A110" s="15" t="inlineStr">
        <is>
          <t>SOURCE-109</t>
        </is>
      </c>
      <c r="B110" s="5" t="inlineStr">
        <is>
          <t>FILM-129</t>
        </is>
      </c>
      <c r="C110" s="5" t="n"/>
      <c r="D110" s="5" t="inlineStr">
        <is>
          <t>Pyar Ki Jeet (1987 film)</t>
        </is>
      </c>
      <c r="E110" s="5" t="inlineStr">
        <is>
          <t>Wikipedia</t>
        </is>
      </c>
      <c r="F110" s="5" t="n"/>
      <c r="G110" s="5" t="n"/>
      <c r="H110" s="22" t="inlineStr">
        <is>
          <t>https://en.wikipedia.org/wiki/Pyar_Ki_Jeet_(1987_film)</t>
        </is>
      </c>
      <c r="I110" s="16" t="n">
        <v>46286</v>
      </c>
      <c r="J110" s="5" t="inlineStr">
        <is>
          <t>Infobox: release date, language, director, producers, song composer, lyricist, billing position.</t>
        </is>
      </c>
      <c r="K110" s="5" t="inlineStr">
        <is>
          <t>Reference encyclopedia</t>
        </is>
      </c>
      <c r="L110" s="5" t="inlineStr">
        <is>
          <t>C</t>
        </is>
      </c>
      <c r="M110" s="5" t="inlineStr">
        <is>
          <t>Film article; downloaded as raw wikitext.</t>
        </is>
      </c>
    </row>
    <row r="111" ht="34" customHeight="1">
      <c r="A111" s="15" t="inlineStr">
        <is>
          <t>SOURCE-110</t>
        </is>
      </c>
      <c r="B111" s="5" t="inlineStr">
        <is>
          <t>FILM-128</t>
        </is>
      </c>
      <c r="C111" s="5" t="n"/>
      <c r="D111" s="5" t="inlineStr">
        <is>
          <t>Naam O Nishan</t>
        </is>
      </c>
      <c r="E111" s="5" t="inlineStr">
        <is>
          <t>Wikipedia</t>
        </is>
      </c>
      <c r="F111" s="5" t="n"/>
      <c r="G111" s="5" t="n"/>
      <c r="H111" s="22" t="inlineStr">
        <is>
          <t>https://en.wikipedia.org/wiki/Naam_O_Nishan</t>
        </is>
      </c>
      <c r="I111" s="16" t="n">
        <v>46286</v>
      </c>
      <c r="J111" s="5" t="inlineStr">
        <is>
          <t>Infobox: release date, language, director, producers, writers, song composer, lyricist.</t>
        </is>
      </c>
      <c r="K111" s="5" t="inlineStr">
        <is>
          <t>Reference encyclopedia</t>
        </is>
      </c>
      <c r="L111" s="5" t="inlineStr">
        <is>
          <t>C</t>
        </is>
      </c>
      <c r="M111" s="5" t="inlineStr">
        <is>
          <t>Film article; downloaded as raw wikitext.</t>
        </is>
      </c>
    </row>
    <row r="112" ht="49" customHeight="1">
      <c r="A112" s="15" t="inlineStr">
        <is>
          <t>SOURCE-111</t>
        </is>
      </c>
      <c r="B112" s="5" t="inlineStr">
        <is>
          <t>FILM-134</t>
        </is>
      </c>
      <c r="C112" s="5" t="n"/>
      <c r="D112" s="5" t="inlineStr">
        <is>
          <t>Commando (1988 film)</t>
        </is>
      </c>
      <c r="E112" s="5" t="inlineStr">
        <is>
          <t>Wikipedia</t>
        </is>
      </c>
      <c r="F112" s="5" t="n"/>
      <c r="G112" s="5" t="n"/>
      <c r="H112" s="22" t="inlineStr">
        <is>
          <t>https://en.wikipedia.org/wiki/Commando_(1988_film)</t>
        </is>
      </c>
      <c r="I112" s="16" t="n">
        <v>46286</v>
      </c>
      <c r="J112" s="5" t="inlineStr">
        <is>
          <t>Infobox: release date, language, runtime, director, producers, production banner, writers, song composer, lyricist.</t>
        </is>
      </c>
      <c r="K112" s="5" t="inlineStr">
        <is>
          <t>Reference encyclopedia</t>
        </is>
      </c>
      <c r="L112" s="5" t="inlineStr">
        <is>
          <t>C</t>
        </is>
      </c>
      <c r="M112" s="5" t="inlineStr">
        <is>
          <t>Film article; downloaded as raw wikitext.</t>
        </is>
      </c>
    </row>
    <row r="113" ht="49" customHeight="1">
      <c r="A113" s="15" t="inlineStr">
        <is>
          <t>SOURCE-112</t>
        </is>
      </c>
      <c r="B113" s="5" t="inlineStr">
        <is>
          <t>FILM-135</t>
        </is>
      </c>
      <c r="C113" s="5" t="inlineStr">
        <is>
          <t>PAIR-075</t>
        </is>
      </c>
      <c r="D113" s="5" t="inlineStr">
        <is>
          <t>Hum To Chale Pardes</t>
        </is>
      </c>
      <c r="E113" s="5" t="inlineStr">
        <is>
          <t>Wikipedia</t>
        </is>
      </c>
      <c r="F113" s="5" t="n"/>
      <c r="G113" s="5" t="n"/>
      <c r="H113" s="22" t="inlineStr">
        <is>
          <t>https://en.wikipedia.org/wiki/Hum_To_Chale_Pardes</t>
        </is>
      </c>
      <c r="I113" s="16" t="n">
        <v>46286</v>
      </c>
      <c r="J113" s="5" t="inlineStr">
        <is>
          <t>Infobox: release date, language, runtime, director, producers, writers, song composer, lyricist, billing position.</t>
        </is>
      </c>
      <c r="K113" s="5" t="inlineStr">
        <is>
          <t>Reference encyclopedia</t>
        </is>
      </c>
      <c r="L113" s="5" t="inlineStr">
        <is>
          <t>C</t>
        </is>
      </c>
      <c r="M113" s="5" t="inlineStr">
        <is>
          <t>Film article; downloaded as raw wikitext.</t>
        </is>
      </c>
    </row>
    <row r="114" ht="49" customHeight="1">
      <c r="A114" s="15" t="inlineStr">
        <is>
          <t>SOURCE-113</t>
        </is>
      </c>
      <c r="B114" s="5" t="inlineStr">
        <is>
          <t>FILM-136</t>
        </is>
      </c>
      <c r="C114" s="5" t="n"/>
      <c r="D114" s="5" t="inlineStr">
        <is>
          <t>The Deceivers (film)</t>
        </is>
      </c>
      <c r="E114" s="5" t="inlineStr">
        <is>
          <t>Wikipedia</t>
        </is>
      </c>
      <c r="F114" s="5" t="n"/>
      <c r="G114" s="5" t="n"/>
      <c r="H114" s="22" t="inlineStr">
        <is>
          <t>https://en.wikipedia.org/wiki/The_Deceivers_(film)</t>
        </is>
      </c>
      <c r="I114" s="16" t="n">
        <v>46286</v>
      </c>
      <c r="J114" s="5" t="inlineStr">
        <is>
          <t>Infobox: release date, language, runtime, director, producers, writers, source material, song composer, billing position, budget, currency.</t>
        </is>
      </c>
      <c r="K114" s="5" t="inlineStr">
        <is>
          <t>Reference encyclopedia</t>
        </is>
      </c>
      <c r="L114" s="5" t="inlineStr">
        <is>
          <t>C</t>
        </is>
      </c>
      <c r="M114" s="5" t="inlineStr">
        <is>
          <t>Film article; downloaded as raw wikitext.</t>
        </is>
      </c>
    </row>
    <row r="115" ht="34" customHeight="1">
      <c r="A115" s="15" t="inlineStr">
        <is>
          <t>SOURCE-114</t>
        </is>
      </c>
      <c r="B115" s="5" t="inlineStr">
        <is>
          <t>FILM-140</t>
        </is>
      </c>
      <c r="C115" s="5" t="n"/>
      <c r="D115" s="5" t="inlineStr">
        <is>
          <t>Meri Zabaan</t>
        </is>
      </c>
      <c r="E115" s="5" t="inlineStr">
        <is>
          <t>Wikipedia</t>
        </is>
      </c>
      <c r="F115" s="5" t="n"/>
      <c r="G115" s="5" t="n"/>
      <c r="H115" s="22" t="inlineStr">
        <is>
          <t>https://en.wikipedia.org/wiki/Meri_Zabaan</t>
        </is>
      </c>
      <c r="I115" s="16" t="n">
        <v>46286</v>
      </c>
      <c r="J115" s="5" t="inlineStr">
        <is>
          <t>Infobox: release date, language, runtime, director, producers, song composer, billing position.</t>
        </is>
      </c>
      <c r="K115" s="5" t="inlineStr">
        <is>
          <t>Reference encyclopedia</t>
        </is>
      </c>
      <c r="L115" s="5" t="inlineStr">
        <is>
          <t>C</t>
        </is>
      </c>
      <c r="M115" s="5" t="inlineStr">
        <is>
          <t>Film article; downloaded as raw wikitext.</t>
        </is>
      </c>
    </row>
    <row r="116" ht="49" customHeight="1">
      <c r="A116" s="15" t="inlineStr">
        <is>
          <t>SOURCE-115</t>
        </is>
      </c>
      <c r="B116" s="5" t="inlineStr">
        <is>
          <t>FILM-141</t>
        </is>
      </c>
      <c r="C116" s="5" t="n"/>
      <c r="D116" s="5" t="inlineStr">
        <is>
          <t>Farz Ki Jung</t>
        </is>
      </c>
      <c r="E116" s="5" t="inlineStr">
        <is>
          <t>Wikipedia</t>
        </is>
      </c>
      <c r="F116" s="5" t="n"/>
      <c r="G116" s="5" t="n"/>
      <c r="H116" s="22" t="inlineStr">
        <is>
          <t>https://en.wikipedia.org/wiki/Farz_Ki_Jung</t>
        </is>
      </c>
      <c r="I116" s="16" t="n">
        <v>46286</v>
      </c>
      <c r="J116" s="5" t="inlineStr">
        <is>
          <t>Infobox: release date, language, runtime, director, producers, writers, song composer, billing position.</t>
        </is>
      </c>
      <c r="K116" s="5" t="inlineStr">
        <is>
          <t>Reference encyclopedia</t>
        </is>
      </c>
      <c r="L116" s="5" t="inlineStr">
        <is>
          <t>C</t>
        </is>
      </c>
      <c r="M116" s="5" t="inlineStr">
        <is>
          <t>Film article; downloaded as raw wikitext.</t>
        </is>
      </c>
    </row>
    <row r="117" ht="49" customHeight="1">
      <c r="A117" s="15" t="inlineStr">
        <is>
          <t>SOURCE-116</t>
        </is>
      </c>
      <c r="B117" s="5" t="inlineStr">
        <is>
          <t>FILM-142</t>
        </is>
      </c>
      <c r="C117" s="5" t="n"/>
      <c r="D117" s="5" t="inlineStr">
        <is>
          <t>Gair Kanooni</t>
        </is>
      </c>
      <c r="E117" s="5" t="inlineStr">
        <is>
          <t>Wikipedia</t>
        </is>
      </c>
      <c r="F117" s="5" t="n"/>
      <c r="G117" s="5" t="n"/>
      <c r="H117" s="22" t="inlineStr">
        <is>
          <t>https://en.wikipedia.org/wiki/Gair_Kanooni</t>
        </is>
      </c>
      <c r="I117" s="16" t="n">
        <v>46286</v>
      </c>
      <c r="J117" s="5" t="inlineStr">
        <is>
          <t>Infobox: release date, language, director, producers, writers, song composer, lyricist, billing position.</t>
        </is>
      </c>
      <c r="K117" s="5" t="inlineStr">
        <is>
          <t>Reference encyclopedia</t>
        </is>
      </c>
      <c r="L117" s="5" t="inlineStr">
        <is>
          <t>C</t>
        </is>
      </c>
      <c r="M117" s="5" t="inlineStr">
        <is>
          <t>Film article; downloaded as raw wikitext.</t>
        </is>
      </c>
    </row>
    <row r="118" ht="49" customHeight="1">
      <c r="A118" s="15" t="inlineStr">
        <is>
          <t>SOURCE-117</t>
        </is>
      </c>
      <c r="B118" s="5" t="inlineStr">
        <is>
          <t>FILM-143</t>
        </is>
      </c>
      <c r="C118" s="5" t="n"/>
      <c r="D118" s="5" t="inlineStr">
        <is>
          <t>Clerk (1989 film)</t>
        </is>
      </c>
      <c r="E118" s="5" t="inlineStr">
        <is>
          <t>Wikipedia</t>
        </is>
      </c>
      <c r="F118" s="5" t="n"/>
      <c r="G118" s="5" t="n"/>
      <c r="H118" s="22" t="inlineStr">
        <is>
          <t>https://en.wikipedia.org/wiki/Clerk_(1989_film)</t>
        </is>
      </c>
      <c r="I118" s="16" t="n">
        <v>46286</v>
      </c>
      <c r="J118" s="5" t="inlineStr">
        <is>
          <t>Infobox: release date, language, runtime, director, producers, writers, song composer, billing position.</t>
        </is>
      </c>
      <c r="K118" s="5" t="inlineStr">
        <is>
          <t>Reference encyclopedia</t>
        </is>
      </c>
      <c r="L118" s="5" t="inlineStr">
        <is>
          <t>C</t>
        </is>
      </c>
      <c r="M118" s="5" t="inlineStr">
        <is>
          <t>Film article; downloaded as raw wikitext.</t>
        </is>
      </c>
    </row>
    <row r="119" ht="34" customHeight="1">
      <c r="A119" s="15" t="inlineStr">
        <is>
          <t>SOURCE-118</t>
        </is>
      </c>
      <c r="B119" s="5" t="inlineStr">
        <is>
          <t>FILM-147</t>
        </is>
      </c>
      <c r="C119" s="5" t="n"/>
      <c r="D119" s="5" t="inlineStr">
        <is>
          <t>Touhean</t>
        </is>
      </c>
      <c r="E119" s="5" t="inlineStr">
        <is>
          <t>Wikipedia</t>
        </is>
      </c>
      <c r="F119" s="5" t="n"/>
      <c r="G119" s="5" t="n"/>
      <c r="H119" s="22" t="inlineStr">
        <is>
          <t>https://en.wikipedia.org/wiki/Touhean</t>
        </is>
      </c>
      <c r="I119" s="16" t="n">
        <v>46286</v>
      </c>
      <c r="J119" s="5" t="inlineStr">
        <is>
          <t>Infobox: release date, language, runtime, director, producers, song composer.</t>
        </is>
      </c>
      <c r="K119" s="5" t="inlineStr">
        <is>
          <t>Reference encyclopedia</t>
        </is>
      </c>
      <c r="L119" s="5" t="inlineStr">
        <is>
          <t>C</t>
        </is>
      </c>
      <c r="M119" s="5" t="inlineStr">
        <is>
          <t>Film article; downloaded as raw wikitext.</t>
        </is>
      </c>
    </row>
    <row r="120" ht="49" customHeight="1">
      <c r="A120" s="15" t="inlineStr">
        <is>
          <t>SOURCE-119</t>
        </is>
      </c>
      <c r="B120" s="5" t="inlineStr">
        <is>
          <t>FILM-144</t>
        </is>
      </c>
      <c r="C120" s="5" t="inlineStr">
        <is>
          <t>PAIR-076</t>
        </is>
      </c>
      <c r="D120" s="5" t="inlineStr">
        <is>
          <t>Oonch Neech Beech</t>
        </is>
      </c>
      <c r="E120" s="5" t="inlineStr">
        <is>
          <t>Wikipedia</t>
        </is>
      </c>
      <c r="F120" s="5" t="n"/>
      <c r="G120" s="5" t="n"/>
      <c r="H120" s="22" t="inlineStr">
        <is>
          <t>https://en.wikipedia.org/wiki/Oonch_Neech_Beech</t>
        </is>
      </c>
      <c r="I120" s="16" t="n">
        <v>46286</v>
      </c>
      <c r="J120" s="5" t="inlineStr">
        <is>
          <t>Infobox: release date, language, runtime, director, producers, production banner, writers, song composer, lyricist, billing position.</t>
        </is>
      </c>
      <c r="K120" s="5" t="inlineStr">
        <is>
          <t>Reference encyclopedia</t>
        </is>
      </c>
      <c r="L120" s="5" t="inlineStr">
        <is>
          <t>C</t>
        </is>
      </c>
      <c r="M120" s="5" t="inlineStr">
        <is>
          <t>Film article; downloaded as raw wikitext.</t>
        </is>
      </c>
    </row>
    <row r="121" ht="49" customHeight="1">
      <c r="A121" s="15" t="inlineStr">
        <is>
          <t>SOURCE-120</t>
        </is>
      </c>
      <c r="B121" s="5" t="inlineStr">
        <is>
          <t>FILM-146</t>
        </is>
      </c>
      <c r="C121" s="5" t="n"/>
      <c r="D121" s="5" t="inlineStr">
        <is>
          <t>Akayla</t>
        </is>
      </c>
      <c r="E121" s="5" t="inlineStr">
        <is>
          <t>Wikipedia</t>
        </is>
      </c>
      <c r="F121" s="5" t="n"/>
      <c r="G121" s="5" t="n"/>
      <c r="H121" s="22" t="inlineStr">
        <is>
          <t>https://en.wikipedia.org/wiki/Akayla</t>
        </is>
      </c>
      <c r="I121" s="16" t="n">
        <v>46286</v>
      </c>
      <c r="J121" s="5" t="inlineStr">
        <is>
          <t>Infobox: release date, language, runtime, director, producers, writers, song composer, billing position.</t>
        </is>
      </c>
      <c r="K121" s="5" t="inlineStr">
        <is>
          <t>Reference encyclopedia</t>
        </is>
      </c>
      <c r="L121" s="5" t="inlineStr">
        <is>
          <t>C</t>
        </is>
      </c>
      <c r="M121" s="5" t="inlineStr">
        <is>
          <t>Film article; downloaded as raw wikitext.</t>
        </is>
      </c>
    </row>
    <row r="122" ht="34" customHeight="1">
      <c r="A122" s="15" t="inlineStr">
        <is>
          <t>SOURCE-121</t>
        </is>
      </c>
      <c r="B122" s="5" t="inlineStr">
        <is>
          <t>FILM-145</t>
        </is>
      </c>
      <c r="C122" s="5" t="n"/>
      <c r="D122" s="5" t="inlineStr">
        <is>
          <t>Raiszaada</t>
        </is>
      </c>
      <c r="E122" s="5" t="inlineStr">
        <is>
          <t>Wikipedia</t>
        </is>
      </c>
      <c r="F122" s="5" t="n"/>
      <c r="G122" s="5" t="n"/>
      <c r="H122" s="22" t="inlineStr">
        <is>
          <t>https://en.wikipedia.org/wiki/Raiszaada</t>
        </is>
      </c>
      <c r="I122" s="16" t="n">
        <v>46286</v>
      </c>
      <c r="J122" s="5" t="inlineStr">
        <is>
          <t>Infobox: release date, language, director, producers, song composer, billing position.</t>
        </is>
      </c>
      <c r="K122" s="5" t="inlineStr">
        <is>
          <t>Reference encyclopedia</t>
        </is>
      </c>
      <c r="L122" s="5" t="inlineStr">
        <is>
          <t>C</t>
        </is>
      </c>
      <c r="M122" s="5" t="inlineStr">
        <is>
          <t>Film article; downloaded as raw wikitext.</t>
        </is>
      </c>
    </row>
    <row r="123" ht="49" customHeight="1">
      <c r="A123" s="15" t="inlineStr">
        <is>
          <t>SOURCE-122</t>
        </is>
      </c>
      <c r="B123" s="5" t="inlineStr">
        <is>
          <t>FILM-148</t>
        </is>
      </c>
      <c r="C123" s="5" t="n"/>
      <c r="D123" s="5" t="inlineStr">
        <is>
          <t>In Custody (film)</t>
        </is>
      </c>
      <c r="E123" s="5" t="inlineStr">
        <is>
          <t>Wikipedia</t>
        </is>
      </c>
      <c r="F123" s="5" t="n"/>
      <c r="G123" s="5" t="n"/>
      <c r="H123" s="22" t="inlineStr">
        <is>
          <t>https://en.wikipedia.org/wiki/In_Custody_(film)</t>
        </is>
      </c>
      <c r="I123" s="16" t="n">
        <v>46286</v>
      </c>
      <c r="J123" s="5" t="inlineStr">
        <is>
          <t>Infobox: release date, language, runtime, director, producers, writers, source material, song composer, billing position, budget, currency.</t>
        </is>
      </c>
      <c r="K123" s="5" t="inlineStr">
        <is>
          <t>Reference encyclopedia</t>
        </is>
      </c>
      <c r="L123" s="5" t="inlineStr">
        <is>
          <t>C</t>
        </is>
      </c>
      <c r="M123" s="5" t="inlineStr">
        <is>
          <t>Film article; downloaded as raw wikitext.</t>
        </is>
      </c>
    </row>
    <row r="124" ht="64" customHeight="1">
      <c r="A124" s="15" t="inlineStr">
        <is>
          <t>SOURCE-123</t>
        </is>
      </c>
      <c r="B124" s="5" t="inlineStr">
        <is>
          <t>FILM-153</t>
        </is>
      </c>
      <c r="C124" s="5" t="n"/>
      <c r="D124" s="5" t="inlineStr">
        <is>
          <t>Jinnah (film)</t>
        </is>
      </c>
      <c r="E124" s="5" t="inlineStr">
        <is>
          <t>Wikipedia</t>
        </is>
      </c>
      <c r="F124" s="5" t="n"/>
      <c r="G124" s="5" t="n"/>
      <c r="H124" s="22" t="inlineStr">
        <is>
          <t>https://en.wikipedia.org/wiki/Jinnah_(film)</t>
        </is>
      </c>
      <c r="I124" s="16" t="n">
        <v>46286</v>
      </c>
      <c r="J124" s="5" t="inlineStr">
        <is>
          <t>Infobox: release date, language, runtime, director, producers, production banner, writers, song composer, lyricist, billing position, budget, currency.</t>
        </is>
      </c>
      <c r="K124" s="5" t="inlineStr">
        <is>
          <t>Reference encyclopedia</t>
        </is>
      </c>
      <c r="L124" s="5" t="inlineStr">
        <is>
          <t>C</t>
        </is>
      </c>
      <c r="M124" s="5" t="inlineStr">
        <is>
          <t>Film article; downloaded as raw wikitext.</t>
        </is>
      </c>
    </row>
    <row r="125" ht="79" customHeight="1">
      <c r="A125" s="15" t="inlineStr">
        <is>
          <t>SOURCE-124</t>
        </is>
      </c>
      <c r="B125" s="5" t="inlineStr">
        <is>
          <t>FILM-152</t>
        </is>
      </c>
      <c r="C125" s="5" t="n"/>
      <c r="D125" s="5" t="inlineStr">
        <is>
          <t>Swami Vivekananda (1998 film)</t>
        </is>
      </c>
      <c r="E125" s="5" t="inlineStr">
        <is>
          <t>Wikipedia</t>
        </is>
      </c>
      <c r="F125" s="5" t="n"/>
      <c r="G125" s="5" t="n"/>
      <c r="H125" s="22" t="inlineStr">
        <is>
          <t>https://en.wikipedia.org/wiki/Swami_Vivekananda_(1998_film)</t>
        </is>
      </c>
      <c r="I125" s="16" t="n">
        <v>46286</v>
      </c>
      <c r="J125" s="5" t="inlineStr">
        <is>
          <t>Infobox: release date, language, runtime, director, producers, production banner, writers, source material, song composer, background score composer, lyricist, billing position, budget, currency.</t>
        </is>
      </c>
      <c r="K125" s="5" t="inlineStr">
        <is>
          <t>Reference encyclopedia</t>
        </is>
      </c>
      <c r="L125" s="5" t="inlineStr">
        <is>
          <t>C</t>
        </is>
      </c>
      <c r="M125" s="5" t="inlineStr">
        <is>
          <t>Film article; downloaded as raw wikitext.</t>
        </is>
      </c>
    </row>
    <row r="126" ht="49" customHeight="1">
      <c r="A126" s="15" t="inlineStr">
        <is>
          <t>SOURCE-125</t>
        </is>
      </c>
      <c r="B126" s="5" t="inlineStr">
        <is>
          <t>FILM-154</t>
        </is>
      </c>
      <c r="C126" s="5" t="n"/>
      <c r="D126" s="5" t="inlineStr">
        <is>
          <t>Side Streets (1998 film)</t>
        </is>
      </c>
      <c r="E126" s="5" t="inlineStr">
        <is>
          <t>Wikipedia</t>
        </is>
      </c>
      <c r="F126" s="5" t="n"/>
      <c r="G126" s="5" t="n"/>
      <c r="H126" s="22" t="inlineStr">
        <is>
          <t>https://en.wikipedia.org/wiki/Side_Streets_(1998_film)</t>
        </is>
      </c>
      <c r="I126" s="16" t="n">
        <v>46286</v>
      </c>
      <c r="J126" s="5" t="inlineStr">
        <is>
          <t>Infobox: release date, language, runtime, director, producers, writers, song composer, billing position.</t>
        </is>
      </c>
      <c r="K126" s="5" t="inlineStr">
        <is>
          <t>Reference encyclopedia</t>
        </is>
      </c>
      <c r="L126" s="5" t="inlineStr">
        <is>
          <t>C</t>
        </is>
      </c>
      <c r="M126" s="5" t="inlineStr">
        <is>
          <t>Film article; downloaded as raw wikitext.</t>
        </is>
      </c>
    </row>
    <row r="127" ht="34" customHeight="1">
      <c r="A127" s="15" t="inlineStr">
        <is>
          <t>SOURCE-126</t>
        </is>
      </c>
      <c r="B127" s="5" t="inlineStr">
        <is>
          <t>FILM-151</t>
        </is>
      </c>
      <c r="C127" s="5" t="n"/>
      <c r="D127" s="5" t="inlineStr">
        <is>
          <t>Ghar Bazar</t>
        </is>
      </c>
      <c r="E127" s="5" t="inlineStr">
        <is>
          <t>Wikipedia</t>
        </is>
      </c>
      <c r="F127" s="5" t="n"/>
      <c r="G127" s="5" t="n"/>
      <c r="H127" s="22" t="inlineStr">
        <is>
          <t>https://en.wikipedia.org/wiki/Ghar_Bazar</t>
        </is>
      </c>
      <c r="I127" s="16" t="n">
        <v>46286</v>
      </c>
      <c r="J127" s="5" t="inlineStr">
        <is>
          <t>Infobox: release date, language, runtime, director, producers, song composer.</t>
        </is>
      </c>
      <c r="K127" s="5" t="inlineStr">
        <is>
          <t>Reference encyclopedia</t>
        </is>
      </c>
      <c r="L127" s="5" t="inlineStr">
        <is>
          <t>C</t>
        </is>
      </c>
      <c r="M127" s="5" t="inlineStr">
        <is>
          <t>Film article; downloaded as raw wikitext.</t>
        </is>
      </c>
    </row>
    <row r="128" ht="49" customHeight="1">
      <c r="A128" s="15" t="inlineStr">
        <is>
          <t>SOURCE-127</t>
        </is>
      </c>
      <c r="B128" s="5" t="inlineStr">
        <is>
          <t>FILM-003</t>
        </is>
      </c>
      <c r="C128" s="5" t="n"/>
      <c r="D128" s="5" t="inlineStr">
        <is>
          <t>Samadhi (1950 film)</t>
        </is>
      </c>
      <c r="E128" s="5" t="inlineStr">
        <is>
          <t>Wikipedia</t>
        </is>
      </c>
      <c r="F128" s="5" t="n"/>
      <c r="G128" s="5" t="n"/>
      <c r="H128" s="22" t="inlineStr">
        <is>
          <t>https://en.wikipedia.org/wiki/Samadhi_(1950_film)</t>
        </is>
      </c>
      <c r="I128" s="16" t="n">
        <v>46286</v>
      </c>
      <c r="J128" s="5" t="inlineStr">
        <is>
          <t>Infobox: release date, language, runtime, director, producers, production banner, writers, song composer, lyricist.</t>
        </is>
      </c>
      <c r="K128" s="5" t="inlineStr">
        <is>
          <t>Reference encyclopedia</t>
        </is>
      </c>
      <c r="L128" s="5" t="inlineStr">
        <is>
          <t>C</t>
        </is>
      </c>
      <c r="M128" s="5" t="inlineStr">
        <is>
          <t>Film article; downloaded as raw wikitext.</t>
        </is>
      </c>
    </row>
    <row r="129" ht="409" customHeight="1">
      <c r="A129" s="15" t="inlineStr">
        <is>
          <t>SOURCE-128</t>
        </is>
      </c>
      <c r="B129" s="5" t="inlineStr">
        <is>
          <t>FILM-001; FILM-002; FILM-003; FILM-004; FILM-005; FILM-006; FILM-007; FILM-008; FILM-010; FILM-011; FILM-014; FILM-015; FILM-017; FILM-018; FILM-019; FILM-020; FILM-022; FILM-023; FILM-024; FILM-025; FILM-026; FILM-028; FILM-029; FILM-030; FILM-048; FILM-049; FILM-050; FILM-051; FILM-052; FILM-053; FILM-054; FILM-055; FILM-059; FILM-060; FILM-061; FILM-062; FILM-063; FILM-064; FILM-065; FILM-066; FILM-067; FILM-068; FILM-072; FILM-074; FILM-075; FILM-076; FILM-077; FILM-078; FILM-084; FILM-085; FILM-087; FILM-088; FILM-092; FILM-093; FILM-094; FILM-097; FILM-099; FILM-101; FILM-102; FILM-103; FILM-104; FILM-105; FILM-106; FILM-108; FILM-110; FILM-112; FILM-114; FILM-116; FILM-118; FILM-120; FILM-123; FILM-130; FILM-131; FILM-141; FILM-142; FILM-143; FILM-151</t>
        </is>
      </c>
      <c r="C129" s="5" t="inlineStr">
        <is>
          <t>PAIR-006</t>
        </is>
      </c>
      <c r="D129" s="5" t="inlineStr">
        <is>
          <t>Shashi Kapoor</t>
        </is>
      </c>
      <c r="E129" s="5" t="inlineStr">
        <is>
          <t>Wikipedia</t>
        </is>
      </c>
      <c r="F129" s="5" t="n"/>
      <c r="G129" s="5" t="n"/>
      <c r="H129" s="22" t="inlineStr">
        <is>
          <t>https://en.wikipedia.org/wiki/Shashi_Kapoor</t>
        </is>
      </c>
      <c r="I129" s="16" t="n">
        <v>46286</v>
      </c>
      <c r="J129" s="5" t="inlineStr">
        <is>
          <t>Career chronology and box-office verdicts for 1961-1973, the child-actor credits and their billing as Shashiraj, the English-language filmography, and the 1965 BFJA Best Actor award for Jab Jab Phool Khile.</t>
        </is>
      </c>
      <c r="K129" s="5" t="inlineStr">
        <is>
          <t>Reference encyclopedia</t>
        </is>
      </c>
      <c r="L129" s="5" t="inlineStr">
        <is>
          <t>C</t>
        </is>
      </c>
      <c r="M129" s="5" t="inlineStr">
        <is>
          <t>Biographical article, downloaded as raw wikitext. Its career section is the only located source giving hit/flop verdicts for several 1960s films whose own articles omit commercial data; those verdicts are recorded as the article states them, without independent trade corroboration.</t>
        </is>
      </c>
    </row>
    <row r="130" ht="49" customHeight="1">
      <c r="A130" s="15" t="inlineStr">
        <is>
          <t>SOURCE-129</t>
        </is>
      </c>
      <c r="B130" s="5" t="n"/>
      <c r="C130" s="5" t="n"/>
      <c r="D130" s="5" t="inlineStr">
        <is>
          <t>Laxmikant–Pyarelal — Wikipedia</t>
        </is>
      </c>
      <c r="E130" s="5" t="inlineStr">
        <is>
          <t>Wikipedia</t>
        </is>
      </c>
      <c r="F130" s="5" t="n"/>
      <c r="G130" s="5" t="n"/>
      <c r="H130" s="22" t="inlineStr">
        <is>
          <t>https://en.wikipedia.org/wiki/Laxmikant%E2%80%93Pyarelal</t>
        </is>
      </c>
      <c r="I130" s="16" t="n">
        <v>46287</v>
      </c>
      <c r="J130" s="5" t="inlineStr">
        <is>
          <t>Indian composer duo. Biography, dates, career background, notable works and awards for Laxmikant–Pyarelal, used for the collaborator entry.</t>
        </is>
      </c>
      <c r="K130" s="5" t="inlineStr">
        <is>
          <t>Encyclopedia article</t>
        </is>
      </c>
      <c r="L130" s="5" t="inlineStr">
        <is>
          <t>C</t>
        </is>
      </c>
      <c r="M130" s="5" t="inlineStr">
        <is>
          <t>Downloaded as raw wikitext.</t>
        </is>
      </c>
    </row>
    <row r="131" ht="49" customHeight="1">
      <c r="A131" s="15" t="inlineStr">
        <is>
          <t>SOURCE-130</t>
        </is>
      </c>
      <c r="B131" s="5" t="n"/>
      <c r="C131" s="5" t="n"/>
      <c r="D131" s="5" t="inlineStr">
        <is>
          <t>Kalyanji–Anandji — Wikipedia</t>
        </is>
      </c>
      <c r="E131" s="5" t="inlineStr">
        <is>
          <t>Wikipedia</t>
        </is>
      </c>
      <c r="F131" s="5" t="n"/>
      <c r="G131" s="5" t="n"/>
      <c r="H131" s="22" t="inlineStr">
        <is>
          <t>https://en.wikipedia.org/wiki/Kalyanji%E2%80%93Anandji</t>
        </is>
      </c>
      <c r="I131" s="16" t="n">
        <v>46287</v>
      </c>
      <c r="J131" s="5" t="inlineStr">
        <is>
          <t>Indian music composer duo. Biography, dates, career background, notable works and awards for Kalyanji–Anandji, used for the collaborator entry.</t>
        </is>
      </c>
      <c r="K131" s="5" t="inlineStr">
        <is>
          <t>Encyclopedia article</t>
        </is>
      </c>
      <c r="L131" s="5" t="inlineStr">
        <is>
          <t>C</t>
        </is>
      </c>
      <c r="M131" s="5" t="inlineStr">
        <is>
          <t>Downloaded as raw wikitext.</t>
        </is>
      </c>
    </row>
    <row r="132" ht="49" customHeight="1">
      <c r="A132" s="15" t="inlineStr">
        <is>
          <t>SOURCE-131</t>
        </is>
      </c>
      <c r="B132" s="5" t="n"/>
      <c r="C132" s="5" t="n"/>
      <c r="D132" s="5" t="inlineStr">
        <is>
          <t>R. D. Burman — Wikipedia</t>
        </is>
      </c>
      <c r="E132" s="5" t="inlineStr">
        <is>
          <t>Wikipedia</t>
        </is>
      </c>
      <c r="F132" s="5" t="n"/>
      <c r="G132" s="5" t="n"/>
      <c r="H132" s="22" t="inlineStr">
        <is>
          <t>https://en.wikipedia.org/wiki/R._D._Burman</t>
        </is>
      </c>
      <c r="I132" s="16" t="n">
        <v>46287</v>
      </c>
      <c r="J132" s="5" t="inlineStr">
        <is>
          <t>Indian musician (1939–1994). Biography, dates, career background, notable works and awards for R. D. Burman, used for the collaborator entry.</t>
        </is>
      </c>
      <c r="K132" s="5" t="inlineStr">
        <is>
          <t>Encyclopedia article</t>
        </is>
      </c>
      <c r="L132" s="5" t="inlineStr">
        <is>
          <t>C</t>
        </is>
      </c>
      <c r="M132" s="5" t="inlineStr">
        <is>
          <t>Downloaded as raw wikitext.</t>
        </is>
      </c>
    </row>
    <row r="133" ht="64" customHeight="1">
      <c r="A133" s="15" t="inlineStr">
        <is>
          <t>SOURCE-132</t>
        </is>
      </c>
      <c r="B133" s="5" t="n"/>
      <c r="C133" s="5" t="n"/>
      <c r="D133" s="5" t="inlineStr">
        <is>
          <t>Bappi Lahiri — Wikipedia</t>
        </is>
      </c>
      <c r="E133" s="5" t="inlineStr">
        <is>
          <t>Wikipedia</t>
        </is>
      </c>
      <c r="F133" s="5" t="n"/>
      <c r="G133" s="5" t="n"/>
      <c r="H133" s="22" t="inlineStr">
        <is>
          <t>https://en.wikipedia.org/wiki/Bappi_Lahiri</t>
        </is>
      </c>
      <c r="I133" s="16" t="n">
        <v>46287</v>
      </c>
      <c r="J133" s="5" t="inlineStr">
        <is>
          <t>Indian singer and composer (1952–2022). Biography, dates, career background, notable works and awards for Bappi Lahiri, used for the collaborator entry.</t>
        </is>
      </c>
      <c r="K133" s="5" t="inlineStr">
        <is>
          <t>Encyclopedia article</t>
        </is>
      </c>
      <c r="L133" s="5" t="inlineStr">
        <is>
          <t>C</t>
        </is>
      </c>
      <c r="M133" s="5" t="inlineStr">
        <is>
          <t>Downloaded as raw wikitext.</t>
        </is>
      </c>
    </row>
    <row r="134" ht="49" customHeight="1">
      <c r="A134" s="15" t="inlineStr">
        <is>
          <t>SOURCE-133</t>
        </is>
      </c>
      <c r="B134" s="5" t="n"/>
      <c r="C134" s="5" t="n"/>
      <c r="D134" s="5" t="inlineStr">
        <is>
          <t>Yash Chopra — Wikipedia</t>
        </is>
      </c>
      <c r="E134" s="5" t="inlineStr">
        <is>
          <t>Wikipedia</t>
        </is>
      </c>
      <c r="F134" s="5" t="n"/>
      <c r="G134" s="5" t="n"/>
      <c r="H134" s="22" t="inlineStr">
        <is>
          <t>https://en.wikipedia.org/wiki/Yash_Chopra</t>
        </is>
      </c>
      <c r="I134" s="16" t="n">
        <v>46287</v>
      </c>
      <c r="J134" s="5" t="inlineStr">
        <is>
          <t>Indian filmmaker (1932–2012). Biography, dates, career background, notable works and awards for Yash Chopra, used for the collaborator entry.</t>
        </is>
      </c>
      <c r="K134" s="5" t="inlineStr">
        <is>
          <t>Encyclopedia article</t>
        </is>
      </c>
      <c r="L134" s="5" t="inlineStr">
        <is>
          <t>C</t>
        </is>
      </c>
      <c r="M134" s="5" t="inlineStr">
        <is>
          <t>Downloaded as raw wikitext.</t>
        </is>
      </c>
    </row>
    <row r="135" ht="64" customHeight="1">
      <c r="A135" s="15" t="inlineStr">
        <is>
          <t>SOURCE-134</t>
        </is>
      </c>
      <c r="B135" s="5" t="n"/>
      <c r="C135" s="5" t="n"/>
      <c r="D135" s="5" t="inlineStr">
        <is>
          <t>Ismail Merchant — Wikipedia</t>
        </is>
      </c>
      <c r="E135" s="5" t="inlineStr">
        <is>
          <t>Wikipedia</t>
        </is>
      </c>
      <c r="F135" s="5" t="n"/>
      <c r="G135" s="5" t="n"/>
      <c r="H135" s="22" t="inlineStr">
        <is>
          <t>https://en.wikipedia.org/wiki/Ismail_Merchant</t>
        </is>
      </c>
      <c r="I135" s="16" t="n">
        <v>46287</v>
      </c>
      <c r="J135" s="5" t="inlineStr">
        <is>
          <t>Indian film producer (1936–2005). Biography, dates, career background, notable works and awards for Ismail Merchant, used for the collaborator entry.</t>
        </is>
      </c>
      <c r="K135" s="5" t="inlineStr">
        <is>
          <t>Encyclopedia article</t>
        </is>
      </c>
      <c r="L135" s="5" t="inlineStr">
        <is>
          <t>C</t>
        </is>
      </c>
      <c r="M135" s="5" t="inlineStr">
        <is>
          <t>Downloaded as raw wikitext.</t>
        </is>
      </c>
    </row>
    <row r="136" ht="64" customHeight="1">
      <c r="A136" s="15" t="inlineStr">
        <is>
          <t>SOURCE-135</t>
        </is>
      </c>
      <c r="B136" s="5" t="n"/>
      <c r="C136" s="5" t="n"/>
      <c r="D136" s="5" t="inlineStr">
        <is>
          <t>Kader Khan — Wikipedia</t>
        </is>
      </c>
      <c r="E136" s="5" t="inlineStr">
        <is>
          <t>Wikipedia</t>
        </is>
      </c>
      <c r="F136" s="5" t="n"/>
      <c r="G136" s="5" t="n"/>
      <c r="H136" s="22" t="inlineStr">
        <is>
          <t>https://en.wikipedia.org/wiki/Kader_Khan</t>
        </is>
      </c>
      <c r="I136" s="16" t="n">
        <v>46287</v>
      </c>
      <c r="J136" s="5" t="inlineStr">
        <is>
          <t>Indian actor, comedian, screenwriter, and producer (1937–2018). Biography, dates, career background, notable works and awards for Kader Khan, used for the collaborator entry.</t>
        </is>
      </c>
      <c r="K136" s="5" t="inlineStr">
        <is>
          <t>Encyclopedia article</t>
        </is>
      </c>
      <c r="L136" s="5" t="inlineStr">
        <is>
          <t>C</t>
        </is>
      </c>
      <c r="M136" s="5" t="inlineStr">
        <is>
          <t>Downloaded as raw wikitext.</t>
        </is>
      </c>
    </row>
    <row r="137" ht="64" customHeight="1">
      <c r="A137" s="15" t="inlineStr">
        <is>
          <t>SOURCE-136</t>
        </is>
      </c>
      <c r="B137" s="5" t="n"/>
      <c r="C137" s="5" t="n"/>
      <c r="D137" s="5" t="inlineStr">
        <is>
          <t>Shankar–Jaikishan — Wikipedia</t>
        </is>
      </c>
      <c r="E137" s="5" t="inlineStr">
        <is>
          <t>Wikipedia</t>
        </is>
      </c>
      <c r="F137" s="5" t="n"/>
      <c r="G137" s="5" t="n"/>
      <c r="H137" s="22" t="inlineStr">
        <is>
          <t>https://en.wikipedia.org/wiki/Shankar%E2%80%93Jaikishan</t>
        </is>
      </c>
      <c r="I137" s="16" t="n">
        <v>46287</v>
      </c>
      <c r="J137" s="5" t="inlineStr">
        <is>
          <t>Indian film music composer duo. Biography, dates, career background, notable works and awards for Shankar–Jaikishan, used for the collaborator entry.</t>
        </is>
      </c>
      <c r="K137" s="5" t="inlineStr">
        <is>
          <t>Encyclopedia article</t>
        </is>
      </c>
      <c r="L137" s="5" t="inlineStr">
        <is>
          <t>C</t>
        </is>
      </c>
      <c r="M137" s="5" t="inlineStr">
        <is>
          <t>Downloaded as raw wikitext.</t>
        </is>
      </c>
    </row>
    <row r="138" ht="49" customHeight="1">
      <c r="A138" s="15" t="inlineStr">
        <is>
          <t>SOURCE-137</t>
        </is>
      </c>
      <c r="B138" s="5" t="n"/>
      <c r="C138" s="5" t="n"/>
      <c r="D138" s="5" t="inlineStr">
        <is>
          <t>Salim–Javed — Wikipedia</t>
        </is>
      </c>
      <c r="E138" s="5" t="inlineStr">
        <is>
          <t>Wikipedia</t>
        </is>
      </c>
      <c r="F138" s="5" t="n"/>
      <c r="G138" s="5" t="n"/>
      <c r="H138" s="22" t="inlineStr">
        <is>
          <t>https://en.wikipedia.org/wiki/Salim%E2%80%93Javed</t>
        </is>
      </c>
      <c r="I138" s="16" t="n">
        <v>46287</v>
      </c>
      <c r="J138" s="5" t="inlineStr">
        <is>
          <t>Indian screenwriting duo. Biography, dates, career background, notable works and awards for Salim–Javed, used for the collaborator entry.</t>
        </is>
      </c>
      <c r="K138" s="5" t="inlineStr">
        <is>
          <t>Encyclopedia article</t>
        </is>
      </c>
      <c r="L138" s="5" t="inlineStr">
        <is>
          <t>C</t>
        </is>
      </c>
      <c r="M138" s="5" t="inlineStr">
        <is>
          <t>Downloaded as raw wikitext.</t>
        </is>
      </c>
    </row>
    <row r="139" ht="64" customHeight="1">
      <c r="A139" s="15" t="inlineStr">
        <is>
          <t>SOURCE-138</t>
        </is>
      </c>
      <c r="B139" s="5" t="n"/>
      <c r="C139" s="5" t="n"/>
      <c r="D139" s="5" t="inlineStr">
        <is>
          <t>S. M. Abbas — Wikipedia</t>
        </is>
      </c>
      <c r="E139" s="5" t="inlineStr">
        <is>
          <t>Wikipedia</t>
        </is>
      </c>
      <c r="F139" s="5" t="n"/>
      <c r="G139" s="5" t="n"/>
      <c r="H139" s="22" t="inlineStr">
        <is>
          <t>https://en.wikipedia.org/wiki/S._M._Abbas</t>
        </is>
      </c>
      <c r="I139" s="16" t="n">
        <v>46287</v>
      </c>
      <c r="J139" s="5" t="inlineStr">
        <is>
          <t>Indian film director and screenwriter. Biography, dates, career background, notable works and awards for S. M. Abbas, used for the collaborator entry.</t>
        </is>
      </c>
      <c r="K139" s="5" t="inlineStr">
        <is>
          <t>Encyclopedia article</t>
        </is>
      </c>
      <c r="L139" s="5" t="inlineStr">
        <is>
          <t>C</t>
        </is>
      </c>
      <c r="M139" s="5" t="inlineStr">
        <is>
          <t>Downloaded as raw wikitext.</t>
        </is>
      </c>
    </row>
    <row r="140" ht="64" customHeight="1">
      <c r="A140" s="15" t="inlineStr">
        <is>
          <t>SOURCE-139</t>
        </is>
      </c>
      <c r="B140" s="5" t="n"/>
      <c r="C140" s="5" t="n"/>
      <c r="D140" s="5" t="inlineStr">
        <is>
          <t>Sachin Bhowmick — Wikipedia</t>
        </is>
      </c>
      <c r="E140" s="5" t="inlineStr">
        <is>
          <t>Wikipedia</t>
        </is>
      </c>
      <c r="F140" s="5" t="n"/>
      <c r="G140" s="5" t="n"/>
      <c r="H140" s="22" t="inlineStr">
        <is>
          <t>https://en.wikipedia.org/wiki/Sachin_Bhowmick</t>
        </is>
      </c>
      <c r="I140" s="16" t="n">
        <v>46287</v>
      </c>
      <c r="J140" s="5" t="inlineStr">
        <is>
          <t>Film screenwriter and director (1930–2011). Biography, dates, career background, notable works and awards for Sachin Bhowmick, used for the collaborator entry.</t>
        </is>
      </c>
      <c r="K140" s="5" t="inlineStr">
        <is>
          <t>Encyclopedia article</t>
        </is>
      </c>
      <c r="L140" s="5" t="inlineStr">
        <is>
          <t>C</t>
        </is>
      </c>
      <c r="M140" s="5" t="inlineStr">
        <is>
          <t>Downloaded as raw wikitext.</t>
        </is>
      </c>
    </row>
    <row r="141" ht="49" customHeight="1">
      <c r="A141" s="15" t="inlineStr">
        <is>
          <t>SOURCE-140</t>
        </is>
      </c>
      <c r="B141" s="5" t="n"/>
      <c r="C141" s="5" t="n"/>
      <c r="D141" s="5" t="inlineStr">
        <is>
          <t>Filmistan — Wikipedia</t>
        </is>
      </c>
      <c r="E141" s="5" t="inlineStr">
        <is>
          <t>Wikipedia</t>
        </is>
      </c>
      <c r="F141" s="5" t="n"/>
      <c r="G141" s="5" t="n"/>
      <c r="H141" s="22" t="inlineStr">
        <is>
          <t>https://en.wikipedia.org/wiki/Filmistan</t>
        </is>
      </c>
      <c r="I141" s="16" t="n">
        <v>46287</v>
      </c>
      <c r="J141" s="5" t="inlineStr">
        <is>
          <t>Indian film studio in Mumbai. Biography, dates, career background, notable works and awards for Filmistan, used for the collaborator entry.</t>
        </is>
      </c>
      <c r="K141" s="5" t="inlineStr">
        <is>
          <t>Encyclopedia article</t>
        </is>
      </c>
      <c r="L141" s="5" t="inlineStr">
        <is>
          <t>C</t>
        </is>
      </c>
      <c r="M141" s="5" t="inlineStr">
        <is>
          <t>Downloaded as raw wikitext.</t>
        </is>
      </c>
    </row>
    <row r="142" ht="64" customHeight="1">
      <c r="A142" s="15" t="inlineStr">
        <is>
          <t>SOURCE-141</t>
        </is>
      </c>
      <c r="B142" s="5" t="n"/>
      <c r="C142" s="5" t="n"/>
      <c r="D142" s="5" t="inlineStr">
        <is>
          <t>Inder Raj Anand — Wikipedia</t>
        </is>
      </c>
      <c r="E142" s="5" t="inlineStr">
        <is>
          <t>Wikipedia</t>
        </is>
      </c>
      <c r="F142" s="5" t="n"/>
      <c r="G142" s="5" t="n"/>
      <c r="H142" s="22" t="inlineStr">
        <is>
          <t>https://en.wikipedia.org/wiki/Inder_Raj_Anand</t>
        </is>
      </c>
      <c r="I142" s="16" t="n">
        <v>46287</v>
      </c>
      <c r="J142" s="5" t="inlineStr">
        <is>
          <t>Indian film dialogue and screenwriter. Biography, dates, career background, notable works and awards for Inder Raj Anand, used for the collaborator entry.</t>
        </is>
      </c>
      <c r="K142" s="5" t="inlineStr">
        <is>
          <t>Encyclopedia article</t>
        </is>
      </c>
      <c r="L142" s="5" t="inlineStr">
        <is>
          <t>C</t>
        </is>
      </c>
      <c r="M142" s="5" t="inlineStr">
        <is>
          <t>Downloaded as raw wikitext.</t>
        </is>
      </c>
    </row>
    <row r="143" ht="64" customHeight="1">
      <c r="A143" s="15" t="inlineStr">
        <is>
          <t>SOURCE-142</t>
        </is>
      </c>
      <c r="B143" s="5" t="n"/>
      <c r="C143" s="5" t="n"/>
      <c r="D143" s="5" t="inlineStr">
        <is>
          <t>James Ivory — Wikipedia</t>
        </is>
      </c>
      <c r="E143" s="5" t="inlineStr">
        <is>
          <t>Wikipedia</t>
        </is>
      </c>
      <c r="F143" s="5" t="n"/>
      <c r="G143" s="5" t="n"/>
      <c r="H143" s="22" t="inlineStr">
        <is>
          <t>https://en.wikipedia.org/wiki/James_Ivory</t>
        </is>
      </c>
      <c r="I143" s="16" t="n">
        <v>46287</v>
      </c>
      <c r="J143" s="5" t="inlineStr">
        <is>
          <t>American film director and screenwriter (born 1928). Biography, dates, career background, notable works and awards for James Ivory, used for the collaborator entry.</t>
        </is>
      </c>
      <c r="K143" s="5" t="inlineStr">
        <is>
          <t>Encyclopedia article</t>
        </is>
      </c>
      <c r="L143" s="5" t="inlineStr">
        <is>
          <t>C</t>
        </is>
      </c>
      <c r="M143" s="5" t="inlineStr">
        <is>
          <t>Downloaded as raw wikitext.</t>
        </is>
      </c>
    </row>
    <row r="144" ht="64" customHeight="1">
      <c r="A144" s="15" t="inlineStr">
        <is>
          <t>SOURCE-143</t>
        </is>
      </c>
      <c r="B144" s="5" t="n"/>
      <c r="C144" s="5" t="n"/>
      <c r="D144" s="5" t="inlineStr">
        <is>
          <t>Mohammed Zahur Khayyam — Wikipedia</t>
        </is>
      </c>
      <c r="E144" s="5" t="inlineStr">
        <is>
          <t>Wikipedia</t>
        </is>
      </c>
      <c r="F144" s="5" t="n"/>
      <c r="G144" s="5" t="n"/>
      <c r="H144" s="22" t="inlineStr">
        <is>
          <t>https://en.wikipedia.org/wiki/Mohammed_Zahur_Khayyam</t>
        </is>
      </c>
      <c r="I144" s="16" t="n">
        <v>46287</v>
      </c>
      <c r="J144" s="5" t="inlineStr">
        <is>
          <t>Indian music director and composer (1927–2019). Biography, dates, career background, notable works and awards for Khayyam, used for the collaborator entry.</t>
        </is>
      </c>
      <c r="K144" s="5" t="inlineStr">
        <is>
          <t>Encyclopedia article</t>
        </is>
      </c>
      <c r="L144" s="5" t="inlineStr">
        <is>
          <t>C</t>
        </is>
      </c>
      <c r="M144" s="5" t="inlineStr">
        <is>
          <t>Downloaded as raw wikitext.</t>
        </is>
      </c>
    </row>
    <row r="145" ht="64" customHeight="1">
      <c r="A145" s="15" t="inlineStr">
        <is>
          <t>SOURCE-144</t>
        </is>
      </c>
      <c r="B145" s="5" t="n"/>
      <c r="C145" s="5" t="n"/>
      <c r="D145" s="5" t="inlineStr">
        <is>
          <t>Rajesh Roshan — Wikipedia</t>
        </is>
      </c>
      <c r="E145" s="5" t="inlineStr">
        <is>
          <t>Wikipedia</t>
        </is>
      </c>
      <c r="F145" s="5" t="n"/>
      <c r="G145" s="5" t="n"/>
      <c r="H145" s="22" t="inlineStr">
        <is>
          <t>https://en.wikipedia.org/wiki/Rajesh_Roshan</t>
        </is>
      </c>
      <c r="I145" s="16" t="n">
        <v>46287</v>
      </c>
      <c r="J145" s="5" t="inlineStr">
        <is>
          <t>Indian music director and composer (born 1955). Biography, dates, career background, notable works and awards for Rajesh Roshan, used for the collaborator entry.</t>
        </is>
      </c>
      <c r="K145" s="5" t="inlineStr">
        <is>
          <t>Encyclopedia article</t>
        </is>
      </c>
      <c r="L145" s="5" t="inlineStr">
        <is>
          <t>C</t>
        </is>
      </c>
      <c r="M145" s="5" t="inlineStr">
        <is>
          <t>Downloaded as raw wikitext.</t>
        </is>
      </c>
    </row>
    <row r="146" ht="64" customHeight="1">
      <c r="A146" s="15" t="inlineStr">
        <is>
          <t>SOURCE-145</t>
        </is>
      </c>
      <c r="B146" s="5" t="n"/>
      <c r="C146" s="5" t="n"/>
      <c r="D146" s="5" t="inlineStr">
        <is>
          <t>Ravindra Jain — Wikipedia</t>
        </is>
      </c>
      <c r="E146" s="5" t="inlineStr">
        <is>
          <t>Wikipedia</t>
        </is>
      </c>
      <c r="F146" s="5" t="n"/>
      <c r="G146" s="5" t="n"/>
      <c r="H146" s="22" t="inlineStr">
        <is>
          <t>https://en.wikipedia.org/wiki/Ravindra_Jain</t>
        </is>
      </c>
      <c r="I146" s="16" t="n">
        <v>46287</v>
      </c>
      <c r="J146" s="5" t="inlineStr">
        <is>
          <t>Indian composer, lyricist and playback singer. Biography, dates, career background, notable works and awards for Ravindra Jain, used for the collaborator entry.</t>
        </is>
      </c>
      <c r="K146" s="5" t="inlineStr">
        <is>
          <t>Encyclopedia article</t>
        </is>
      </c>
      <c r="L146" s="5" t="inlineStr">
        <is>
          <t>C</t>
        </is>
      </c>
      <c r="M146" s="5" t="inlineStr">
        <is>
          <t>Downloaded as raw wikitext.</t>
        </is>
      </c>
    </row>
    <row r="147" ht="64" customHeight="1">
      <c r="A147" s="15" t="inlineStr">
        <is>
          <t>SOURCE-146</t>
        </is>
      </c>
      <c r="B147" s="5" t="n"/>
      <c r="C147" s="5" t="n"/>
      <c r="D147" s="5" t="inlineStr">
        <is>
          <t>Ruth Prawer Jhabvala — Wikipedia</t>
        </is>
      </c>
      <c r="E147" s="5" t="inlineStr">
        <is>
          <t>Wikipedia</t>
        </is>
      </c>
      <c r="F147" s="5" t="n"/>
      <c r="G147" s="5" t="n"/>
      <c r="H147" s="22" t="inlineStr">
        <is>
          <t>https://en.wikipedia.org/wiki/Ruth_Prawer_Jhabvala</t>
        </is>
      </c>
      <c r="I147" s="16" t="n">
        <v>46287</v>
      </c>
      <c r="J147" s="5" t="inlineStr">
        <is>
          <t>British-American writer (1927–2013). Biography, dates, career background, notable works and awards for Ruth Prawer Jhabvala, used for the collaborator entry.</t>
        </is>
      </c>
      <c r="K147" s="5" t="inlineStr">
        <is>
          <t>Encyclopedia article</t>
        </is>
      </c>
      <c r="L147" s="5" t="inlineStr">
        <is>
          <t>C</t>
        </is>
      </c>
      <c r="M147" s="5" t="inlineStr">
        <is>
          <t>Downloaded as raw wikitext.</t>
        </is>
      </c>
    </row>
    <row r="148" ht="49" customHeight="1">
      <c r="A148" s="15" t="inlineStr">
        <is>
          <t>SOURCE-147</t>
        </is>
      </c>
      <c r="B148" s="5" t="n"/>
      <c r="C148" s="5" t="n"/>
      <c r="D148" s="5" t="inlineStr">
        <is>
          <t>Sagar Sarhadi — Wikipedia</t>
        </is>
      </c>
      <c r="E148" s="5" t="inlineStr">
        <is>
          <t>Wikipedia</t>
        </is>
      </c>
      <c r="F148" s="5" t="n"/>
      <c r="G148" s="5" t="n"/>
      <c r="H148" s="22" t="inlineStr">
        <is>
          <t>https://en.wikipedia.org/wiki/Sagar_Sarhadi</t>
        </is>
      </c>
      <c r="I148" s="16" t="n">
        <v>46287</v>
      </c>
      <c r="J148" s="5" t="inlineStr">
        <is>
          <t>Indian writer (1933–2021). Biography, dates, career background, notable works and awards for Sagar Sarhadi, used for the collaborator entry.</t>
        </is>
      </c>
      <c r="K148" s="5" t="inlineStr">
        <is>
          <t>Encyclopedia article</t>
        </is>
      </c>
      <c r="L148" s="5" t="inlineStr">
        <is>
          <t>C</t>
        </is>
      </c>
      <c r="M148" s="5" t="inlineStr">
        <is>
          <t>Downloaded as raw wikitext.</t>
        </is>
      </c>
    </row>
    <row r="149" ht="49" customHeight="1">
      <c r="A149" s="15" t="inlineStr">
        <is>
          <t>SOURCE-148</t>
        </is>
      </c>
      <c r="B149" s="5" t="n"/>
      <c r="C149" s="5" t="n"/>
      <c r="D149" s="5" t="inlineStr">
        <is>
          <t>Samir Ganguly — Wikipedia</t>
        </is>
      </c>
      <c r="E149" s="5" t="inlineStr">
        <is>
          <t>Wikipedia</t>
        </is>
      </c>
      <c r="F149" s="5" t="n"/>
      <c r="G149" s="5" t="n"/>
      <c r="H149" s="22" t="inlineStr">
        <is>
          <t>https://en.wikipedia.org/wiki/Samir_Ganguly</t>
        </is>
      </c>
      <c r="I149" s="16" t="n">
        <v>46287</v>
      </c>
      <c r="J149" s="5" t="inlineStr">
        <is>
          <t>Indian film director. Biography, dates, career background, notable works and awards for Samir Ganguly, used for the collaborator entry.</t>
        </is>
      </c>
      <c r="K149" s="5" t="inlineStr">
        <is>
          <t>Encyclopedia article</t>
        </is>
      </c>
      <c r="L149" s="5" t="inlineStr">
        <is>
          <t>C</t>
        </is>
      </c>
      <c r="M149" s="5" t="inlineStr">
        <is>
          <t>Downloaded as raw wikitext.</t>
        </is>
      </c>
    </row>
    <row r="150" ht="64" customHeight="1">
      <c r="A150" s="15" t="inlineStr">
        <is>
          <t>SOURCE-149</t>
        </is>
      </c>
      <c r="B150" s="5" t="n"/>
      <c r="C150" s="5" t="n"/>
      <c r="D150" s="5" t="inlineStr">
        <is>
          <t>Satyadev Dubey — Wikipedia</t>
        </is>
      </c>
      <c r="E150" s="5" t="inlineStr">
        <is>
          <t>Wikipedia</t>
        </is>
      </c>
      <c r="F150" s="5" t="n"/>
      <c r="G150" s="5" t="n"/>
      <c r="H150" s="22" t="inlineStr">
        <is>
          <t>https://en.wikipedia.org/wiki/Satyadev_Dubey</t>
        </is>
      </c>
      <c r="I150" s="16" t="n">
        <v>46287</v>
      </c>
      <c r="J150" s="5" t="inlineStr">
        <is>
          <t>Indian actor, director and playwright (1936–2011). Biography, dates, career background, notable works and awards for Satyadev Dubey, used for the collaborator entry.</t>
        </is>
      </c>
      <c r="K150" s="5" t="inlineStr">
        <is>
          <t>Encyclopedia article</t>
        </is>
      </c>
      <c r="L150" s="5" t="inlineStr">
        <is>
          <t>C</t>
        </is>
      </c>
      <c r="M150" s="5" t="inlineStr">
        <is>
          <t>Downloaded as raw wikitext.</t>
        </is>
      </c>
    </row>
    <row r="151" ht="64" customHeight="1">
      <c r="A151" s="15" t="inlineStr">
        <is>
          <t>SOURCE-150</t>
        </is>
      </c>
      <c r="B151" s="5" t="n"/>
      <c r="C151" s="5" t="n"/>
      <c r="D151" s="5" t="inlineStr">
        <is>
          <t>Shashi Kapoor — Wikipedia</t>
        </is>
      </c>
      <c r="E151" s="5" t="inlineStr">
        <is>
          <t>Wikipedia</t>
        </is>
      </c>
      <c r="F151" s="5" t="n"/>
      <c r="G151" s="5" t="n"/>
      <c r="H151" s="22" t="inlineStr">
        <is>
          <t>https://en.wikipedia.org/wiki/Shashi_Kapoor</t>
        </is>
      </c>
      <c r="I151" s="16" t="n">
        <v>46287</v>
      </c>
      <c r="J151" s="5" t="inlineStr">
        <is>
          <t>Indian actor and producer (1938–2017). Biography, dates, career background, notable works and awards for Shashi Kapoor, used for the collaborator entry.</t>
        </is>
      </c>
      <c r="K151" s="5" t="inlineStr">
        <is>
          <t>Encyclopedia article</t>
        </is>
      </c>
      <c r="L151" s="5" t="inlineStr">
        <is>
          <t>C</t>
        </is>
      </c>
      <c r="M151" s="5" t="inlineStr">
        <is>
          <t>Downloaded as raw wikitext.</t>
        </is>
      </c>
    </row>
    <row r="152" ht="64" customHeight="1">
      <c r="A152" s="15" t="inlineStr">
        <is>
          <t>SOURCE-151</t>
        </is>
      </c>
      <c r="B152" s="5" t="n"/>
      <c r="C152" s="5" t="n"/>
      <c r="D152" s="5" t="inlineStr">
        <is>
          <t>Shibu Mitra — Wikipedia</t>
        </is>
      </c>
      <c r="E152" s="5" t="inlineStr">
        <is>
          <t>Wikipedia</t>
        </is>
      </c>
      <c r="F152" s="5" t="n"/>
      <c r="G152" s="5" t="n"/>
      <c r="H152" s="22" t="inlineStr">
        <is>
          <t>https://en.wikipedia.org/wiki/Shibu_Mitra</t>
        </is>
      </c>
      <c r="I152" s="16" t="n">
        <v>46287</v>
      </c>
      <c r="J152" s="5" t="inlineStr">
        <is>
          <t>Indian film director and producer (born 1948). Biography, dates, career background, notable works and awards for Shibu Mitra, used for the collaborator entry.</t>
        </is>
      </c>
      <c r="K152" s="5" t="inlineStr">
        <is>
          <t>Encyclopedia article</t>
        </is>
      </c>
      <c r="L152" s="5" t="inlineStr">
        <is>
          <t>C</t>
        </is>
      </c>
      <c r="M152" s="5" t="inlineStr">
        <is>
          <t>Downloaded as raw wikitext.</t>
        </is>
      </c>
    </row>
    <row r="153" ht="49" customHeight="1">
      <c r="A153" s="15" t="inlineStr">
        <is>
          <t>SOURCE-152</t>
        </is>
      </c>
      <c r="B153" s="5" t="n"/>
      <c r="C153" s="5" t="n"/>
      <c r="D153" s="5" t="inlineStr">
        <is>
          <t>Yash Raj Films — Wikipedia</t>
        </is>
      </c>
      <c r="E153" s="5" t="inlineStr">
        <is>
          <t>Wikipedia</t>
        </is>
      </c>
      <c r="F153" s="5" t="n"/>
      <c r="G153" s="5" t="n"/>
      <c r="H153" s="22" t="inlineStr">
        <is>
          <t>https://en.wikipedia.org/wiki/Yash_Raj_Films</t>
        </is>
      </c>
      <c r="I153" s="16" t="n">
        <v>46287</v>
      </c>
      <c r="J153" s="5" t="inlineStr">
        <is>
          <t>Indian film studio. Biography, dates, career background, notable works and awards for Yash Raj Films, used for the collaborator entry.</t>
        </is>
      </c>
      <c r="K153" s="5" t="inlineStr">
        <is>
          <t>Encyclopedia article</t>
        </is>
      </c>
      <c r="L153" s="5" t="inlineStr">
        <is>
          <t>C</t>
        </is>
      </c>
      <c r="M153" s="5" t="inlineStr">
        <is>
          <t>Downloaded as raw wikitext.</t>
        </is>
      </c>
    </row>
    <row r="154" ht="49" customHeight="1">
      <c r="A154" s="15" t="inlineStr">
        <is>
          <t>SOURCE-153</t>
        </is>
      </c>
      <c r="B154" s="5" t="n"/>
      <c r="C154" s="5" t="n"/>
      <c r="D154" s="5" t="inlineStr">
        <is>
          <t>Babbar Subhash — Wikipedia</t>
        </is>
      </c>
      <c r="E154" s="5" t="inlineStr">
        <is>
          <t>Wikipedia</t>
        </is>
      </c>
      <c r="F154" s="5" t="n"/>
      <c r="G154" s="5" t="n"/>
      <c r="H154" s="22" t="inlineStr">
        <is>
          <t>https://en.wikipedia.org/wiki/Babbar_Subhash</t>
        </is>
      </c>
      <c r="I154" s="16" t="n">
        <v>46287</v>
      </c>
      <c r="J154" s="5" t="inlineStr">
        <is>
          <t>Indian film director. Biography, dates, career background, notable works and awards for B. Subhash, used for the collaborator entry.</t>
        </is>
      </c>
      <c r="K154" s="5" t="inlineStr">
        <is>
          <t>Encyclopedia article</t>
        </is>
      </c>
      <c r="L154" s="5" t="inlineStr">
        <is>
          <t>C</t>
        </is>
      </c>
      <c r="M154" s="5" t="inlineStr">
        <is>
          <t>Downloaded as raw wikitext.</t>
        </is>
      </c>
    </row>
    <row r="155" ht="64" customHeight="1">
      <c r="A155" s="15" t="inlineStr">
        <is>
          <t>SOURCE-154</t>
        </is>
      </c>
      <c r="B155" s="5" t="n"/>
      <c r="C155" s="5" t="n"/>
      <c r="D155" s="5" t="inlineStr">
        <is>
          <t>C. Ramchandra — Wikipedia</t>
        </is>
      </c>
      <c r="E155" s="5" t="inlineStr">
        <is>
          <t>Wikipedia</t>
        </is>
      </c>
      <c r="F155" s="5" t="n"/>
      <c r="G155" s="5" t="n"/>
      <c r="H155" s="22" t="inlineStr">
        <is>
          <t>https://en.wikipedia.org/wiki/C._Ramchandra</t>
        </is>
      </c>
      <c r="I155" s="16" t="n">
        <v>46287</v>
      </c>
      <c r="J155" s="5" t="inlineStr">
        <is>
          <t>Indian music director (1918–1982). Biography, dates, career background, notable works and awards for C. Ramchandra, used for the collaborator entry.</t>
        </is>
      </c>
      <c r="K155" s="5" t="inlineStr">
        <is>
          <t>Encyclopedia article</t>
        </is>
      </c>
      <c r="L155" s="5" t="inlineStr">
        <is>
          <t>C</t>
        </is>
      </c>
      <c r="M155" s="5" t="inlineStr">
        <is>
          <t>Downloaded as raw wikitext.</t>
        </is>
      </c>
    </row>
    <row r="156" ht="49" customHeight="1">
      <c r="A156" s="15" t="inlineStr">
        <is>
          <t>SOURCE-155</t>
        </is>
      </c>
      <c r="B156" s="5" t="n"/>
      <c r="C156" s="5" t="n"/>
      <c r="D156" s="5" t="inlineStr">
        <is>
          <t>Dhruva Chatterjee — Wikipedia</t>
        </is>
      </c>
      <c r="E156" s="5" t="inlineStr">
        <is>
          <t>Wikipedia</t>
        </is>
      </c>
      <c r="F156" s="5" t="n"/>
      <c r="G156" s="5" t="n"/>
      <c r="H156" s="22" t="inlineStr">
        <is>
          <t>https://en.wikipedia.org/wiki/Dhruva_Chatterjee</t>
        </is>
      </c>
      <c r="I156" s="16" t="n">
        <v>46287</v>
      </c>
      <c r="J156" s="5" t="inlineStr">
        <is>
          <t>Indian screenwriter. Biography, dates, career background, notable works and awards for Dhruva Chatterjee, used for the collaborator entry.</t>
        </is>
      </c>
      <c r="K156" s="5" t="inlineStr">
        <is>
          <t>Encyclopedia article</t>
        </is>
      </c>
      <c r="L156" s="5" t="inlineStr">
        <is>
          <t>C</t>
        </is>
      </c>
      <c r="M156" s="5" t="inlineStr">
        <is>
          <t>Downloaded as raw wikitext.</t>
        </is>
      </c>
    </row>
    <row r="157" ht="64" customHeight="1">
      <c r="A157" s="15" t="inlineStr">
        <is>
          <t>SOURCE-156</t>
        </is>
      </c>
      <c r="B157" s="5" t="n"/>
      <c r="C157" s="5" t="n"/>
      <c r="D157" s="5" t="inlineStr">
        <is>
          <t>Gulzar — Wikipedia</t>
        </is>
      </c>
      <c r="E157" s="5" t="inlineStr">
        <is>
          <t>Wikipedia</t>
        </is>
      </c>
      <c r="F157" s="5" t="n"/>
      <c r="G157" s="5" t="n"/>
      <c r="H157" s="22" t="inlineStr">
        <is>
          <t>https://en.wikipedia.org/wiki/Gulzar</t>
        </is>
      </c>
      <c r="I157" s="16" t="n">
        <v>46287</v>
      </c>
      <c r="J157" s="5" t="inlineStr">
        <is>
          <t>Indian Urdu poet, lyricist and author (born 1934). Biography, dates, career background, notable works and awards for Gulzar, used for the collaborator entry.</t>
        </is>
      </c>
      <c r="K157" s="5" t="inlineStr">
        <is>
          <t>Encyclopedia article</t>
        </is>
      </c>
      <c r="L157" s="5" t="inlineStr">
        <is>
          <t>C</t>
        </is>
      </c>
      <c r="M157" s="5" t="inlineStr">
        <is>
          <t>Downloaded as raw wikitext.</t>
        </is>
      </c>
    </row>
    <row r="158" ht="49" customHeight="1">
      <c r="A158" s="15" t="inlineStr">
        <is>
          <t>SOURCE-157</t>
        </is>
      </c>
      <c r="B158" s="5" t="n"/>
      <c r="C158" s="5" t="n"/>
      <c r="D158" s="5" t="inlineStr">
        <is>
          <t>K.A. Narayan — Wikipedia</t>
        </is>
      </c>
      <c r="E158" s="5" t="inlineStr">
        <is>
          <t>Wikipedia</t>
        </is>
      </c>
      <c r="F158" s="5" t="n"/>
      <c r="G158" s="5" t="n"/>
      <c r="H158" s="22" t="inlineStr">
        <is>
          <t>https://en.wikipedia.org/wiki/K.A._Narayan</t>
        </is>
      </c>
      <c r="I158" s="16" t="n">
        <v>46287</v>
      </c>
      <c r="J158" s="5" t="inlineStr">
        <is>
          <t>Indian screenwriter. Biography, dates, career background, notable works and awards for K. A. Narayan, used for the collaborator entry.</t>
        </is>
      </c>
      <c r="K158" s="5" t="inlineStr">
        <is>
          <t>Encyclopedia article</t>
        </is>
      </c>
      <c r="L158" s="5" t="inlineStr">
        <is>
          <t>C</t>
        </is>
      </c>
      <c r="M158" s="5" t="inlineStr">
        <is>
          <t>Downloaded as raw wikitext.</t>
        </is>
      </c>
    </row>
    <row r="159" ht="64" customHeight="1">
      <c r="A159" s="15" t="inlineStr">
        <is>
          <t>SOURCE-158</t>
        </is>
      </c>
      <c r="B159" s="5" t="n"/>
      <c r="C159" s="5" t="n"/>
      <c r="D159" s="5" t="inlineStr">
        <is>
          <t>Manoj Kumar — Wikipedia</t>
        </is>
      </c>
      <c r="E159" s="5" t="inlineStr">
        <is>
          <t>Wikipedia</t>
        </is>
      </c>
      <c r="F159" s="5" t="n"/>
      <c r="G159" s="5" t="n"/>
      <c r="H159" s="22" t="inlineStr">
        <is>
          <t>https://en.wikipedia.org/wiki/Manoj_Kumar</t>
        </is>
      </c>
      <c r="I159" s="16" t="n">
        <v>46287</v>
      </c>
      <c r="J159" s="5" t="inlineStr">
        <is>
          <t>Indian film actor and filmmaker (1937–2025). Biography, dates, career background, notable works and awards for Manoj Kumar, used for the collaborator entry.</t>
        </is>
      </c>
      <c r="K159" s="5" t="inlineStr">
        <is>
          <t>Encyclopedia article</t>
        </is>
      </c>
      <c r="L159" s="5" t="inlineStr">
        <is>
          <t>C</t>
        </is>
      </c>
      <c r="M159" s="5" t="inlineStr">
        <is>
          <t>Downloaded as raw wikitext.</t>
        </is>
      </c>
    </row>
    <row r="160" ht="64" customHeight="1">
      <c r="A160" s="15" t="inlineStr">
        <is>
          <t>SOURCE-159</t>
        </is>
      </c>
      <c r="B160" s="5" t="n"/>
      <c r="C160" s="5" t="n"/>
      <c r="D160" s="5" t="inlineStr">
        <is>
          <t>R. K. Films — Wikipedia</t>
        </is>
      </c>
      <c r="E160" s="5" t="inlineStr">
        <is>
          <t>Wikipedia</t>
        </is>
      </c>
      <c r="F160" s="5" t="n"/>
      <c r="G160" s="5" t="n"/>
      <c r="H160" s="22" t="inlineStr">
        <is>
          <t>https://en.wikipedia.org/wiki/R._K._Films</t>
        </is>
      </c>
      <c r="I160" s="16" t="n">
        <v>46287</v>
      </c>
      <c r="J160" s="5" t="inlineStr">
        <is>
          <t>Former film production company founded by Raj Kapoor. Biography, dates, career background, notable works and awards for R. K. Studios, used for the collaborator entry.</t>
        </is>
      </c>
      <c r="K160" s="5" t="inlineStr">
        <is>
          <t>Encyclopedia article</t>
        </is>
      </c>
      <c r="L160" s="5" t="inlineStr">
        <is>
          <t>C</t>
        </is>
      </c>
      <c r="M160" s="5" t="inlineStr">
        <is>
          <t>Downloaded as raw wikitext. R. K. Studios has no article of its own; this is the article for the person who founded and ran it, used only for what it says about the banner.</t>
        </is>
      </c>
    </row>
    <row r="161" ht="64" customHeight="1">
      <c r="A161" s="15" t="inlineStr">
        <is>
          <t>SOURCE-160</t>
        </is>
      </c>
      <c r="B161" s="5" t="n"/>
      <c r="C161" s="5" t="n"/>
      <c r="D161" s="5" t="inlineStr">
        <is>
          <t>Rahi Masoom Raza — Wikipedia</t>
        </is>
      </c>
      <c r="E161" s="5" t="inlineStr">
        <is>
          <t>Wikipedia</t>
        </is>
      </c>
      <c r="F161" s="5" t="n"/>
      <c r="G161" s="5" t="n"/>
      <c r="H161" s="22" t="inlineStr">
        <is>
          <t>https://en.wikipedia.org/wiki/Rahi_Masoom_Raza</t>
        </is>
      </c>
      <c r="I161" s="16" t="n">
        <v>46287</v>
      </c>
      <c r="J161" s="5" t="inlineStr">
        <is>
          <t>Urdu and Hindi poet (1927 – 1992). Biography, dates, career background, notable works and awards for Rahi Masoom Reza, used for the collaborator entry.</t>
        </is>
      </c>
      <c r="K161" s="5" t="inlineStr">
        <is>
          <t>Encyclopedia article</t>
        </is>
      </c>
      <c r="L161" s="5" t="inlineStr">
        <is>
          <t>C</t>
        </is>
      </c>
      <c r="M161" s="5" t="inlineStr">
        <is>
          <t>Downloaded as raw wikitext.</t>
        </is>
      </c>
    </row>
    <row r="162" ht="64" customHeight="1">
      <c r="A162" s="15" t="inlineStr">
        <is>
          <t>SOURCE-161</t>
        </is>
      </c>
      <c r="B162" s="5" t="n"/>
      <c r="C162" s="5" t="n"/>
      <c r="D162" s="5" t="inlineStr">
        <is>
          <t>Raj Kapoor — Wikipedia</t>
        </is>
      </c>
      <c r="E162" s="5" t="inlineStr">
        <is>
          <t>Wikipedia</t>
        </is>
      </c>
      <c r="F162" s="5" t="n"/>
      <c r="G162" s="5" t="n"/>
      <c r="H162" s="22" t="inlineStr">
        <is>
          <t>https://en.wikipedia.org/wiki/Raj_Kapoor</t>
        </is>
      </c>
      <c r="I162" s="16" t="n">
        <v>46287</v>
      </c>
      <c r="J162" s="5" t="inlineStr">
        <is>
          <t>Indian actor and filmmaker (1924–1988). Biography, dates, career background, notable works and awards for Raj Kapoor, used for the collaborator entry.</t>
        </is>
      </c>
      <c r="K162" s="5" t="inlineStr">
        <is>
          <t>Encyclopedia article</t>
        </is>
      </c>
      <c r="L162" s="5" t="inlineStr">
        <is>
          <t>C</t>
        </is>
      </c>
      <c r="M162" s="5" t="inlineStr">
        <is>
          <t>Downloaded as raw wikitext.</t>
        </is>
      </c>
    </row>
    <row r="163" ht="49" customHeight="1">
      <c r="A163" s="15" t="inlineStr">
        <is>
          <t>SOURCE-162</t>
        </is>
      </c>
      <c r="B163" s="5" t="n"/>
      <c r="C163" s="5" t="n"/>
      <c r="D163" s="5" t="inlineStr">
        <is>
          <t>Ramesh Sippy — Wikipedia</t>
        </is>
      </c>
      <c r="E163" s="5" t="inlineStr">
        <is>
          <t>Wikipedia</t>
        </is>
      </c>
      <c r="F163" s="5" t="n"/>
      <c r="G163" s="5" t="n"/>
      <c r="H163" s="22" t="inlineStr">
        <is>
          <t>https://en.wikipedia.org/wiki/Ramesh_Sippy</t>
        </is>
      </c>
      <c r="I163" s="16" t="n">
        <v>46287</v>
      </c>
      <c r="J163" s="5" t="inlineStr">
        <is>
          <t>Indian filmmaker. Biography, dates, career background, notable works and awards for Ramesh Sippy, used for the collaborator entry.</t>
        </is>
      </c>
      <c r="K163" s="5" t="inlineStr">
        <is>
          <t>Encyclopedia article</t>
        </is>
      </c>
      <c r="L163" s="5" t="inlineStr">
        <is>
          <t>C</t>
        </is>
      </c>
      <c r="M163" s="5" t="inlineStr">
        <is>
          <t>Downloaded as raw wikitext.</t>
        </is>
      </c>
    </row>
    <row r="164" ht="49" customHeight="1">
      <c r="A164" s="15" t="inlineStr">
        <is>
          <t>SOURCE-163</t>
        </is>
      </c>
      <c r="B164" s="5" t="n"/>
      <c r="C164" s="5" t="n"/>
      <c r="D164" s="5" t="inlineStr">
        <is>
          <t>Ramesh Talwar — Wikipedia</t>
        </is>
      </c>
      <c r="E164" s="5" t="inlineStr">
        <is>
          <t>Wikipedia</t>
        </is>
      </c>
      <c r="F164" s="5" t="n"/>
      <c r="G164" s="5" t="n"/>
      <c r="H164" s="22" t="inlineStr">
        <is>
          <t>https://en.wikipedia.org/wiki/Ramesh_Talwar</t>
        </is>
      </c>
      <c r="I164" s="16" t="n">
        <v>46287</v>
      </c>
      <c r="J164" s="5" t="inlineStr">
        <is>
          <t>Indian film director. Biography, dates, career background, notable works and awards for Ramesh Talwar, used for the collaborator entry.</t>
        </is>
      </c>
      <c r="K164" s="5" t="inlineStr">
        <is>
          <t>Encyclopedia article</t>
        </is>
      </c>
      <c r="L164" s="5" t="inlineStr">
        <is>
          <t>C</t>
        </is>
      </c>
      <c r="M164" s="5" t="inlineStr">
        <is>
          <t>Downloaded as raw wikitext.</t>
        </is>
      </c>
    </row>
    <row r="165" ht="64" customHeight="1">
      <c r="A165" s="15" t="inlineStr">
        <is>
          <t>SOURCE-164</t>
        </is>
      </c>
      <c r="B165" s="5" t="n"/>
      <c r="C165" s="5" t="n"/>
      <c r="D165" s="5" t="inlineStr">
        <is>
          <t>S. D. Burman — Wikipedia</t>
        </is>
      </c>
      <c r="E165" s="5" t="inlineStr">
        <is>
          <t>Wikipedia</t>
        </is>
      </c>
      <c r="F165" s="5" t="n"/>
      <c r="G165" s="5" t="n"/>
      <c r="H165" s="22" t="inlineStr">
        <is>
          <t>https://en.wikipedia.org/wiki/S._D._Burman</t>
        </is>
      </c>
      <c r="I165" s="16" t="n">
        <v>46287</v>
      </c>
      <c r="J165" s="5" t="inlineStr">
        <is>
          <t>Indian singer and composer (1906–1975). Biography, dates, career background, notable works and awards for S. D. Burman, used for the collaborator entry.</t>
        </is>
      </c>
      <c r="K165" s="5" t="inlineStr">
        <is>
          <t>Encyclopedia article</t>
        </is>
      </c>
      <c r="L165" s="5" t="inlineStr">
        <is>
          <t>C</t>
        </is>
      </c>
      <c r="M165" s="5" t="inlineStr">
        <is>
          <t>Downloaded as raw wikitext.</t>
        </is>
      </c>
    </row>
    <row r="166" ht="64" customHeight="1">
      <c r="A166" s="15" t="inlineStr">
        <is>
          <t>SOURCE-165</t>
        </is>
      </c>
      <c r="B166" s="5" t="n"/>
      <c r="C166" s="5" t="n"/>
      <c r="D166" s="5" t="inlineStr">
        <is>
          <t>Salil Chowdhury — Wikipedia</t>
        </is>
      </c>
      <c r="E166" s="5" t="inlineStr">
        <is>
          <t>Wikipedia</t>
        </is>
      </c>
      <c r="F166" s="5" t="n"/>
      <c r="G166" s="5" t="n"/>
      <c r="H166" s="22" t="inlineStr">
        <is>
          <t>https://en.wikipedia.org/wiki/Salil_Chowdhury</t>
        </is>
      </c>
      <c r="I166" s="16" t="n">
        <v>46287</v>
      </c>
      <c r="J166" s="5" t="inlineStr">
        <is>
          <t>Indian music director and singer (1922–1995). Biography, dates, career background, notable works and awards for Salil Chowdhury, used for the collaborator entry.</t>
        </is>
      </c>
      <c r="K166" s="5" t="inlineStr">
        <is>
          <t>Encyclopedia article</t>
        </is>
      </c>
      <c r="L166" s="5" t="inlineStr">
        <is>
          <t>C</t>
        </is>
      </c>
      <c r="M166" s="5" t="inlineStr">
        <is>
          <t>Downloaded as raw wikitext.</t>
        </is>
      </c>
    </row>
    <row r="167" ht="49" customHeight="1">
      <c r="A167" s="15" t="inlineStr">
        <is>
          <t>SOURCE-166</t>
        </is>
      </c>
      <c r="B167" s="5" t="n"/>
      <c r="C167" s="5" t="n"/>
      <c r="D167" s="5" t="inlineStr">
        <is>
          <t>Subodh Mukherjee — Wikipedia</t>
        </is>
      </c>
      <c r="E167" s="5" t="inlineStr">
        <is>
          <t>Wikipedia</t>
        </is>
      </c>
      <c r="F167" s="5" t="n"/>
      <c r="G167" s="5" t="n"/>
      <c r="H167" s="22" t="inlineStr">
        <is>
          <t>https://en.wikipedia.org/wiki/Subodh_Mukherjee</t>
        </is>
      </c>
      <c r="I167" s="16" t="n">
        <v>46287</v>
      </c>
      <c r="J167" s="5" t="inlineStr">
        <is>
          <t>Indian filmmaker. Biography, dates, career background, notable works and awards for Subodh Mukherjee, used for the collaborator entry.</t>
        </is>
      </c>
      <c r="K167" s="5" t="inlineStr">
        <is>
          <t>Encyclopedia article</t>
        </is>
      </c>
      <c r="L167" s="5" t="inlineStr">
        <is>
          <t>C</t>
        </is>
      </c>
      <c r="M167" s="5" t="inlineStr">
        <is>
          <t>Downloaded as raw wikitext.</t>
        </is>
      </c>
    </row>
    <row r="168" ht="64" customHeight="1">
      <c r="A168" s="15" t="inlineStr">
        <is>
          <t>SOURCE-167</t>
        </is>
      </c>
      <c r="B168" s="5" t="n"/>
      <c r="C168" s="5" t="n"/>
      <c r="D168" s="5" t="inlineStr">
        <is>
          <t>Usha Khanna — Wikipedia</t>
        </is>
      </c>
      <c r="E168" s="5" t="inlineStr">
        <is>
          <t>Wikipedia</t>
        </is>
      </c>
      <c r="F168" s="5" t="n"/>
      <c r="G168" s="5" t="n"/>
      <c r="H168" s="22" t="inlineStr">
        <is>
          <t>https://en.wikipedia.org/wiki/Usha_Khanna</t>
        </is>
      </c>
      <c r="I168" s="16" t="n">
        <v>46287</v>
      </c>
      <c r="J168" s="5" t="inlineStr">
        <is>
          <t>Indian music director (born 1941). Biography, dates, career background, notable works and awards for Usha Khanna, used for the collaborator entry.</t>
        </is>
      </c>
      <c r="K168" s="5" t="inlineStr">
        <is>
          <t>Encyclopedia article</t>
        </is>
      </c>
      <c r="L168" s="5" t="inlineStr">
        <is>
          <t>C</t>
        </is>
      </c>
      <c r="M168" s="5" t="inlineStr">
        <is>
          <t>Downloaded as raw wikitext.</t>
        </is>
      </c>
    </row>
    <row r="169" ht="49" customHeight="1">
      <c r="A169" s="15" t="inlineStr">
        <is>
          <t>SOURCE-168</t>
        </is>
      </c>
      <c r="B169" s="5" t="n"/>
      <c r="C169" s="5" t="n"/>
      <c r="D169" s="5" t="inlineStr">
        <is>
          <t>Vanraj Bhatia — Wikipedia</t>
        </is>
      </c>
      <c r="E169" s="5" t="inlineStr">
        <is>
          <t>Wikipedia</t>
        </is>
      </c>
      <c r="F169" s="5" t="n"/>
      <c r="G169" s="5" t="n"/>
      <c r="H169" s="22" t="inlineStr">
        <is>
          <t>https://en.wikipedia.org/wiki/Vanraj_Bhatia</t>
        </is>
      </c>
      <c r="I169" s="16" t="n">
        <v>46287</v>
      </c>
      <c r="J169" s="5" t="inlineStr">
        <is>
          <t>Indian composer (1927–2021). Biography, dates, career background, notable works and awards for Vanraj Bhatia, used for the collaborator entry.</t>
        </is>
      </c>
      <c r="K169" s="5" t="inlineStr">
        <is>
          <t>Encyclopedia article</t>
        </is>
      </c>
      <c r="L169" s="5" t="inlineStr">
        <is>
          <t>C</t>
        </is>
      </c>
      <c r="M169" s="5" t="inlineStr">
        <is>
          <t>Downloaded as raw wikitext.</t>
        </is>
      </c>
    </row>
    <row r="170" ht="64" customHeight="1">
      <c r="A170" s="15" t="inlineStr">
        <is>
          <t>SOURCE-169</t>
        </is>
      </c>
      <c r="B170" s="5" t="n"/>
      <c r="C170" s="5" t="n"/>
      <c r="D170" s="5" t="inlineStr">
        <is>
          <t>Akhtar ul Iman — Wikipedia</t>
        </is>
      </c>
      <c r="E170" s="5" t="inlineStr">
        <is>
          <t>Wikipedia</t>
        </is>
      </c>
      <c r="F170" s="5" t="n"/>
      <c r="G170" s="5" t="n"/>
      <c r="H170" s="22" t="inlineStr">
        <is>
          <t>https://en.wikipedia.org/wiki/Akhtar_ul_Iman</t>
        </is>
      </c>
      <c r="I170" s="16" t="n">
        <v>46287</v>
      </c>
      <c r="J170" s="5" t="inlineStr">
        <is>
          <t>Urdu poet and screenwriter (1915–1966). Biography, dates, career background, notable works and awards for Akhtar-Ul-Iman, used for the collaborator entry.</t>
        </is>
      </c>
      <c r="K170" s="5" t="inlineStr">
        <is>
          <t>Encyclopedia article</t>
        </is>
      </c>
      <c r="L170" s="5" t="inlineStr">
        <is>
          <t>C</t>
        </is>
      </c>
      <c r="M170" s="5" t="inlineStr">
        <is>
          <t>Downloaded as raw wikitext.</t>
        </is>
      </c>
    </row>
    <row r="171" ht="49" customHeight="1">
      <c r="A171" s="15" t="inlineStr">
        <is>
          <t>SOURCE-170</t>
        </is>
      </c>
      <c r="B171" s="5" t="n"/>
      <c r="C171" s="5" t="n"/>
      <c r="D171" s="5" t="inlineStr">
        <is>
          <t>Anil Ganguly — Wikipedia</t>
        </is>
      </c>
      <c r="E171" s="5" t="inlineStr">
        <is>
          <t>Wikipedia</t>
        </is>
      </c>
      <c r="F171" s="5" t="n"/>
      <c r="G171" s="5" t="n"/>
      <c r="H171" s="22" t="inlineStr">
        <is>
          <t>https://en.wikipedia.org/wiki/Anil_Ganguly</t>
        </is>
      </c>
      <c r="I171" s="16" t="n">
        <v>46287</v>
      </c>
      <c r="J171" s="5" t="inlineStr">
        <is>
          <t>Indian film director. Biography, dates, career background, notable works and awards for Anil Ganguly, used for the collaborator entry.</t>
        </is>
      </c>
      <c r="K171" s="5" t="inlineStr">
        <is>
          <t>Encyclopedia article</t>
        </is>
      </c>
      <c r="L171" s="5" t="inlineStr">
        <is>
          <t>C</t>
        </is>
      </c>
      <c r="M171" s="5" t="inlineStr">
        <is>
          <t>Downloaded as raw wikitext.</t>
        </is>
      </c>
    </row>
    <row r="172" ht="64" customHeight="1">
      <c r="A172" s="15" t="inlineStr">
        <is>
          <t>SOURCE-171</t>
        </is>
      </c>
      <c r="B172" s="5" t="n"/>
      <c r="C172" s="5" t="n"/>
      <c r="D172" s="5" t="inlineStr">
        <is>
          <t>Anu Malik — Wikipedia</t>
        </is>
      </c>
      <c r="E172" s="5" t="inlineStr">
        <is>
          <t>Wikipedia</t>
        </is>
      </c>
      <c r="F172" s="5" t="n"/>
      <c r="G172" s="5" t="n"/>
      <c r="H172" s="22" t="inlineStr">
        <is>
          <t>https://en.wikipedia.org/wiki/Anu_Malik</t>
        </is>
      </c>
      <c r="I172" s="16" t="n">
        <v>46287</v>
      </c>
      <c r="J172" s="5" t="inlineStr">
        <is>
          <t>Indian music director and singer (born 1960). Biography, dates, career background, notable works and awards for Anu Malik, used for the collaborator entry.</t>
        </is>
      </c>
      <c r="K172" s="5" t="inlineStr">
        <is>
          <t>Encyclopedia article</t>
        </is>
      </c>
      <c r="L172" s="5" t="inlineStr">
        <is>
          <t>C</t>
        </is>
      </c>
      <c r="M172" s="5" t="inlineStr">
        <is>
          <t>Downloaded as raw wikitext.</t>
        </is>
      </c>
    </row>
    <row r="173" ht="49" customHeight="1">
      <c r="A173" s="15" t="inlineStr">
        <is>
          <t>SOURCE-172</t>
        </is>
      </c>
      <c r="B173" s="5" t="n"/>
      <c r="C173" s="5" t="n"/>
      <c r="D173" s="5" t="inlineStr">
        <is>
          <t>Asit Sen (director) — Wikipedia</t>
        </is>
      </c>
      <c r="E173" s="5" t="inlineStr">
        <is>
          <t>Wikipedia</t>
        </is>
      </c>
      <c r="F173" s="5" t="n"/>
      <c r="G173" s="5" t="n"/>
      <c r="H173" s="22" t="inlineStr">
        <is>
          <t>https://en.wikipedia.org/wiki/Asit_Sen_(director)</t>
        </is>
      </c>
      <c r="I173" s="16" t="n">
        <v>46287</v>
      </c>
      <c r="J173" s="5" t="inlineStr">
        <is>
          <t>Film director. Biography, dates, career background, notable works and awards for Asit Sen, used for the collaborator entry.</t>
        </is>
      </c>
      <c r="K173" s="5" t="inlineStr">
        <is>
          <t>Encyclopedia article</t>
        </is>
      </c>
      <c r="L173" s="5" t="inlineStr">
        <is>
          <t>C</t>
        </is>
      </c>
      <c r="M173" s="5" t="inlineStr">
        <is>
          <t>Downloaded as raw wikitext.</t>
        </is>
      </c>
    </row>
    <row r="174" ht="64" customHeight="1">
      <c r="A174" s="15" t="inlineStr">
        <is>
          <t>SOURCE-173</t>
        </is>
      </c>
      <c r="B174" s="5" t="n"/>
      <c r="C174" s="5" t="n"/>
      <c r="D174" s="5" t="inlineStr">
        <is>
          <t>B. R. Chopra — Wikipedia</t>
        </is>
      </c>
      <c r="E174" s="5" t="inlineStr">
        <is>
          <t>Wikipedia</t>
        </is>
      </c>
      <c r="F174" s="5" t="n"/>
      <c r="G174" s="5" t="n"/>
      <c r="H174" s="22" t="inlineStr">
        <is>
          <t>https://en.wikipedia.org/wiki/B._R._Chopra</t>
        </is>
      </c>
      <c r="I174" s="16" t="n">
        <v>46287</v>
      </c>
      <c r="J174" s="5" t="inlineStr">
        <is>
          <t>Indian film director (1914–2008). Biography, dates, career background, notable works and awards for B. R. Chopra, used for the collaborator entry.</t>
        </is>
      </c>
      <c r="K174" s="5" t="inlineStr">
        <is>
          <t>Encyclopedia article</t>
        </is>
      </c>
      <c r="L174" s="5" t="inlineStr">
        <is>
          <t>C</t>
        </is>
      </c>
      <c r="M174" s="5" t="inlineStr">
        <is>
          <t>Downloaded as raw wikitext.</t>
        </is>
      </c>
    </row>
    <row r="175" ht="64" customHeight="1">
      <c r="A175" s="15" t="inlineStr">
        <is>
          <t>SOURCE-174</t>
        </is>
      </c>
      <c r="B175" s="5" t="n"/>
      <c r="C175" s="5" t="n"/>
      <c r="D175" s="5" t="inlineStr">
        <is>
          <t>B. R. Chopra — Wikipedia</t>
        </is>
      </c>
      <c r="E175" s="5" t="inlineStr">
        <is>
          <t>Wikipedia</t>
        </is>
      </c>
      <c r="F175" s="5" t="n"/>
      <c r="G175" s="5" t="n"/>
      <c r="H175" s="22" t="inlineStr">
        <is>
          <t>https://en.wikipedia.org/wiki/B._R._Chopra</t>
        </is>
      </c>
      <c r="I175" s="16" t="n">
        <v>46287</v>
      </c>
      <c r="J175" s="5" t="inlineStr">
        <is>
          <t>Indian film director (1914–2008). Biography, dates, career background, notable works and awards for B. R. Films, used for the collaborator entry.</t>
        </is>
      </c>
      <c r="K175" s="5" t="inlineStr">
        <is>
          <t>Encyclopedia article</t>
        </is>
      </c>
      <c r="L175" s="5" t="inlineStr">
        <is>
          <t>C</t>
        </is>
      </c>
      <c r="M175" s="5" t="inlineStr">
        <is>
          <t>Downloaded as raw wikitext. B. R. Films has no article of its own; this is the article for the person who founded and ran it, used only for what it says about the banner.</t>
        </is>
      </c>
    </row>
    <row r="176" ht="64" customHeight="1">
      <c r="A176" s="15" t="inlineStr">
        <is>
          <t>SOURCE-175</t>
        </is>
      </c>
      <c r="B176" s="5" t="n"/>
      <c r="C176" s="5" t="n"/>
      <c r="D176" s="5" t="inlineStr">
        <is>
          <t>G. P. Sippy — Wikipedia</t>
        </is>
      </c>
      <c r="E176" s="5" t="inlineStr">
        <is>
          <t>Wikipedia</t>
        </is>
      </c>
      <c r="F176" s="5" t="n"/>
      <c r="G176" s="5" t="n"/>
      <c r="H176" s="22" t="inlineStr">
        <is>
          <t>https://en.wikipedia.org/wiki/G._P._Sippy</t>
        </is>
      </c>
      <c r="I176" s="16" t="n">
        <v>46287</v>
      </c>
      <c r="J176" s="5" t="inlineStr">
        <is>
          <t>Indian film producer and director (1914–2007). Biography, dates, career background, notable works and awards for G. P. Sippy, used for the collaborator entry.</t>
        </is>
      </c>
      <c r="K176" s="5" t="inlineStr">
        <is>
          <t>Encyclopedia article</t>
        </is>
      </c>
      <c r="L176" s="5" t="inlineStr">
        <is>
          <t>C</t>
        </is>
      </c>
      <c r="M176" s="5" t="inlineStr">
        <is>
          <t>Downloaded as raw wikitext.</t>
        </is>
      </c>
    </row>
    <row r="177" ht="64" customHeight="1">
      <c r="A177" s="15" t="inlineStr">
        <is>
          <t>SOURCE-176</t>
        </is>
      </c>
      <c r="B177" s="5" t="n"/>
      <c r="C177" s="5" t="n"/>
      <c r="D177" s="5" t="inlineStr">
        <is>
          <t>Girish Karnad — Wikipedia</t>
        </is>
      </c>
      <c r="E177" s="5" t="inlineStr">
        <is>
          <t>Wikipedia</t>
        </is>
      </c>
      <c r="F177" s="5" t="n"/>
      <c r="G177" s="5" t="n"/>
      <c r="H177" s="22" t="inlineStr">
        <is>
          <t>https://en.wikipedia.org/wiki/Girish_Karnad</t>
        </is>
      </c>
      <c r="I177" s="16" t="n">
        <v>46287</v>
      </c>
      <c r="J177" s="5" t="inlineStr">
        <is>
          <t>Indian playwright, actor, director, and writer (1938–2019). Biography, dates, career background, notable works and awards for Girish Karnad, used for the collaborator entry.</t>
        </is>
      </c>
      <c r="K177" s="5" t="inlineStr">
        <is>
          <t>Encyclopedia article</t>
        </is>
      </c>
      <c r="L177" s="5" t="inlineStr">
        <is>
          <t>C</t>
        </is>
      </c>
      <c r="M177" s="5" t="inlineStr">
        <is>
          <t>Downloaded as raw wikitext.</t>
        </is>
      </c>
    </row>
    <row r="178" ht="64" customHeight="1">
      <c r="A178" s="15" t="inlineStr">
        <is>
          <t>SOURCE-177</t>
        </is>
      </c>
      <c r="B178" s="5" t="n"/>
      <c r="C178" s="5" t="n"/>
      <c r="D178" s="5" t="inlineStr">
        <is>
          <t>Gulshan Rai — Wikipedia</t>
        </is>
      </c>
      <c r="E178" s="5" t="inlineStr">
        <is>
          <t>Wikipedia</t>
        </is>
      </c>
      <c r="F178" s="5" t="n"/>
      <c r="G178" s="5" t="n"/>
      <c r="H178" s="22" t="inlineStr">
        <is>
          <t>https://en.wikipedia.org/wiki/Gulshan_Rai</t>
        </is>
      </c>
      <c r="I178" s="16" t="n">
        <v>46287</v>
      </c>
      <c r="J178" s="5" t="inlineStr">
        <is>
          <t>Indian film producer and distributor (1924–2004). Biography, dates, career background, notable works and awards for Gulshan Rai, used for the collaborator entry.</t>
        </is>
      </c>
      <c r="K178" s="5" t="inlineStr">
        <is>
          <t>Encyclopedia article</t>
        </is>
      </c>
      <c r="L178" s="5" t="inlineStr">
        <is>
          <t>C</t>
        </is>
      </c>
      <c r="M178" s="5" t="inlineStr">
        <is>
          <t>Downloaded as raw wikitext.</t>
        </is>
      </c>
    </row>
    <row r="179" ht="64" customHeight="1">
      <c r="A179" s="15" t="inlineStr">
        <is>
          <t>SOURCE-178</t>
        </is>
      </c>
      <c r="B179" s="5" t="n"/>
      <c r="C179" s="5" t="n"/>
      <c r="D179" s="5" t="inlineStr">
        <is>
          <t>Harmesh Malhotra — Wikipedia</t>
        </is>
      </c>
      <c r="E179" s="5" t="inlineStr">
        <is>
          <t>Wikipedia</t>
        </is>
      </c>
      <c r="F179" s="5" t="n"/>
      <c r="G179" s="5" t="n"/>
      <c r="H179" s="22" t="inlineStr">
        <is>
          <t>https://en.wikipedia.org/wiki/Harmesh_Malhotra</t>
        </is>
      </c>
      <c r="I179" s="16" t="n">
        <v>46287</v>
      </c>
      <c r="J179" s="5" t="inlineStr">
        <is>
          <t>Indian film director, producer, and writer. Biography, dates, career background, notable works and awards for Harmesh Malhotra, used for the collaborator entry.</t>
        </is>
      </c>
      <c r="K179" s="5" t="inlineStr">
        <is>
          <t>Encyclopedia article</t>
        </is>
      </c>
      <c r="L179" s="5" t="inlineStr">
        <is>
          <t>C</t>
        </is>
      </c>
      <c r="M179" s="5" t="inlineStr">
        <is>
          <t>Downloaded as raw wikitext.</t>
        </is>
      </c>
    </row>
    <row r="180" ht="64" customHeight="1">
      <c r="A180" s="15" t="inlineStr">
        <is>
          <t>SOURCE-179</t>
        </is>
      </c>
      <c r="B180" s="5" t="n"/>
      <c r="C180" s="5" t="n"/>
      <c r="D180" s="5" t="inlineStr">
        <is>
          <t>Jainendra Jain (screenwriter) — Wikipedia</t>
        </is>
      </c>
      <c r="E180" s="5" t="inlineStr">
        <is>
          <t>Wikipedia</t>
        </is>
      </c>
      <c r="F180" s="5" t="n"/>
      <c r="G180" s="5" t="n"/>
      <c r="H180" s="22" t="inlineStr">
        <is>
          <t>https://en.wikipedia.org/wiki/Jainendra_Jain_(screenwriter)</t>
        </is>
      </c>
      <c r="I180" s="16" t="n">
        <v>46287</v>
      </c>
      <c r="J180" s="5" t="inlineStr">
        <is>
          <t>Indian film screenwriter (1939-2007). Biography, dates, career background, notable works and awards for Jainendra Jain, used for the collaborator entry.</t>
        </is>
      </c>
      <c r="K180" s="5" t="inlineStr">
        <is>
          <t>Encyclopedia article</t>
        </is>
      </c>
      <c r="L180" s="5" t="inlineStr">
        <is>
          <t>C</t>
        </is>
      </c>
      <c r="M180" s="5" t="inlineStr">
        <is>
          <t>Downloaded as raw wikitext.</t>
        </is>
      </c>
    </row>
    <row r="181" ht="79" customHeight="1">
      <c r="A181" s="15" t="inlineStr">
        <is>
          <t>SOURCE-180</t>
        </is>
      </c>
      <c r="B181" s="5" t="n"/>
      <c r="C181" s="5" t="n"/>
      <c r="D181" s="5" t="inlineStr">
        <is>
          <t>K. Asif — Wikipedia</t>
        </is>
      </c>
      <c r="E181" s="5" t="inlineStr">
        <is>
          <t>Wikipedia</t>
        </is>
      </c>
      <c r="F181" s="5" t="n"/>
      <c r="G181" s="5" t="n"/>
      <c r="H181" s="22" t="inlineStr">
        <is>
          <t>https://en.wikipedia.org/wiki/K._Asif</t>
        </is>
      </c>
      <c r="I181" s="16" t="n">
        <v>46287</v>
      </c>
      <c r="J181" s="5" t="inlineStr">
        <is>
          <t>Indian director (1922–1971). Biography, dates, career background, notable works and awards for K. Asif Studios, used for the collaborator entry.</t>
        </is>
      </c>
      <c r="K181" s="5" t="inlineStr">
        <is>
          <t>Encyclopedia article</t>
        </is>
      </c>
      <c r="L181" s="5" t="inlineStr">
        <is>
          <t>C</t>
        </is>
      </c>
      <c r="M181" s="5" t="inlineStr">
        <is>
          <t>Downloaded as raw wikitext. K. Asif Studios has no article of its own; this is the article for the person who founded and ran it, used only for what it says about the banner.</t>
        </is>
      </c>
    </row>
    <row r="182" ht="49" customHeight="1">
      <c r="A182" s="15" t="inlineStr">
        <is>
          <t>SOURCE-181</t>
        </is>
      </c>
      <c r="B182" s="5" t="n"/>
      <c r="C182" s="5" t="n"/>
      <c r="D182" s="5" t="inlineStr">
        <is>
          <t>Manmohan Desai — Wikipedia</t>
        </is>
      </c>
      <c r="E182" s="5" t="inlineStr">
        <is>
          <t>Wikipedia</t>
        </is>
      </c>
      <c r="F182" s="5" t="n"/>
      <c r="G182" s="5" t="n"/>
      <c r="H182" s="22" t="inlineStr">
        <is>
          <t>https://en.wikipedia.org/wiki/Manmohan_Desai</t>
        </is>
      </c>
      <c r="I182" s="16" t="n">
        <v>46287</v>
      </c>
      <c r="J182" s="5" t="inlineStr">
        <is>
          <t>Indian filmmaker (1937-1994). Biography, dates, career background, notable works and awards for Manmohan Desai, used for the collaborator entry.</t>
        </is>
      </c>
      <c r="K182" s="5" t="inlineStr">
        <is>
          <t>Encyclopedia article</t>
        </is>
      </c>
      <c r="L182" s="5" t="inlineStr">
        <is>
          <t>C</t>
        </is>
      </c>
      <c r="M182" s="5" t="inlineStr">
        <is>
          <t>Downloaded as raw wikitext.</t>
        </is>
      </c>
    </row>
    <row r="183" ht="64" customHeight="1">
      <c r="A183" s="15" t="inlineStr">
        <is>
          <t>SOURCE-182</t>
        </is>
      </c>
      <c r="B183" s="5" t="n"/>
      <c r="C183" s="5" t="n"/>
      <c r="D183" s="5" t="inlineStr">
        <is>
          <t>Merchant Ivory Productions — Wikipedia</t>
        </is>
      </c>
      <c r="E183" s="5" t="inlineStr">
        <is>
          <t>Wikipedia</t>
        </is>
      </c>
      <c r="F183" s="5" t="n"/>
      <c r="G183" s="5" t="n"/>
      <c r="H183" s="22" t="inlineStr">
        <is>
          <t>https://en.wikipedia.org/wiki/Merchant_Ivory_Productions</t>
        </is>
      </c>
      <c r="I183" s="16" t="n">
        <v>46287</v>
      </c>
      <c r="J183" s="5" t="inlineStr">
        <is>
          <t>Film production company. Biography, dates, career background, notable works and awards for Merchant Ivory Productions, used for the collaborator entry.</t>
        </is>
      </c>
      <c r="K183" s="5" t="inlineStr">
        <is>
          <t>Encyclopedia article</t>
        </is>
      </c>
      <c r="L183" s="5" t="inlineStr">
        <is>
          <t>C</t>
        </is>
      </c>
      <c r="M183" s="5" t="inlineStr">
        <is>
          <t>Downloaded as raw wikitext.</t>
        </is>
      </c>
    </row>
    <row r="184" ht="49" customHeight="1">
      <c r="A184" s="15" t="inlineStr">
        <is>
          <t>SOURCE-183</t>
        </is>
      </c>
      <c r="B184" s="5" t="n"/>
      <c r="C184" s="5" t="n"/>
      <c r="D184" s="5" t="inlineStr">
        <is>
          <t>Mushir Alam — Wikipedia</t>
        </is>
      </c>
      <c r="E184" s="5" t="inlineStr">
        <is>
          <t>Wikipedia</t>
        </is>
      </c>
      <c r="F184" s="5" t="n"/>
      <c r="G184" s="5" t="n"/>
      <c r="H184" s="22" t="inlineStr">
        <is>
          <t>https://en.wikipedia.org/wiki/Mushir_Alam</t>
        </is>
      </c>
      <c r="I184" s="16" t="n">
        <v>46287</v>
      </c>
      <c r="J184" s="5" t="inlineStr">
        <is>
          <t>Indian film producer. Biography, dates, career background, notable works and awards for Mushir-Riaz, used for the collaborator entry.</t>
        </is>
      </c>
      <c r="K184" s="5" t="inlineStr">
        <is>
          <t>Encyclopedia article</t>
        </is>
      </c>
      <c r="L184" s="5" t="inlineStr">
        <is>
          <t>C</t>
        </is>
      </c>
      <c r="M184" s="5" t="inlineStr">
        <is>
          <t>Downloaded as raw wikitext.</t>
        </is>
      </c>
    </row>
    <row r="185" ht="64" customHeight="1">
      <c r="A185" s="15" t="inlineStr">
        <is>
          <t>SOURCE-184</t>
        </is>
      </c>
      <c r="B185" s="5" t="n"/>
      <c r="C185" s="5" t="n"/>
      <c r="D185" s="5" t="inlineStr">
        <is>
          <t>Pahlaj Nihalani — Wikipedia</t>
        </is>
      </c>
      <c r="E185" s="5" t="inlineStr">
        <is>
          <t>Wikipedia</t>
        </is>
      </c>
      <c r="F185" s="5" t="n"/>
      <c r="G185" s="5" t="n"/>
      <c r="H185" s="22" t="inlineStr">
        <is>
          <t>https://en.wikipedia.org/wiki/Pahlaj_Nihalani</t>
        </is>
      </c>
      <c r="I185" s="16" t="n">
        <v>46287</v>
      </c>
      <c r="J185" s="5" t="inlineStr">
        <is>
          <t>Indian film producer (1950–2026). Biography, dates, career background, notable works and awards for Pahlaj Nihalani, used for the collaborator entry.</t>
        </is>
      </c>
      <c r="K185" s="5" t="inlineStr">
        <is>
          <t>Encyclopedia article</t>
        </is>
      </c>
      <c r="L185" s="5" t="inlineStr">
        <is>
          <t>C</t>
        </is>
      </c>
      <c r="M185" s="5" t="inlineStr">
        <is>
          <t>Downloaded as raw wikitext.</t>
        </is>
      </c>
    </row>
    <row r="186" ht="64" customHeight="1">
      <c r="A186" s="15" t="inlineStr">
        <is>
          <t>SOURCE-185</t>
        </is>
      </c>
      <c r="B186" s="5" t="n"/>
      <c r="C186" s="5" t="n"/>
      <c r="D186" s="5" t="inlineStr">
        <is>
          <t>Prakash Mehra — Wikipedia</t>
        </is>
      </c>
      <c r="E186" s="5" t="inlineStr">
        <is>
          <t>Wikipedia</t>
        </is>
      </c>
      <c r="F186" s="5" t="n"/>
      <c r="G186" s="5" t="n"/>
      <c r="H186" s="22" t="inlineStr">
        <is>
          <t>https://en.wikipedia.org/wiki/Prakash_Mehra</t>
        </is>
      </c>
      <c r="I186" s="16" t="n">
        <v>46287</v>
      </c>
      <c r="J186" s="5" t="inlineStr">
        <is>
          <t>Indian film producer and director (1939–2009). Biography, dates, career background, notable works and awards for Prakash Mehra, used for the collaborator entry.</t>
        </is>
      </c>
      <c r="K186" s="5" t="inlineStr">
        <is>
          <t>Encyclopedia article</t>
        </is>
      </c>
      <c r="L186" s="5" t="inlineStr">
        <is>
          <t>C</t>
        </is>
      </c>
      <c r="M186" s="5" t="inlineStr">
        <is>
          <t>Downloaded as raw wikitext.</t>
        </is>
      </c>
    </row>
    <row r="187" ht="64" customHeight="1">
      <c r="A187" s="15" t="inlineStr">
        <is>
          <t>SOURCE-186</t>
        </is>
      </c>
      <c r="B187" s="5" t="n"/>
      <c r="C187" s="5" t="n"/>
      <c r="D187" s="5" t="inlineStr">
        <is>
          <t>R. K. Films — Wikipedia</t>
        </is>
      </c>
      <c r="E187" s="5" t="inlineStr">
        <is>
          <t>Wikipedia</t>
        </is>
      </c>
      <c r="F187" s="5" t="n"/>
      <c r="G187" s="5" t="n"/>
      <c r="H187" s="22" t="inlineStr">
        <is>
          <t>https://en.wikipedia.org/wiki/R._K._Films</t>
        </is>
      </c>
      <c r="I187" s="16" t="n">
        <v>46287</v>
      </c>
      <c r="J187" s="5" t="inlineStr">
        <is>
          <t>Former film production company founded by Raj Kapoor. Biography, dates, career background, notable works and awards for R. K. Films, used for the collaborator entry.</t>
        </is>
      </c>
      <c r="K187" s="5" t="inlineStr">
        <is>
          <t>Encyclopedia article</t>
        </is>
      </c>
      <c r="L187" s="5" t="inlineStr">
        <is>
          <t>C</t>
        </is>
      </c>
      <c r="M187" s="5" t="inlineStr">
        <is>
          <t>Downloaded as raw wikitext.</t>
        </is>
      </c>
    </row>
    <row r="188" ht="64" customHeight="1">
      <c r="A188" s="15" t="inlineStr">
        <is>
          <t>SOURCE-187</t>
        </is>
      </c>
      <c r="B188" s="5" t="n"/>
      <c r="C188" s="5" t="n"/>
      <c r="D188" s="5" t="inlineStr">
        <is>
          <t>Rajkamal Kalamandir — Wikipedia</t>
        </is>
      </c>
      <c r="E188" s="5" t="inlineStr">
        <is>
          <t>Wikipedia</t>
        </is>
      </c>
      <c r="F188" s="5" t="n"/>
      <c r="G188" s="5" t="n"/>
      <c r="H188" s="22" t="inlineStr">
        <is>
          <t>https://en.wikipedia.org/wiki/Rajkamal_Kalamandir</t>
        </is>
      </c>
      <c r="I188" s="16" t="n">
        <v>46287</v>
      </c>
      <c r="J188" s="5" t="inlineStr">
        <is>
          <t>Indian film company and studio. Biography, dates, career background, notable works and awards for Rajkamal Kalamandir, used for the collaborator entry.</t>
        </is>
      </c>
      <c r="K188" s="5" t="inlineStr">
        <is>
          <t>Encyclopedia article</t>
        </is>
      </c>
      <c r="L188" s="5" t="inlineStr">
        <is>
          <t>C</t>
        </is>
      </c>
      <c r="M188" s="5" t="inlineStr">
        <is>
          <t>Downloaded as raw wikitext.</t>
        </is>
      </c>
    </row>
    <row r="189" ht="64" customHeight="1">
      <c r="A189" s="15" t="inlineStr">
        <is>
          <t>SOURCE-188</t>
        </is>
      </c>
      <c r="B189" s="5" t="n"/>
      <c r="C189" s="5" t="n"/>
      <c r="D189" s="5" t="inlineStr">
        <is>
          <t>Sandow M. M. A. Chinnappa Thevar — Wikipedia</t>
        </is>
      </c>
      <c r="E189" s="5" t="inlineStr">
        <is>
          <t>Wikipedia</t>
        </is>
      </c>
      <c r="F189" s="5" t="n"/>
      <c r="G189" s="5" t="n"/>
      <c r="H189" s="22" t="inlineStr">
        <is>
          <t>https://en.wikipedia.org/wiki/Sandow_M._M._A._Chinnappa_Thevar</t>
        </is>
      </c>
      <c r="I189" s="16" t="n">
        <v>46287</v>
      </c>
      <c r="J189" s="5" t="inlineStr">
        <is>
          <t>Indian film producer (1915–1978). Biography, dates, career background, notable works and awards for Sandow M. M. A. Chinnappa Thevar, used for the collaborator entry.</t>
        </is>
      </c>
      <c r="K189" s="5" t="inlineStr">
        <is>
          <t>Encyclopedia article</t>
        </is>
      </c>
      <c r="L189" s="5" t="inlineStr">
        <is>
          <t>C</t>
        </is>
      </c>
      <c r="M189" s="5" t="inlineStr">
        <is>
          <t>Downloaded as raw wikitext.</t>
        </is>
      </c>
    </row>
    <row r="190" ht="64" customHeight="1">
      <c r="A190" s="15" t="inlineStr">
        <is>
          <t>SOURCE-189</t>
        </is>
      </c>
      <c r="B190" s="5" t="n"/>
      <c r="C190" s="5" t="n"/>
      <c r="D190" s="5" t="inlineStr">
        <is>
          <t>Shyam Benegal — Wikipedia</t>
        </is>
      </c>
      <c r="E190" s="5" t="inlineStr">
        <is>
          <t>Wikipedia</t>
        </is>
      </c>
      <c r="F190" s="5" t="n"/>
      <c r="G190" s="5" t="n"/>
      <c r="H190" s="22" t="inlineStr">
        <is>
          <t>https://en.wikipedia.org/wiki/Shyam_Benegal</t>
        </is>
      </c>
      <c r="I190" s="16" t="n">
        <v>46287</v>
      </c>
      <c r="J190" s="5" t="inlineStr">
        <is>
          <t>Indian director and screenwriter (1934–2024). Biography, dates, career background, notable works and awards for Shyam Benegal, used for the collaborator entry.</t>
        </is>
      </c>
      <c r="K190" s="5" t="inlineStr">
        <is>
          <t>Encyclopedia article</t>
        </is>
      </c>
      <c r="L190" s="5" t="inlineStr">
        <is>
          <t>C</t>
        </is>
      </c>
      <c r="M190" s="5" t="inlineStr">
        <is>
          <t>Downloaded as raw wikitext.</t>
        </is>
      </c>
    </row>
    <row r="191" ht="49" customHeight="1">
      <c r="A191" s="15" t="inlineStr">
        <is>
          <t>SOURCE-190</t>
        </is>
      </c>
      <c r="B191" s="5" t="n"/>
      <c r="C191" s="5" t="n"/>
      <c r="D191" s="5" t="inlineStr">
        <is>
          <t>Subhash Ghai — Wikipedia</t>
        </is>
      </c>
      <c r="E191" s="5" t="inlineStr">
        <is>
          <t>Wikipedia</t>
        </is>
      </c>
      <c r="F191" s="5" t="n"/>
      <c r="G191" s="5" t="n"/>
      <c r="H191" s="22" t="inlineStr">
        <is>
          <t>https://en.wikipedia.org/wiki/Subhash_Ghai</t>
        </is>
      </c>
      <c r="I191" s="16" t="n">
        <v>46287</v>
      </c>
      <c r="J191" s="5" t="inlineStr">
        <is>
          <t>Indian filmmaker (born 1945). Biography, dates, career background, notable works and awards for Subhash Ghai, used for the collaborator entry.</t>
        </is>
      </c>
      <c r="K191" s="5" t="inlineStr">
        <is>
          <t>Encyclopedia article</t>
        </is>
      </c>
      <c r="L191" s="5" t="inlineStr">
        <is>
          <t>C</t>
        </is>
      </c>
      <c r="M191" s="5" t="inlineStr">
        <is>
          <t>Downloaded as raw wikitext.</t>
        </is>
      </c>
    </row>
    <row r="192" ht="49" customHeight="1">
      <c r="A192" s="15" t="inlineStr">
        <is>
          <t>SOURCE-191</t>
        </is>
      </c>
      <c r="B192" s="5" t="n"/>
      <c r="C192" s="5" t="n"/>
      <c r="D192" s="5" t="inlineStr">
        <is>
          <t>Trimurti Films — Wikipedia</t>
        </is>
      </c>
      <c r="E192" s="5" t="inlineStr">
        <is>
          <t>Wikipedia</t>
        </is>
      </c>
      <c r="F192" s="5" t="n"/>
      <c r="G192" s="5" t="n"/>
      <c r="H192" s="22" t="inlineStr">
        <is>
          <t>https://en.wikipedia.org/wiki/Trimurti_Films</t>
        </is>
      </c>
      <c r="I192" s="16" t="n">
        <v>46287</v>
      </c>
      <c r="J192" s="5" t="inlineStr">
        <is>
          <t>Indian film production house. Biography, dates, career background, notable works and awards for Trimurti Films, used for the collaborator entry.</t>
        </is>
      </c>
      <c r="K192" s="5" t="inlineStr">
        <is>
          <t>Encyclopedia article</t>
        </is>
      </c>
      <c r="L192" s="5" t="inlineStr">
        <is>
          <t>C</t>
        </is>
      </c>
      <c r="M192" s="5" t="inlineStr">
        <is>
          <t>Downloaded as raw wikitext.</t>
        </is>
      </c>
    </row>
    <row r="193" ht="49" customHeight="1">
      <c r="A193" s="15" t="inlineStr">
        <is>
          <t>SOURCE-192</t>
        </is>
      </c>
      <c r="B193" s="5" t="n"/>
      <c r="C193" s="5" t="n"/>
      <c r="D193" s="5" t="inlineStr">
        <is>
          <t>Ved Rahi — Wikipedia</t>
        </is>
      </c>
      <c r="E193" s="5" t="inlineStr">
        <is>
          <t>Wikipedia</t>
        </is>
      </c>
      <c r="F193" s="5" t="n"/>
      <c r="G193" s="5" t="n"/>
      <c r="H193" s="22" t="inlineStr">
        <is>
          <t>https://en.wikipedia.org/wiki/Ved_Rahi</t>
        </is>
      </c>
      <c r="I193" s="16" t="n">
        <v>46287</v>
      </c>
      <c r="J193" s="5" t="inlineStr">
        <is>
          <t>Indian author. Biography, dates, career background, notable works and awards for Ved Rahi, used for the collaborator entry.</t>
        </is>
      </c>
      <c r="K193" s="5" t="inlineStr">
        <is>
          <t>Encyclopedia article</t>
        </is>
      </c>
      <c r="L193" s="5" t="inlineStr">
        <is>
          <t>C</t>
        </is>
      </c>
      <c r="M193" s="5" t="inlineStr">
        <is>
          <t>Downloaded as raw wikitext.</t>
        </is>
      </c>
    </row>
    <row r="194" ht="64" customHeight="1">
      <c r="A194" s="15" t="inlineStr">
        <is>
          <t>SOURCE-193</t>
        </is>
      </c>
      <c r="B194" s="5" t="n"/>
      <c r="C194" s="5" t="n"/>
      <c r="D194" s="5" t="inlineStr">
        <is>
          <t>Zakir Hussain (musician) — Wikipedia</t>
        </is>
      </c>
      <c r="E194" s="5" t="inlineStr">
        <is>
          <t>Wikipedia</t>
        </is>
      </c>
      <c r="F194" s="5" t="n"/>
      <c r="G194" s="5" t="n"/>
      <c r="H194" s="22" t="inlineStr">
        <is>
          <t>https://en.wikipedia.org/wiki/Zakir_Hussain_(musician)</t>
        </is>
      </c>
      <c r="I194" s="16" t="n">
        <v>46287</v>
      </c>
      <c r="J194" s="5" t="inlineStr">
        <is>
          <t>Indian tabla player and composer (1951–2024). Biography, dates, career background, notable works and awards for Zakir Hussain, used for the collaborator entry.</t>
        </is>
      </c>
      <c r="K194" s="5" t="inlineStr">
        <is>
          <t>Encyclopedia article</t>
        </is>
      </c>
      <c r="L194" s="5" t="inlineStr">
        <is>
          <t>C</t>
        </is>
      </c>
      <c r="M194" s="5" t="inlineStr">
        <is>
          <t>Downloaded as raw wikitext.</t>
        </is>
      </c>
    </row>
    <row r="195" ht="49" customHeight="1">
      <c r="A195" s="15" t="inlineStr">
        <is>
          <t>SOURCE-194</t>
        </is>
      </c>
      <c r="B195" s="5" t="n"/>
      <c r="C195" s="5" t="n"/>
      <c r="D195" s="5" t="inlineStr">
        <is>
          <t>Ajay Kashyap — Wikipedia</t>
        </is>
      </c>
      <c r="E195" s="5" t="inlineStr">
        <is>
          <t>Wikipedia</t>
        </is>
      </c>
      <c r="F195" s="5" t="n"/>
      <c r="G195" s="5" t="n"/>
      <c r="H195" s="22" t="inlineStr">
        <is>
          <t>https://en.wikipedia.org/wiki/Ajay_Kashyap</t>
        </is>
      </c>
      <c r="I195" s="16" t="n">
        <v>46287</v>
      </c>
      <c r="J195" s="5" t="inlineStr">
        <is>
          <t>Indian Bollywood film director. Biography, dates, career background, notable works and awards for Ajay Kashyap, used for the collaborator entry.</t>
        </is>
      </c>
      <c r="K195" s="5" t="inlineStr">
        <is>
          <t>Encyclopedia article</t>
        </is>
      </c>
      <c r="L195" s="5" t="inlineStr">
        <is>
          <t>C</t>
        </is>
      </c>
      <c r="M195" s="5" t="inlineStr">
        <is>
          <t>Downloaded as raw wikitext.</t>
        </is>
      </c>
    </row>
    <row r="196" ht="49" customHeight="1">
      <c r="A196" s="15" t="inlineStr">
        <is>
          <t>SOURCE-195</t>
        </is>
      </c>
      <c r="B196" s="5" t="n"/>
      <c r="C196" s="5" t="n"/>
      <c r="D196" s="5" t="inlineStr">
        <is>
          <t>Ajit Varman — Wikipedia</t>
        </is>
      </c>
      <c r="E196" s="5" t="inlineStr">
        <is>
          <t>Wikipedia</t>
        </is>
      </c>
      <c r="F196" s="5" t="n"/>
      <c r="G196" s="5" t="n"/>
      <c r="H196" s="22" t="inlineStr">
        <is>
          <t>https://en.wikipedia.org/wiki/Ajit_Varman</t>
        </is>
      </c>
      <c r="I196" s="16" t="n">
        <v>46287</v>
      </c>
      <c r="J196" s="5" t="inlineStr">
        <is>
          <t>Indian composer (1947–2016). Biography, dates, career background, notable works and awards for Ajit Varman, used for the collaborator entry.</t>
        </is>
      </c>
      <c r="K196" s="5" t="inlineStr">
        <is>
          <t>Encyclopedia article</t>
        </is>
      </c>
      <c r="L196" s="5" t="inlineStr">
        <is>
          <t>C</t>
        </is>
      </c>
      <c r="M196" s="5" t="inlineStr">
        <is>
          <t>Downloaded as raw wikitext.</t>
        </is>
      </c>
    </row>
    <row r="197" ht="64" customHeight="1">
      <c r="A197" s="15" t="inlineStr">
        <is>
          <t>SOURCE-196</t>
        </is>
      </c>
      <c r="B197" s="5" t="n"/>
      <c r="C197" s="5" t="n"/>
      <c r="D197" s="5" t="inlineStr">
        <is>
          <t>Akbar Ahmed — Wikipedia</t>
        </is>
      </c>
      <c r="E197" s="5" t="inlineStr">
        <is>
          <t>Wikipedia</t>
        </is>
      </c>
      <c r="F197" s="5" t="n"/>
      <c r="G197" s="5" t="n"/>
      <c r="H197" s="22" t="inlineStr">
        <is>
          <t>https://en.wikipedia.org/wiki/Akbar_Ahmed</t>
        </is>
      </c>
      <c r="I197" s="16" t="n">
        <v>46287</v>
      </c>
      <c r="J197" s="5" t="inlineStr">
        <is>
          <t>Pakistani-American academic and former diplomat. Biography, dates, career background, notable works and awards for Akbar S. Ahmed, used for the collaborator entry.</t>
        </is>
      </c>
      <c r="K197" s="5" t="inlineStr">
        <is>
          <t>Encyclopedia article</t>
        </is>
      </c>
      <c r="L197" s="5" t="inlineStr">
        <is>
          <t>C</t>
        </is>
      </c>
      <c r="M197" s="5" t="inlineStr">
        <is>
          <t>Downloaded as raw wikitext.</t>
        </is>
      </c>
    </row>
    <row r="198" ht="49" customHeight="1">
      <c r="A198" s="15" t="inlineStr">
        <is>
          <t>SOURCE-197</t>
        </is>
      </c>
      <c r="B198" s="5" t="n"/>
      <c r="C198" s="5" t="n"/>
      <c r="D198" s="5" t="inlineStr">
        <is>
          <t>Akhtar Mirza — Wikipedia</t>
        </is>
      </c>
      <c r="E198" s="5" t="inlineStr">
        <is>
          <t>Wikipedia</t>
        </is>
      </c>
      <c r="F198" s="5" t="n"/>
      <c r="G198" s="5" t="n"/>
      <c r="H198" s="22" t="inlineStr">
        <is>
          <t>https://en.wikipedia.org/wiki/Akhtar_Mirza</t>
        </is>
      </c>
      <c r="I198" s="16" t="n">
        <v>46287</v>
      </c>
      <c r="J198" s="5" t="inlineStr">
        <is>
          <t>Indian screenwriter. Biography, dates, career background, notable works and awards for Akhtar Mirza, used for the collaborator entry.</t>
        </is>
      </c>
      <c r="K198" s="5" t="inlineStr">
        <is>
          <t>Encyclopedia article</t>
        </is>
      </c>
      <c r="L198" s="5" t="inlineStr">
        <is>
          <t>C</t>
        </is>
      </c>
      <c r="M198" s="5" t="inlineStr">
        <is>
          <t>Downloaded as raw wikitext.</t>
        </is>
      </c>
    </row>
    <row r="199" ht="64" customHeight="1">
      <c r="A199" s="15" t="inlineStr">
        <is>
          <t>SOURCE-198</t>
        </is>
      </c>
      <c r="B199" s="5" t="n"/>
      <c r="C199" s="5" t="n"/>
      <c r="D199" s="5" t="inlineStr">
        <is>
          <t>Amit Khanna — Wikipedia</t>
        </is>
      </c>
      <c r="E199" s="5" t="inlineStr">
        <is>
          <t>Wikipedia</t>
        </is>
      </c>
      <c r="F199" s="5" t="n"/>
      <c r="G199" s="5" t="n"/>
      <c r="H199" s="22" t="inlineStr">
        <is>
          <t>https://en.wikipedia.org/wiki/Amit_Khanna</t>
        </is>
      </c>
      <c r="I199" s="16" t="n">
        <v>46287</v>
      </c>
      <c r="J199" s="5" t="inlineStr">
        <is>
          <t>Indian film producer, director, writer and journalist. Biography, dates, career background, notable works and awards for Amit Khanna, used for the collaborator entry.</t>
        </is>
      </c>
      <c r="K199" s="5" t="inlineStr">
        <is>
          <t>Encyclopedia article</t>
        </is>
      </c>
      <c r="L199" s="5" t="inlineStr">
        <is>
          <t>C</t>
        </is>
      </c>
      <c r="M199" s="5" t="inlineStr">
        <is>
          <t>Downloaded as raw wikitext.</t>
        </is>
      </c>
    </row>
    <row r="200" ht="49" customHeight="1">
      <c r="A200" s="15" t="inlineStr">
        <is>
          <t>SOURCE-199</t>
        </is>
      </c>
      <c r="B200" s="5" t="n"/>
      <c r="C200" s="5" t="n"/>
      <c r="D200" s="5" t="inlineStr">
        <is>
          <t>Anand–Milind — Wikipedia</t>
        </is>
      </c>
      <c r="E200" s="5" t="inlineStr">
        <is>
          <t>Wikipedia</t>
        </is>
      </c>
      <c r="F200" s="5" t="n"/>
      <c r="G200" s="5" t="n"/>
      <c r="H200" s="22" t="inlineStr">
        <is>
          <t>https://en.wikipedia.org/wiki/Anand%E2%80%93Milind</t>
        </is>
      </c>
      <c r="I200" s="16" t="n">
        <v>46287</v>
      </c>
      <c r="J200" s="5" t="inlineStr">
        <is>
          <t>Indian music directors duo. Biography, dates, career background, notable works and awards for Anand-Milind, used for the collaborator entry.</t>
        </is>
      </c>
      <c r="K200" s="5" t="inlineStr">
        <is>
          <t>Encyclopedia article</t>
        </is>
      </c>
      <c r="L200" s="5" t="inlineStr">
        <is>
          <t>C</t>
        </is>
      </c>
      <c r="M200" s="5" t="inlineStr">
        <is>
          <t>Downloaded as raw wikitext.</t>
        </is>
      </c>
    </row>
    <row r="201" ht="49" customHeight="1">
      <c r="A201" s="15" t="inlineStr">
        <is>
          <t>SOURCE-200</t>
        </is>
      </c>
      <c r="B201" s="5" t="n"/>
      <c r="C201" s="5" t="n"/>
      <c r="D201" s="5" t="inlineStr">
        <is>
          <t>Anees Bazmee — Wikipedia</t>
        </is>
      </c>
      <c r="E201" s="5" t="inlineStr">
        <is>
          <t>Wikipedia</t>
        </is>
      </c>
      <c r="F201" s="5" t="n"/>
      <c r="G201" s="5" t="n"/>
      <c r="H201" s="22" t="inlineStr">
        <is>
          <t>https://en.wikipedia.org/wiki/Anees_Bazmee</t>
        </is>
      </c>
      <c r="I201" s="16" t="n">
        <v>46287</v>
      </c>
      <c r="J201" s="5" t="inlineStr">
        <is>
          <t>Indian filmmaker (born 1962). Biography, dates, career background, notable works and awards for Anees Bazmee, used for the collaborator entry.</t>
        </is>
      </c>
      <c r="K201" s="5" t="inlineStr">
        <is>
          <t>Encyclopedia article</t>
        </is>
      </c>
      <c r="L201" s="5" t="inlineStr">
        <is>
          <t>C</t>
        </is>
      </c>
      <c r="M201" s="5" t="inlineStr">
        <is>
          <t>Downloaded as raw wikitext.</t>
        </is>
      </c>
    </row>
    <row r="202" ht="49" customHeight="1">
      <c r="A202" s="15" t="inlineStr">
        <is>
          <t>SOURCE-201</t>
        </is>
      </c>
      <c r="B202" s="5" t="n"/>
      <c r="C202" s="5" t="n"/>
      <c r="D202" s="5" t="inlineStr">
        <is>
          <t>Anil Sharma (director) — Wikipedia</t>
        </is>
      </c>
      <c r="E202" s="5" t="inlineStr">
        <is>
          <t>Wikipedia</t>
        </is>
      </c>
      <c r="F202" s="5" t="n"/>
      <c r="G202" s="5" t="n"/>
      <c r="H202" s="22" t="inlineStr">
        <is>
          <t>https://en.wikipedia.org/wiki/Anil_Sharma_(director)</t>
        </is>
      </c>
      <c r="I202" s="16" t="n">
        <v>46287</v>
      </c>
      <c r="J202" s="5" t="inlineStr">
        <is>
          <t>Indian filmmaker. Biography, dates, career background, notable works and awards for Anil Sharma, used for the collaborator entry.</t>
        </is>
      </c>
      <c r="K202" s="5" t="inlineStr">
        <is>
          <t>Encyclopedia article</t>
        </is>
      </c>
      <c r="L202" s="5" t="inlineStr">
        <is>
          <t>C</t>
        </is>
      </c>
      <c r="M202" s="5" t="inlineStr">
        <is>
          <t>Downloaded as raw wikitext.</t>
        </is>
      </c>
    </row>
    <row r="203" ht="49" customHeight="1">
      <c r="A203" s="15" t="inlineStr">
        <is>
          <t>SOURCE-202</t>
        </is>
      </c>
      <c r="B203" s="5" t="n"/>
      <c r="C203" s="5" t="n"/>
      <c r="D203" s="5" t="inlineStr">
        <is>
          <t>Anita Desai — Wikipedia</t>
        </is>
      </c>
      <c r="E203" s="5" t="inlineStr">
        <is>
          <t>Wikipedia</t>
        </is>
      </c>
      <c r="F203" s="5" t="n"/>
      <c r="G203" s="5" t="n"/>
      <c r="H203" s="22" t="inlineStr">
        <is>
          <t>https://en.wikipedia.org/wiki/Anita_Desai</t>
        </is>
      </c>
      <c r="I203" s="16" t="n">
        <v>46287</v>
      </c>
      <c r="J203" s="5" t="inlineStr">
        <is>
          <t>Indian novelist (born 1937). Biography, dates, career background, notable works and awards for Anita Desai, used for the collaborator entry.</t>
        </is>
      </c>
      <c r="K203" s="5" t="inlineStr">
        <is>
          <t>Encyclopedia article</t>
        </is>
      </c>
      <c r="L203" s="5" t="inlineStr">
        <is>
          <t>C</t>
        </is>
      </c>
      <c r="M203" s="5" t="inlineStr">
        <is>
          <t>Downloaded as raw wikitext.</t>
        </is>
      </c>
    </row>
    <row r="204" ht="64" customHeight="1">
      <c r="A204" s="15" t="inlineStr">
        <is>
          <t>SOURCE-203</t>
        </is>
      </c>
      <c r="B204" s="5" t="n"/>
      <c r="C204" s="5" t="n"/>
      <c r="D204" s="5" t="inlineStr">
        <is>
          <t>Arun Bhatt — Wikipedia</t>
        </is>
      </c>
      <c r="E204" s="5" t="inlineStr">
        <is>
          <t>Wikipedia</t>
        </is>
      </c>
      <c r="F204" s="5" t="n"/>
      <c r="G204" s="5" t="n"/>
      <c r="H204" s="22" t="inlineStr">
        <is>
          <t>https://en.wikipedia.org/wiki/Arun_Bhatt</t>
        </is>
      </c>
      <c r="I204" s="16" t="n">
        <v>46287</v>
      </c>
      <c r="J204" s="5" t="inlineStr">
        <is>
          <t>Indian film director and producer. Biography, dates, career background, notable works and awards for Arun Bhatt, used for the collaborator entry.</t>
        </is>
      </c>
      <c r="K204" s="5" t="inlineStr">
        <is>
          <t>Encyclopedia article</t>
        </is>
      </c>
      <c r="L204" s="5" t="inlineStr">
        <is>
          <t>C</t>
        </is>
      </c>
      <c r="M204" s="5" t="inlineStr">
        <is>
          <t>Downloaded as raw wikitext.</t>
        </is>
      </c>
    </row>
    <row r="205" ht="64" customHeight="1">
      <c r="A205" s="15" t="inlineStr">
        <is>
          <t>SOURCE-204</t>
        </is>
      </c>
      <c r="B205" s="5" t="n"/>
      <c r="C205" s="5" t="n"/>
      <c r="D205" s="5" t="inlineStr">
        <is>
          <t>B. R. Ishara — Wikipedia</t>
        </is>
      </c>
      <c r="E205" s="5" t="inlineStr">
        <is>
          <t>Wikipedia</t>
        </is>
      </c>
      <c r="F205" s="5" t="n"/>
      <c r="G205" s="5" t="n"/>
      <c r="H205" s="22" t="inlineStr">
        <is>
          <t>https://en.wikipedia.org/wiki/B._R._Ishara</t>
        </is>
      </c>
      <c r="I205" s="16" t="n">
        <v>46287</v>
      </c>
      <c r="J205" s="5" t="inlineStr">
        <is>
          <t>Indian film director and screenwriter. Biography, dates, career background, notable works and awards for B. R. Ishara, used for the collaborator entry.</t>
        </is>
      </c>
      <c r="K205" s="5" t="inlineStr">
        <is>
          <t>Encyclopedia article</t>
        </is>
      </c>
      <c r="L205" s="5" t="inlineStr">
        <is>
          <t>C</t>
        </is>
      </c>
      <c r="M205" s="5" t="inlineStr">
        <is>
          <t>Downloaded as raw wikitext.</t>
        </is>
      </c>
    </row>
    <row r="206" ht="64" customHeight="1">
      <c r="A206" s="15" t="inlineStr">
        <is>
          <t>SOURCE-205</t>
        </is>
      </c>
      <c r="B206" s="5" t="n"/>
      <c r="C206" s="5" t="n"/>
      <c r="D206" s="5" t="inlineStr">
        <is>
          <t>B. V. Karanth — Wikipedia</t>
        </is>
      </c>
      <c r="E206" s="5" t="inlineStr">
        <is>
          <t>Wikipedia</t>
        </is>
      </c>
      <c r="F206" s="5" t="n"/>
      <c r="G206" s="5" t="n"/>
      <c r="H206" s="22" t="inlineStr">
        <is>
          <t>https://en.wikipedia.org/wiki/B._V._Karanth</t>
        </is>
      </c>
      <c r="I206" s="16" t="n">
        <v>46287</v>
      </c>
      <c r="J206" s="5" t="inlineStr">
        <is>
          <t>Indian filmmaker, theatre personality (1929–2002). Biography, dates, career background, notable works and awards for B. V. Karanth, used for the collaborator entry.</t>
        </is>
      </c>
      <c r="K206" s="5" t="inlineStr">
        <is>
          <t>Encyclopedia article</t>
        </is>
      </c>
      <c r="L206" s="5" t="inlineStr">
        <is>
          <t>C</t>
        </is>
      </c>
      <c r="M206" s="5" t="inlineStr">
        <is>
          <t>Downloaded as raw wikitext.</t>
        </is>
      </c>
    </row>
    <row r="207" ht="49" customHeight="1">
      <c r="A207" s="15" t="inlineStr">
        <is>
          <t>SOURCE-206</t>
        </is>
      </c>
      <c r="B207" s="5" t="n"/>
      <c r="C207" s="5" t="n"/>
      <c r="D207" s="5" t="inlineStr">
        <is>
          <t>Bapu (director) — Wikipedia</t>
        </is>
      </c>
      <c r="E207" s="5" t="inlineStr">
        <is>
          <t>Wikipedia</t>
        </is>
      </c>
      <c r="F207" s="5" t="n"/>
      <c r="G207" s="5" t="n"/>
      <c r="H207" s="22" t="inlineStr">
        <is>
          <t>https://en.wikipedia.org/wiki/Bapu_(director)</t>
        </is>
      </c>
      <c r="I207" s="16" t="n">
        <v>46287</v>
      </c>
      <c r="J207" s="5" t="inlineStr">
        <is>
          <t>India director and artist (1933–2014). Biography, dates, career background, notable works and awards for Bapu, used for the collaborator entry.</t>
        </is>
      </c>
      <c r="K207" s="5" t="inlineStr">
        <is>
          <t>Encyclopedia article</t>
        </is>
      </c>
      <c r="L207" s="5" t="inlineStr">
        <is>
          <t>C</t>
        </is>
      </c>
      <c r="M207" s="5" t="inlineStr">
        <is>
          <t>Downloaded as raw wikitext.</t>
        </is>
      </c>
    </row>
    <row r="208" ht="49" customHeight="1">
      <c r="A208" s="15" t="inlineStr">
        <is>
          <t>SOURCE-207</t>
        </is>
      </c>
      <c r="B208" s="5" t="n"/>
      <c r="C208" s="5" t="n"/>
      <c r="D208" s="5" t="inlineStr">
        <is>
          <t>Bhappi Sonie — Wikipedia</t>
        </is>
      </c>
      <c r="E208" s="5" t="inlineStr">
        <is>
          <t>Wikipedia</t>
        </is>
      </c>
      <c r="F208" s="5" t="n"/>
      <c r="G208" s="5" t="n"/>
      <c r="H208" s="22" t="inlineStr">
        <is>
          <t>https://en.wikipedia.org/wiki/Bhappi_Sonie</t>
        </is>
      </c>
      <c r="I208" s="16" t="n">
        <v>46287</v>
      </c>
      <c r="J208" s="5" t="inlineStr">
        <is>
          <t>Indian film director. Biography, dates, career background, notable works and awards for Bhappi Sonie, used for the collaborator entry.</t>
        </is>
      </c>
      <c r="K208" s="5" t="inlineStr">
        <is>
          <t>Encyclopedia article</t>
        </is>
      </c>
      <c r="L208" s="5" t="inlineStr">
        <is>
          <t>C</t>
        </is>
      </c>
      <c r="M208" s="5" t="inlineStr">
        <is>
          <t>Downloaded as raw wikitext.</t>
        </is>
      </c>
    </row>
    <row r="209" ht="49" customHeight="1">
      <c r="A209" s="15" t="inlineStr">
        <is>
          <t>SOURCE-208</t>
        </is>
      </c>
      <c r="B209" s="5" t="n"/>
      <c r="C209" s="5" t="n"/>
      <c r="D209" s="5" t="inlineStr">
        <is>
          <t>Bharat Rangachary — Wikipedia</t>
        </is>
      </c>
      <c r="E209" s="5" t="inlineStr">
        <is>
          <t>Wikipedia</t>
        </is>
      </c>
      <c r="F209" s="5" t="n"/>
      <c r="G209" s="5" t="n"/>
      <c r="H209" s="22" t="inlineStr">
        <is>
          <t>https://en.wikipedia.org/wiki/Bharat_Rangachary</t>
        </is>
      </c>
      <c r="I209" s="16" t="n">
        <v>46287</v>
      </c>
      <c r="J209" s="5" t="inlineStr">
        <is>
          <t>Indian film director. Biography, dates, career background, notable works and awards for Bharat Rangachary, used for the collaborator entry.</t>
        </is>
      </c>
      <c r="K209" s="5" t="inlineStr">
        <is>
          <t>Encyclopedia article</t>
        </is>
      </c>
      <c r="L209" s="5" t="inlineStr">
        <is>
          <t>C</t>
        </is>
      </c>
      <c r="M209" s="5" t="inlineStr">
        <is>
          <t>Downloaded as raw wikitext.</t>
        </is>
      </c>
    </row>
    <row r="210" ht="49" customHeight="1">
      <c r="A210" s="15" t="inlineStr">
        <is>
          <t>SOURCE-209</t>
        </is>
      </c>
      <c r="B210" s="5" t="n"/>
      <c r="C210" s="5" t="n"/>
      <c r="D210" s="5" t="inlineStr">
        <is>
          <t>Bimal Roy — Wikipedia</t>
        </is>
      </c>
      <c r="E210" s="5" t="inlineStr">
        <is>
          <t>Wikipedia</t>
        </is>
      </c>
      <c r="F210" s="5" t="n"/>
      <c r="G210" s="5" t="n"/>
      <c r="H210" s="22" t="inlineStr">
        <is>
          <t>https://en.wikipedia.org/wiki/Bimal_Roy</t>
        </is>
      </c>
      <c r="I210" s="16" t="n">
        <v>46287</v>
      </c>
      <c r="J210" s="5" t="inlineStr">
        <is>
          <t>Indian film director (1909–1966). Biography, dates, career background, notable works and awards for Bimal Roy, used for the collaborator entry.</t>
        </is>
      </c>
      <c r="K210" s="5" t="inlineStr">
        <is>
          <t>Encyclopedia article</t>
        </is>
      </c>
      <c r="L210" s="5" t="inlineStr">
        <is>
          <t>C</t>
        </is>
      </c>
      <c r="M210" s="5" t="inlineStr">
        <is>
          <t>Downloaded as raw wikitext.</t>
        </is>
      </c>
    </row>
    <row r="211" ht="64" customHeight="1">
      <c r="A211" s="15" t="inlineStr">
        <is>
          <t>SOURCE-210</t>
        </is>
      </c>
      <c r="B211" s="5" t="n"/>
      <c r="C211" s="5" t="n"/>
      <c r="D211" s="5" t="inlineStr">
        <is>
          <t>Bishwanath Prasad Shahabadi — Wikipedia</t>
        </is>
      </c>
      <c r="E211" s="5" t="inlineStr">
        <is>
          <t>Wikipedia</t>
        </is>
      </c>
      <c r="F211" s="5" t="n"/>
      <c r="G211" s="5" t="n"/>
      <c r="H211" s="22" t="inlineStr">
        <is>
          <t>https://en.wikipedia.org/wiki/Bishwanath_Prasad_Shahabadi</t>
        </is>
      </c>
      <c r="I211" s="16" t="n">
        <v>46287</v>
      </c>
      <c r="J211" s="5" t="inlineStr">
        <is>
          <t>Indian film producer and businessperson. Biography, dates, career background, notable works and awards for Bishwanath Prasad Shahabadi, used for the collaborator entry.</t>
        </is>
      </c>
      <c r="K211" s="5" t="inlineStr">
        <is>
          <t>Encyclopedia article</t>
        </is>
      </c>
      <c r="L211" s="5" t="inlineStr">
        <is>
          <t>C</t>
        </is>
      </c>
      <c r="M211" s="5" t="inlineStr">
        <is>
          <t>Downloaded as raw wikitext.</t>
        </is>
      </c>
    </row>
    <row r="212" ht="64" customHeight="1">
      <c r="A212" s="15" t="inlineStr">
        <is>
          <t>SOURCE-211</t>
        </is>
      </c>
      <c r="B212" s="5" t="n"/>
      <c r="C212" s="5" t="n"/>
      <c r="D212" s="5" t="inlineStr">
        <is>
          <t>Bombay Talkies — Wikipedia</t>
        </is>
      </c>
      <c r="E212" s="5" t="inlineStr">
        <is>
          <t>Wikipedia</t>
        </is>
      </c>
      <c r="F212" s="5" t="n"/>
      <c r="G212" s="5" t="n"/>
      <c r="H212" s="22" t="inlineStr">
        <is>
          <t>https://en.wikipedia.org/wiki/Bombay_Talkies</t>
        </is>
      </c>
      <c r="I212" s="16" t="n">
        <v>46287</v>
      </c>
      <c r="J212" s="5" t="inlineStr">
        <is>
          <t>Movie studio in Mumbai, India. Biography, dates, career background, notable works and awards for Bombay Talkies, used for the collaborator entry.</t>
        </is>
      </c>
      <c r="K212" s="5" t="inlineStr">
        <is>
          <t>Encyclopedia article</t>
        </is>
      </c>
      <c r="L212" s="5" t="inlineStr">
        <is>
          <t>C</t>
        </is>
      </c>
      <c r="M212" s="5" t="inlineStr">
        <is>
          <t>Downloaded as raw wikitext.</t>
        </is>
      </c>
    </row>
    <row r="213" ht="64" customHeight="1">
      <c r="A213" s="15" t="inlineStr">
        <is>
          <t>SOURCE-212</t>
        </is>
      </c>
      <c r="B213" s="5" t="n"/>
      <c r="C213" s="5" t="n"/>
      <c r="D213" s="5" t="inlineStr">
        <is>
          <t>Brij Sadanah — Wikipedia</t>
        </is>
      </c>
      <c r="E213" s="5" t="inlineStr">
        <is>
          <t>Wikipedia</t>
        </is>
      </c>
      <c r="F213" s="5" t="n"/>
      <c r="G213" s="5" t="n"/>
      <c r="H213" s="22" t="inlineStr">
        <is>
          <t>https://en.wikipedia.org/wiki/Brij_Sadanah</t>
        </is>
      </c>
      <c r="I213" s="16" t="n">
        <v>46287</v>
      </c>
      <c r="J213" s="5" t="inlineStr">
        <is>
          <t>Indian film director (1933–1990). Biography, dates, career background, notable works and awards for Brij Sadanah, used for the collaborator entry.</t>
        </is>
      </c>
      <c r="K213" s="5" t="inlineStr">
        <is>
          <t>Encyclopedia article</t>
        </is>
      </c>
      <c r="L213" s="5" t="inlineStr">
        <is>
          <t>C</t>
        </is>
      </c>
      <c r="M213" s="5" t="inlineStr">
        <is>
          <t>Downloaded as raw wikitext.</t>
        </is>
      </c>
    </row>
    <row r="214" ht="64" customHeight="1">
      <c r="A214" s="15" t="inlineStr">
        <is>
          <t>SOURCE-213</t>
        </is>
      </c>
      <c r="B214" s="5" t="n"/>
      <c r="C214" s="5" t="n"/>
      <c r="D214" s="5" t="inlineStr">
        <is>
          <t>C. V. Sridhar — Wikipedia</t>
        </is>
      </c>
      <c r="E214" s="5" t="inlineStr">
        <is>
          <t>Wikipedia</t>
        </is>
      </c>
      <c r="F214" s="5" t="n"/>
      <c r="G214" s="5" t="n"/>
      <c r="H214" s="22" t="inlineStr">
        <is>
          <t>https://en.wikipedia.org/wiki/C._V._Sridhar</t>
        </is>
      </c>
      <c r="I214" s="16" t="n">
        <v>46287</v>
      </c>
      <c r="J214" s="5" t="inlineStr">
        <is>
          <t>Indian screenwriter and film director (1933–2008). Biography, dates, career background, notable works and awards for C. V. Sridhar, used for the collaborator entry.</t>
        </is>
      </c>
      <c r="K214" s="5" t="inlineStr">
        <is>
          <t>Encyclopedia article</t>
        </is>
      </c>
      <c r="L214" s="5" t="inlineStr">
        <is>
          <t>C</t>
        </is>
      </c>
      <c r="M214" s="5" t="inlineStr">
        <is>
          <t>Downloaded as raw wikitext.</t>
        </is>
      </c>
    </row>
    <row r="215" ht="49" customHeight="1">
      <c r="A215" s="15" t="inlineStr">
        <is>
          <t>SOURCE-214</t>
        </is>
      </c>
      <c r="B215" s="5" t="n"/>
      <c r="C215" s="5" t="n"/>
      <c r="D215" s="5" t="inlineStr">
        <is>
          <t>Tapi Chanakya — Wikipedia</t>
        </is>
      </c>
      <c r="E215" s="5" t="inlineStr">
        <is>
          <t>Wikipedia</t>
        </is>
      </c>
      <c r="F215" s="5" t="n"/>
      <c r="G215" s="5" t="n"/>
      <c r="H215" s="22" t="inlineStr">
        <is>
          <t>https://en.wikipedia.org/wiki/Tapi_Chanakya</t>
        </is>
      </c>
      <c r="I215" s="16" t="n">
        <v>46287</v>
      </c>
      <c r="J215" s="5" t="inlineStr">
        <is>
          <t>Indian film director and writer. Biography, dates, career background, notable works and awards for Chanakya, used for the collaborator entry.</t>
        </is>
      </c>
      <c r="K215" s="5" t="inlineStr">
        <is>
          <t>Encyclopedia article</t>
        </is>
      </c>
      <c r="L215" s="5" t="inlineStr">
        <is>
          <t>C</t>
        </is>
      </c>
      <c r="M215" s="5" t="inlineStr">
        <is>
          <t>Downloaded as raw wikitext.</t>
        </is>
      </c>
    </row>
    <row r="216" ht="49" customHeight="1">
      <c r="A216" s="15" t="inlineStr">
        <is>
          <t>SOURCE-215</t>
        </is>
      </c>
      <c r="B216" s="5" t="n"/>
      <c r="C216" s="5" t="n"/>
      <c r="D216" s="5" t="inlineStr">
        <is>
          <t>Chithralaya — Wikipedia</t>
        </is>
      </c>
      <c r="E216" s="5" t="inlineStr">
        <is>
          <t>Wikipedia</t>
        </is>
      </c>
      <c r="F216" s="5" t="n"/>
      <c r="G216" s="5" t="n"/>
      <c r="H216" s="22" t="inlineStr">
        <is>
          <t>https://en.wikipedia.org/wiki/Chithralaya</t>
        </is>
      </c>
      <c r="I216" s="16" t="n">
        <v>46287</v>
      </c>
      <c r="J216" s="5" t="inlineStr">
        <is>
          <t>Indian film production company. Biography, dates, career background, notable works and awards for Chithralaya, used for the collaborator entry.</t>
        </is>
      </c>
      <c r="K216" s="5" t="inlineStr">
        <is>
          <t>Encyclopedia article</t>
        </is>
      </c>
      <c r="L216" s="5" t="inlineStr">
        <is>
          <t>C</t>
        </is>
      </c>
      <c r="M216" s="5" t="inlineStr">
        <is>
          <t>Downloaded as raw wikitext.</t>
        </is>
      </c>
    </row>
    <row r="217" ht="64" customHeight="1">
      <c r="A217" s="15" t="inlineStr">
        <is>
          <t>SOURCE-216</t>
        </is>
      </c>
      <c r="B217" s="5" t="n"/>
      <c r="C217" s="5" t="n"/>
      <c r="D217" s="5" t="inlineStr">
        <is>
          <t>Chithralaya Gopu — Wikipedia</t>
        </is>
      </c>
      <c r="E217" s="5" t="inlineStr">
        <is>
          <t>Wikipedia</t>
        </is>
      </c>
      <c r="F217" s="5" t="n"/>
      <c r="G217" s="5" t="n"/>
      <c r="H217" s="22" t="inlineStr">
        <is>
          <t>https://en.wikipedia.org/wiki/Chithralaya_Gopu</t>
        </is>
      </c>
      <c r="I217" s="16" t="n">
        <v>46287</v>
      </c>
      <c r="J217" s="5" t="inlineStr">
        <is>
          <t>Indian screenwriter and director (born 1931). Biography, dates, career background, notable works and awards for Chitralaya Gopu, used for the collaborator entry.</t>
        </is>
      </c>
      <c r="K217" s="5" t="inlineStr">
        <is>
          <t>Encyclopedia article</t>
        </is>
      </c>
      <c r="L217" s="5" t="inlineStr">
        <is>
          <t>C</t>
        </is>
      </c>
      <c r="M217" s="5" t="inlineStr">
        <is>
          <t>Downloaded as raw wikitext.</t>
        </is>
      </c>
    </row>
    <row r="218" ht="64" customHeight="1">
      <c r="A218" s="15" t="inlineStr">
        <is>
          <t>SOURCE-217</t>
        </is>
      </c>
      <c r="B218" s="5" t="n"/>
      <c r="C218" s="5" t="n"/>
      <c r="D218" s="5" t="inlineStr">
        <is>
          <t>Conrad Rooks — Wikipedia</t>
        </is>
      </c>
      <c r="E218" s="5" t="inlineStr">
        <is>
          <t>Wikipedia</t>
        </is>
      </c>
      <c r="F218" s="5" t="n"/>
      <c r="G218" s="5" t="n"/>
      <c r="H218" s="22" t="inlineStr">
        <is>
          <t>https://en.wikipedia.org/wiki/Conrad_Rooks</t>
        </is>
      </c>
      <c r="I218" s="16" t="n">
        <v>46287</v>
      </c>
      <c r="J218" s="5" t="inlineStr">
        <is>
          <t>American film director (1934–2011). Biography, dates, career background, notable works and awards for Conrad Rooks, used for the collaborator entry.</t>
        </is>
      </c>
      <c r="K218" s="5" t="inlineStr">
        <is>
          <t>Encyclopedia article</t>
        </is>
      </c>
      <c r="L218" s="5" t="inlineStr">
        <is>
          <t>C</t>
        </is>
      </c>
      <c r="M218" s="5" t="inlineStr">
        <is>
          <t>Downloaded as raw wikitext.</t>
        </is>
      </c>
    </row>
    <row r="219" ht="49" customHeight="1">
      <c r="A219" s="15" t="inlineStr">
        <is>
          <t>SOURCE-218</t>
        </is>
      </c>
      <c r="B219" s="5" t="n"/>
      <c r="C219" s="5" t="n"/>
      <c r="D219" s="5" t="inlineStr">
        <is>
          <t>Deepak Shivdasani — Wikipedia</t>
        </is>
      </c>
      <c r="E219" s="5" t="inlineStr">
        <is>
          <t>Wikipedia</t>
        </is>
      </c>
      <c r="F219" s="5" t="n"/>
      <c r="G219" s="5" t="n"/>
      <c r="H219" s="22" t="inlineStr">
        <is>
          <t>https://en.wikipedia.org/wiki/Deepak_Shivdasani</t>
        </is>
      </c>
      <c r="I219" s="16" t="n">
        <v>46287</v>
      </c>
      <c r="J219" s="5" t="inlineStr">
        <is>
          <t>Indian film director. Biography, dates, career background, notable works and awards for Deepak Shivdasani, used for the collaborator entry.</t>
        </is>
      </c>
      <c r="K219" s="5" t="inlineStr">
        <is>
          <t>Encyclopedia article</t>
        </is>
      </c>
      <c r="L219" s="5" t="inlineStr">
        <is>
          <t>C</t>
        </is>
      </c>
      <c r="M219" s="5" t="inlineStr">
        <is>
          <t>Downloaded as raw wikitext.</t>
        </is>
      </c>
    </row>
    <row r="220" ht="64" customHeight="1">
      <c r="A220" s="15" t="inlineStr">
        <is>
          <t>SOURCE-219</t>
        </is>
      </c>
      <c r="B220" s="5" t="n"/>
      <c r="C220" s="5" t="n"/>
      <c r="D220" s="5" t="inlineStr">
        <is>
          <t>Sandow M. M. A. Chinnappa Thevar — Wikipedia</t>
        </is>
      </c>
      <c r="E220" s="5" t="inlineStr">
        <is>
          <t>Wikipedia</t>
        </is>
      </c>
      <c r="F220" s="5" t="n"/>
      <c r="G220" s="5" t="n"/>
      <c r="H220" s="22" t="inlineStr">
        <is>
          <t>https://en.wikipedia.org/wiki/Sandow_M._M._A._Chinnappa_Thevar</t>
        </is>
      </c>
      <c r="I220" s="16" t="n">
        <v>46287</v>
      </c>
      <c r="J220" s="5" t="inlineStr">
        <is>
          <t>Indian film producer (1915–1978). Biography, dates, career background, notable works and awards for Devar Films, used for the collaborator entry.</t>
        </is>
      </c>
      <c r="K220" s="5" t="inlineStr">
        <is>
          <t>Encyclopedia article</t>
        </is>
      </c>
      <c r="L220" s="5" t="inlineStr">
        <is>
          <t>C</t>
        </is>
      </c>
      <c r="M220" s="5" t="inlineStr">
        <is>
          <t>Downloaded as raw wikitext. Devar Films has no article of its own; this is the article for the person who founded and ran it, used only for what it says about the banner.</t>
        </is>
      </c>
    </row>
    <row r="221" ht="64" customHeight="1">
      <c r="A221" s="15" t="inlineStr">
        <is>
          <t>SOURCE-220</t>
        </is>
      </c>
      <c r="B221" s="5" t="n"/>
      <c r="C221" s="5" t="n"/>
      <c r="D221" s="5" t="inlineStr">
        <is>
          <t>Devendra Goel — Wikipedia</t>
        </is>
      </c>
      <c r="E221" s="5" t="inlineStr">
        <is>
          <t>Wikipedia</t>
        </is>
      </c>
      <c r="F221" s="5" t="n"/>
      <c r="G221" s="5" t="n"/>
      <c r="H221" s="22" t="inlineStr">
        <is>
          <t>https://en.wikipedia.org/wiki/Devendra_Goel</t>
        </is>
      </c>
      <c r="I221" s="16" t="n">
        <v>46287</v>
      </c>
      <c r="J221" s="5" t="inlineStr">
        <is>
          <t>Indian film director (1919–1979). Biography, dates, career background, notable works and awards for Devendra Goel, used for the collaborator entry.</t>
        </is>
      </c>
      <c r="K221" s="5" t="inlineStr">
        <is>
          <t>Encyclopedia article</t>
        </is>
      </c>
      <c r="L221" s="5" t="inlineStr">
        <is>
          <t>C</t>
        </is>
      </c>
      <c r="M221" s="5" t="inlineStr">
        <is>
          <t>Downloaded as raw wikitext.</t>
        </is>
      </c>
    </row>
    <row r="222" ht="79" customHeight="1">
      <c r="A222" s="15" t="inlineStr">
        <is>
          <t>SOURCE-221</t>
        </is>
      </c>
      <c r="B222" s="5" t="n"/>
      <c r="C222" s="5" t="n"/>
      <c r="D222" s="5" t="inlineStr">
        <is>
          <t>Sandow M. M. A. Chinnappa Thevar — Wikipedia</t>
        </is>
      </c>
      <c r="E222" s="5" t="inlineStr">
        <is>
          <t>Wikipedia</t>
        </is>
      </c>
      <c r="F222" s="5" t="n"/>
      <c r="G222" s="5" t="n"/>
      <c r="H222" s="22" t="inlineStr">
        <is>
          <t>https://en.wikipedia.org/wiki/Sandow_M._M._A._Chinnappa_Thevar</t>
        </is>
      </c>
      <c r="I222" s="16" t="n">
        <v>46287</v>
      </c>
      <c r="J222" s="5" t="inlineStr">
        <is>
          <t>Indian film producer (1915–1978). Biography, dates, career background, notable works and awards for Dhandayuthapani Films, used for the collaborator entry.</t>
        </is>
      </c>
      <c r="K222" s="5" t="inlineStr">
        <is>
          <t>Encyclopedia article</t>
        </is>
      </c>
      <c r="L222" s="5" t="inlineStr">
        <is>
          <t>C</t>
        </is>
      </c>
      <c r="M222" s="5" t="inlineStr">
        <is>
          <t>Downloaded as raw wikitext. Dhandayuthapani Films has no article of its own; this is the article for the person who founded and ran it, used only for what it says about the banner.</t>
        </is>
      </c>
    </row>
    <row r="223" ht="64" customHeight="1">
      <c r="A223" s="15" t="inlineStr">
        <is>
          <t>SOURCE-222</t>
        </is>
      </c>
      <c r="B223" s="5" t="n"/>
      <c r="C223" s="5" t="n"/>
      <c r="D223" s="5" t="inlineStr">
        <is>
          <t>Dilip Chitre — Wikipedia</t>
        </is>
      </c>
      <c r="E223" s="5" t="inlineStr">
        <is>
          <t>Wikipedia</t>
        </is>
      </c>
      <c r="F223" s="5" t="n"/>
      <c r="G223" s="5" t="n"/>
      <c r="H223" s="22" t="inlineStr">
        <is>
          <t>https://en.wikipedia.org/wiki/Dilip_Chitre</t>
        </is>
      </c>
      <c r="I223" s="16" t="n">
        <v>46287</v>
      </c>
      <c r="J223" s="5" t="inlineStr">
        <is>
          <t>Indian Marathi and English poet (1938–2009). Biography, dates, career background, notable works and awards for Dilip Chitre, used for the collaborator entry.</t>
        </is>
      </c>
      <c r="K223" s="5" t="inlineStr">
        <is>
          <t>Encyclopedia article</t>
        </is>
      </c>
      <c r="L223" s="5" t="inlineStr">
        <is>
          <t>C</t>
        </is>
      </c>
      <c r="M223" s="5" t="inlineStr">
        <is>
          <t>Downloaded as raw wikitext.</t>
        </is>
      </c>
    </row>
    <row r="224" ht="49" customHeight="1">
      <c r="A224" s="15" t="inlineStr">
        <is>
          <t>SOURCE-223</t>
        </is>
      </c>
      <c r="B224" s="5" t="n"/>
      <c r="C224" s="5" t="n"/>
      <c r="D224" s="5" t="inlineStr">
        <is>
          <t>Donald Rosenfeld — Wikipedia</t>
        </is>
      </c>
      <c r="E224" s="5" t="inlineStr">
        <is>
          <t>Wikipedia</t>
        </is>
      </c>
      <c r="F224" s="5" t="n"/>
      <c r="G224" s="5" t="n"/>
      <c r="H224" s="22" t="inlineStr">
        <is>
          <t>https://en.wikipedia.org/wiki/Donald_Rosenfeld</t>
        </is>
      </c>
      <c r="I224" s="16" t="n">
        <v>46287</v>
      </c>
      <c r="J224" s="5" t="inlineStr">
        <is>
          <t>American film producer. Biography, dates, career background, notable works and awards for Donald Rosenfeld, used for the collaborator entry.</t>
        </is>
      </c>
      <c r="K224" s="5" t="inlineStr">
        <is>
          <t>Encyclopedia article</t>
        </is>
      </c>
      <c r="L224" s="5" t="inlineStr">
        <is>
          <t>C</t>
        </is>
      </c>
      <c r="M224" s="5" t="inlineStr">
        <is>
          <t>Downloaded as raw wikitext.</t>
        </is>
      </c>
    </row>
    <row r="225" ht="64" customHeight="1">
      <c r="A225" s="15" t="inlineStr">
        <is>
          <t>SOURCE-224</t>
        </is>
      </c>
      <c r="B225" s="5" t="n"/>
      <c r="C225" s="5" t="n"/>
      <c r="D225" s="5" t="inlineStr">
        <is>
          <t>Evan Lurie — Wikipedia</t>
        </is>
      </c>
      <c r="E225" s="5" t="inlineStr">
        <is>
          <t>Wikipedia</t>
        </is>
      </c>
      <c r="F225" s="5" t="n"/>
      <c r="G225" s="5" t="n"/>
      <c r="H225" s="22" t="inlineStr">
        <is>
          <t>https://en.wikipedia.org/wiki/Evan_Lurie</t>
        </is>
      </c>
      <c r="I225" s="16" t="n">
        <v>46287</v>
      </c>
      <c r="J225" s="5" t="inlineStr">
        <is>
          <t>American composer and musician (born 1954). Biography, dates, career background, notable works and awards for Evan Lurie, used for the collaborator entry.</t>
        </is>
      </c>
      <c r="K225" s="5" t="inlineStr">
        <is>
          <t>Encyclopedia article</t>
        </is>
      </c>
      <c r="L225" s="5" t="inlineStr">
        <is>
          <t>C</t>
        </is>
      </c>
      <c r="M225" s="5" t="inlineStr">
        <is>
          <t>Downloaded as raw wikitext.</t>
        </is>
      </c>
    </row>
    <row r="226" ht="64" customHeight="1">
      <c r="A226" s="15" t="inlineStr">
        <is>
          <t>SOURCE-225</t>
        </is>
      </c>
      <c r="B226" s="5" t="n"/>
      <c r="C226" s="5" t="n"/>
      <c r="D226" s="5" t="inlineStr">
        <is>
          <t>Film4 Productions — Wikipedia</t>
        </is>
      </c>
      <c r="E226" s="5" t="inlineStr">
        <is>
          <t>Wikipedia</t>
        </is>
      </c>
      <c r="F226" s="5" t="n"/>
      <c r="G226" s="5" t="n"/>
      <c r="H226" s="22" t="inlineStr">
        <is>
          <t>https://en.wikipedia.org/wiki/Film4_Productions</t>
        </is>
      </c>
      <c r="I226" s="16" t="n">
        <v>46287</v>
      </c>
      <c r="J226" s="5" t="inlineStr">
        <is>
          <t>British film production company. Biography, dates, career background, notable works and awards for FilmFour International, used for the collaborator entry.</t>
        </is>
      </c>
      <c r="K226" s="5" t="inlineStr">
        <is>
          <t>Encyclopedia article</t>
        </is>
      </c>
      <c r="L226" s="5" t="inlineStr">
        <is>
          <t>C</t>
        </is>
      </c>
      <c r="M226" s="5" t="inlineStr">
        <is>
          <t>Downloaded as raw wikitext.</t>
        </is>
      </c>
    </row>
    <row r="227" ht="49" customHeight="1">
      <c r="A227" s="15" t="inlineStr">
        <is>
          <t>SOURCE-226</t>
        </is>
      </c>
      <c r="B227" s="5" t="n"/>
      <c r="C227" s="5" t="n"/>
      <c r="D227" s="5" t="inlineStr">
        <is>
          <t>G. V. Iyer — Wikipedia</t>
        </is>
      </c>
      <c r="E227" s="5" t="inlineStr">
        <is>
          <t>Wikipedia</t>
        </is>
      </c>
      <c r="F227" s="5" t="n"/>
      <c r="G227" s="5" t="n"/>
      <c r="H227" s="22" t="inlineStr">
        <is>
          <t>https://en.wikipedia.org/wiki/G._V._Iyer</t>
        </is>
      </c>
      <c r="I227" s="16" t="n">
        <v>46287</v>
      </c>
      <c r="J227" s="5" t="inlineStr">
        <is>
          <t>Indian filmmaker (1917–2003). Biography, dates, career background, notable works and awards for G. V. Iyer, used for the collaborator entry.</t>
        </is>
      </c>
      <c r="K227" s="5" t="inlineStr">
        <is>
          <t>Encyclopedia article</t>
        </is>
      </c>
      <c r="L227" s="5" t="inlineStr">
        <is>
          <t>C</t>
        </is>
      </c>
      <c r="M227" s="5" t="inlineStr">
        <is>
          <t>Downloaded as raw wikitext.</t>
        </is>
      </c>
    </row>
    <row r="228" ht="49" customHeight="1">
      <c r="A228" s="15" t="inlineStr">
        <is>
          <t>SOURCE-227</t>
        </is>
      </c>
      <c r="B228" s="5" t="n"/>
      <c r="C228" s="5" t="n"/>
      <c r="D228" s="5" t="inlineStr">
        <is>
          <t>George W. George — Wikipedia</t>
        </is>
      </c>
      <c r="E228" s="5" t="inlineStr">
        <is>
          <t>Wikipedia</t>
        </is>
      </c>
      <c r="F228" s="5" t="n"/>
      <c r="G228" s="5" t="n"/>
      <c r="H228" s="22" t="inlineStr">
        <is>
          <t>https://en.wikipedia.org/wiki/George_W._George</t>
        </is>
      </c>
      <c r="I228" s="16" t="n">
        <v>46287</v>
      </c>
      <c r="J228" s="5" t="inlineStr">
        <is>
          <t>American producer. Biography, dates, career background, notable works and awards for George W. George, used for the collaborator entry.</t>
        </is>
      </c>
      <c r="K228" s="5" t="inlineStr">
        <is>
          <t>Encyclopedia article</t>
        </is>
      </c>
      <c r="L228" s="5" t="inlineStr">
        <is>
          <t>C</t>
        </is>
      </c>
      <c r="M228" s="5" t="inlineStr">
        <is>
          <t>Downloaded as raw wikitext.</t>
        </is>
      </c>
    </row>
    <row r="229" ht="49" customHeight="1">
      <c r="A229" s="15" t="inlineStr">
        <is>
          <t>SOURCE-228</t>
        </is>
      </c>
      <c r="B229" s="5" t="n"/>
      <c r="C229" s="5" t="n"/>
      <c r="D229" s="5" t="inlineStr">
        <is>
          <t>Govind_Nihalani — Wikipedia</t>
        </is>
      </c>
      <c r="E229" s="5" t="inlineStr">
        <is>
          <t>Wikipedia</t>
        </is>
      </c>
      <c r="F229" s="5" t="n"/>
      <c r="G229" s="5" t="n"/>
      <c r="H229" s="22" t="inlineStr">
        <is>
          <t>https://en.wikipedia.org/wiki/Govind_Nihalani</t>
        </is>
      </c>
      <c r="I229" s="16" t="n">
        <v>46287</v>
      </c>
      <c r="J229" s="5" t="inlineStr">
        <is>
          <t>Indian film director. Biography, dates, career background, notable works and awards for Govind Nihlani, used for the collaborator entry.</t>
        </is>
      </c>
      <c r="K229" s="5" t="inlineStr">
        <is>
          <t>Encyclopedia article</t>
        </is>
      </c>
      <c r="L229" s="5" t="inlineStr">
        <is>
          <t>C</t>
        </is>
      </c>
      <c r="M229" s="5" t="inlineStr">
        <is>
          <t>Downloaded as raw wikitext.</t>
        </is>
      </c>
    </row>
    <row r="230" ht="49" customHeight="1">
      <c r="A230" s="15" t="inlineStr">
        <is>
          <t>SOURCE-229</t>
        </is>
      </c>
      <c r="B230" s="5" t="n"/>
      <c r="C230" s="5" t="n"/>
      <c r="D230" s="5" t="inlineStr">
        <is>
          <t>Gulshan Nanda — Wikipedia</t>
        </is>
      </c>
      <c r="E230" s="5" t="inlineStr">
        <is>
          <t>Wikipedia</t>
        </is>
      </c>
      <c r="F230" s="5" t="n"/>
      <c r="G230" s="5" t="n"/>
      <c r="H230" s="22" t="inlineStr">
        <is>
          <t>https://en.wikipedia.org/wiki/Gulshan_Nanda</t>
        </is>
      </c>
      <c r="I230" s="16" t="n">
        <v>46287</v>
      </c>
      <c r="J230" s="5" t="inlineStr">
        <is>
          <t>Indian writer. Biography, dates, career background, notable works and awards for Gulshan Nanda, used for the collaborator entry.</t>
        </is>
      </c>
      <c r="K230" s="5" t="inlineStr">
        <is>
          <t>Encyclopedia article</t>
        </is>
      </c>
      <c r="L230" s="5" t="inlineStr">
        <is>
          <t>C</t>
        </is>
      </c>
      <c r="M230" s="5" t="inlineStr">
        <is>
          <t>Downloaded as raw wikitext.</t>
        </is>
      </c>
    </row>
    <row r="231" ht="64" customHeight="1">
      <c r="A231" s="15" t="inlineStr">
        <is>
          <t>SOURCE-230</t>
        </is>
      </c>
      <c r="B231" s="5" t="n"/>
      <c r="C231" s="5" t="n"/>
      <c r="D231" s="5" t="inlineStr">
        <is>
          <t>Guy Green (filmmaker) — Wikipedia</t>
        </is>
      </c>
      <c r="E231" s="5" t="inlineStr">
        <is>
          <t>Wikipedia</t>
        </is>
      </c>
      <c r="F231" s="5" t="n"/>
      <c r="G231" s="5" t="n"/>
      <c r="H231" s="22" t="inlineStr">
        <is>
          <t>https://en.wikipedia.org/wiki/Guy_Green_(filmmaker)</t>
        </is>
      </c>
      <c r="I231" s="16" t="n">
        <v>46287</v>
      </c>
      <c r="J231" s="5" t="inlineStr">
        <is>
          <t>English film director and producer  (1913–2005). Biography, dates, career background, notable works and awards for Guy Green, used for the collaborator entry.</t>
        </is>
      </c>
      <c r="K231" s="5" t="inlineStr">
        <is>
          <t>Encyclopedia article</t>
        </is>
      </c>
      <c r="L231" s="5" t="inlineStr">
        <is>
          <t>C</t>
        </is>
      </c>
      <c r="M231" s="5" t="inlineStr">
        <is>
          <t>Downloaded as raw wikitext.</t>
        </is>
      </c>
    </row>
    <row r="232" ht="64" customHeight="1">
      <c r="A232" s="15" t="inlineStr">
        <is>
          <t>SOURCE-231</t>
        </is>
      </c>
      <c r="B232" s="5" t="n"/>
      <c r="C232" s="5" t="n"/>
      <c r="D232" s="5" t="inlineStr">
        <is>
          <t>Gyan Mukherjee — Wikipedia</t>
        </is>
      </c>
      <c r="E232" s="5" t="inlineStr">
        <is>
          <t>Wikipedia</t>
        </is>
      </c>
      <c r="F232" s="5" t="n"/>
      <c r="G232" s="5" t="n"/>
      <c r="H232" s="22" t="inlineStr">
        <is>
          <t>https://en.wikipedia.org/wiki/Gyan_Mukherjee</t>
        </is>
      </c>
      <c r="I232" s="16" t="n">
        <v>46287</v>
      </c>
      <c r="J232" s="5" t="inlineStr">
        <is>
          <t>Indian film director and screenwriter. Biography, dates, career background, notable works and awards for Gyan Mukherjee, used for the collaborator entry.</t>
        </is>
      </c>
      <c r="K232" s="5" t="inlineStr">
        <is>
          <t>Encyclopedia article</t>
        </is>
      </c>
      <c r="L232" s="5" t="inlineStr">
        <is>
          <t>C</t>
        </is>
      </c>
      <c r="M232" s="5" t="inlineStr">
        <is>
          <t>Downloaded as raw wikitext.</t>
        </is>
      </c>
    </row>
    <row r="233" ht="64" customHeight="1">
      <c r="A233" s="15" t="inlineStr">
        <is>
          <t>SOURCE-232</t>
        </is>
      </c>
      <c r="B233" s="5" t="n"/>
      <c r="C233" s="5" t="n"/>
      <c r="D233" s="5" t="inlineStr">
        <is>
          <t>Hanif Kureishi — Wikipedia</t>
        </is>
      </c>
      <c r="E233" s="5" t="inlineStr">
        <is>
          <t>Wikipedia</t>
        </is>
      </c>
      <c r="F233" s="5" t="n"/>
      <c r="G233" s="5" t="n"/>
      <c r="H233" s="22" t="inlineStr">
        <is>
          <t>https://en.wikipedia.org/wiki/Hanif_Kureishi</t>
        </is>
      </c>
      <c r="I233" s="16" t="n">
        <v>46287</v>
      </c>
      <c r="J233" s="5" t="inlineStr">
        <is>
          <t>British playwright (born 1954). Biography, dates, career background, notable works and awards for Hanif Kureishi, used for the collaborator entry.</t>
        </is>
      </c>
      <c r="K233" s="5" t="inlineStr">
        <is>
          <t>Encyclopedia article</t>
        </is>
      </c>
      <c r="L233" s="5" t="inlineStr">
        <is>
          <t>C</t>
        </is>
      </c>
      <c r="M233" s="5" t="inlineStr">
        <is>
          <t>Downloaded as raw wikitext.</t>
        </is>
      </c>
    </row>
    <row r="234" ht="64" customHeight="1">
      <c r="A234" s="15" t="inlineStr">
        <is>
          <t>SOURCE-233</t>
        </is>
      </c>
      <c r="B234" s="5" t="n"/>
      <c r="C234" s="5" t="n"/>
      <c r="D234" s="5" t="inlineStr">
        <is>
          <t>Hemant Kumar — Wikipedia</t>
        </is>
      </c>
      <c r="E234" s="5" t="inlineStr">
        <is>
          <t>Wikipedia</t>
        </is>
      </c>
      <c r="F234" s="5" t="n"/>
      <c r="G234" s="5" t="n"/>
      <c r="H234" s="22" t="inlineStr">
        <is>
          <t>https://en.wikipedia.org/wiki/Hemant_Kumar</t>
        </is>
      </c>
      <c r="I234" s="16" t="n">
        <v>46287</v>
      </c>
      <c r="J234" s="5" t="inlineStr">
        <is>
          <t>Indian singer and music director (1920–1989). Biography, dates, career background, notable works and awards for Hemant Kumar, used for the collaborator entry.</t>
        </is>
      </c>
      <c r="K234" s="5" t="inlineStr">
        <is>
          <t>Encyclopedia article</t>
        </is>
      </c>
      <c r="L234" s="5" t="inlineStr">
        <is>
          <t>C</t>
        </is>
      </c>
      <c r="M234" s="5" t="inlineStr">
        <is>
          <t>Downloaded as raw wikitext.</t>
        </is>
      </c>
    </row>
    <row r="235" ht="49" customHeight="1">
      <c r="A235" s="15" t="inlineStr">
        <is>
          <t>SOURCE-234</t>
        </is>
      </c>
      <c r="B235" s="5" t="n"/>
      <c r="C235" s="5" t="n"/>
      <c r="D235" s="5" t="inlineStr">
        <is>
          <t>Indeevar — Wikipedia</t>
        </is>
      </c>
      <c r="E235" s="5" t="inlineStr">
        <is>
          <t>Wikipedia</t>
        </is>
      </c>
      <c r="F235" s="5" t="n"/>
      <c r="G235" s="5" t="n"/>
      <c r="H235" s="22" t="inlineStr">
        <is>
          <t>https://en.wikipedia.org/wiki/Indeevar</t>
        </is>
      </c>
      <c r="I235" s="16" t="n">
        <v>46287</v>
      </c>
      <c r="J235" s="5" t="inlineStr">
        <is>
          <t>Indian film lyricist (1924–1997). Biography, dates, career background, notable works and awards for Indeevar, used for the collaborator entry.</t>
        </is>
      </c>
      <c r="K235" s="5" t="inlineStr">
        <is>
          <t>Encyclopedia article</t>
        </is>
      </c>
      <c r="L235" s="5" t="inlineStr">
        <is>
          <t>C</t>
        </is>
      </c>
      <c r="M235" s="5" t="inlineStr">
        <is>
          <t>Downloaded as raw wikitext.</t>
        </is>
      </c>
    </row>
    <row r="236" ht="64" customHeight="1">
      <c r="A236" s="15" t="inlineStr">
        <is>
          <t>SOURCE-235</t>
        </is>
      </c>
      <c r="B236" s="5" t="n"/>
      <c r="C236" s="5" t="n"/>
      <c r="D236" s="5" t="inlineStr">
        <is>
          <t>Iqbal Qureshi — Wikipedia</t>
        </is>
      </c>
      <c r="E236" s="5" t="inlineStr">
        <is>
          <t>Wikipedia</t>
        </is>
      </c>
      <c r="F236" s="5" t="n"/>
      <c r="G236" s="5" t="n"/>
      <c r="H236" s="22" t="inlineStr">
        <is>
          <t>https://en.wikipedia.org/wiki/Iqbal_Qureshi</t>
        </is>
      </c>
      <c r="I236" s="16" t="n">
        <v>46287</v>
      </c>
      <c r="J236" s="5" t="inlineStr">
        <is>
          <t>Indian music composer and director. Biography, dates, career background, notable works and awards for Iqbal Qureshi, used for the collaborator entry.</t>
        </is>
      </c>
      <c r="K236" s="5" t="inlineStr">
        <is>
          <t>Encyclopedia article</t>
        </is>
      </c>
      <c r="L236" s="5" t="inlineStr">
        <is>
          <t>C</t>
        </is>
      </c>
      <c r="M236" s="5" t="inlineStr">
        <is>
          <t>Downloaded as raw wikitext.</t>
        </is>
      </c>
    </row>
    <row r="237" ht="64" customHeight="1">
      <c r="A237" s="15" t="inlineStr">
        <is>
          <t>SOURCE-236</t>
        </is>
      </c>
      <c r="B237" s="5" t="n"/>
      <c r="C237" s="5" t="n"/>
      <c r="D237" s="5" t="inlineStr">
        <is>
          <t>Ismat Chughtai — Wikipedia</t>
        </is>
      </c>
      <c r="E237" s="5" t="inlineStr">
        <is>
          <t>Wikipedia</t>
        </is>
      </c>
      <c r="F237" s="5" t="n"/>
      <c r="G237" s="5" t="n"/>
      <c r="H237" s="22" t="inlineStr">
        <is>
          <t>https://en.wikipedia.org/wiki/Ismat_Chughtai</t>
        </is>
      </c>
      <c r="I237" s="16" t="n">
        <v>46287</v>
      </c>
      <c r="J237" s="5" t="inlineStr">
        <is>
          <t>Indian writer and filmmaker (1915–1991). Biography, dates, career background, notable works and awards for Ismat Chugtai, used for the collaborator entry.</t>
        </is>
      </c>
      <c r="K237" s="5" t="inlineStr">
        <is>
          <t>Encyclopedia article</t>
        </is>
      </c>
      <c r="L237" s="5" t="inlineStr">
        <is>
          <t>C</t>
        </is>
      </c>
      <c r="M237" s="5" t="inlineStr">
        <is>
          <t>Downloaded as raw wikitext.</t>
        </is>
      </c>
    </row>
    <row r="238" ht="64" customHeight="1">
      <c r="A238" s="15" t="inlineStr">
        <is>
          <t>SOURCE-237</t>
        </is>
      </c>
      <c r="B238" s="5" t="n"/>
      <c r="C238" s="5" t="n"/>
      <c r="D238" s="5" t="inlineStr">
        <is>
          <t>Jamil Dehlavi — Wikipedia</t>
        </is>
      </c>
      <c r="E238" s="5" t="inlineStr">
        <is>
          <t>Wikipedia</t>
        </is>
      </c>
      <c r="F238" s="5" t="n"/>
      <c r="G238" s="5" t="n"/>
      <c r="H238" s="22" t="inlineStr">
        <is>
          <t>https://en.wikipedia.org/wiki/Jamil_Dehlavi</t>
        </is>
      </c>
      <c r="I238" s="16" t="n">
        <v>46287</v>
      </c>
      <c r="J238" s="5" t="inlineStr">
        <is>
          <t>British film director and producer (born 1944). Biography, dates, career background, notable works and awards for Jamil Dehlavi, used for the collaborator entry.</t>
        </is>
      </c>
      <c r="K238" s="5" t="inlineStr">
        <is>
          <t>Encyclopedia article</t>
        </is>
      </c>
      <c r="L238" s="5" t="inlineStr">
        <is>
          <t>C</t>
        </is>
      </c>
      <c r="M238" s="5" t="inlineStr">
        <is>
          <t>Downloaded as raw wikitext.</t>
        </is>
      </c>
    </row>
    <row r="239" ht="64" customHeight="1">
      <c r="A239" s="15" t="inlineStr">
        <is>
          <t>SOURCE-238</t>
        </is>
      </c>
      <c r="B239" s="5" t="n"/>
      <c r="C239" s="5" t="n"/>
      <c r="D239" s="5" t="inlineStr">
        <is>
          <t>John Scott (composer) — Wikipedia</t>
        </is>
      </c>
      <c r="E239" s="5" t="inlineStr">
        <is>
          <t>Wikipedia</t>
        </is>
      </c>
      <c r="F239" s="5" t="n"/>
      <c r="G239" s="5" t="n"/>
      <c r="H239" s="22" t="inlineStr">
        <is>
          <t>https://en.wikipedia.org/wiki/John_Scott_(composer)</t>
        </is>
      </c>
      <c r="I239" s="16" t="n">
        <v>46287</v>
      </c>
      <c r="J239" s="5" t="inlineStr">
        <is>
          <t>English composer and jazz musician (b. 1930). Biography, dates, career background, notable works and awards for John Scott, used for the collaborator entry.</t>
        </is>
      </c>
      <c r="K239" s="5" t="inlineStr">
        <is>
          <t>Encyclopedia article</t>
        </is>
      </c>
      <c r="L239" s="5" t="inlineStr">
        <is>
          <t>C</t>
        </is>
      </c>
      <c r="M239" s="5" t="inlineStr">
        <is>
          <t>Downloaded as raw wikitext.</t>
        </is>
      </c>
    </row>
    <row r="240" ht="49" customHeight="1">
      <c r="A240" s="15" t="inlineStr">
        <is>
          <t>SOURCE-239</t>
        </is>
      </c>
      <c r="B240" s="5" t="n"/>
      <c r="C240" s="5" t="n"/>
      <c r="D240" s="5" t="inlineStr">
        <is>
          <t>K. Bapayya — Wikipedia</t>
        </is>
      </c>
      <c r="E240" s="5" t="inlineStr">
        <is>
          <t>Wikipedia</t>
        </is>
      </c>
      <c r="F240" s="5" t="n"/>
      <c r="G240" s="5" t="n"/>
      <c r="H240" s="22" t="inlineStr">
        <is>
          <t>https://en.wikipedia.org/wiki/K._Bapayya</t>
        </is>
      </c>
      <c r="I240" s="16" t="n">
        <v>46287</v>
      </c>
      <c r="J240" s="5" t="inlineStr">
        <is>
          <t>Indian film director. Biography, dates, career background, notable works and awards for K. Bapaiah, used for the collaborator entry.</t>
        </is>
      </c>
      <c r="K240" s="5" t="inlineStr">
        <is>
          <t>Encyclopedia article</t>
        </is>
      </c>
      <c r="L240" s="5" t="inlineStr">
        <is>
          <t>C</t>
        </is>
      </c>
      <c r="M240" s="5" t="inlineStr">
        <is>
          <t>Downloaded as raw wikitext.</t>
        </is>
      </c>
    </row>
    <row r="241" ht="49" customHeight="1">
      <c r="A241" s="15" t="inlineStr">
        <is>
          <t>SOURCE-240</t>
        </is>
      </c>
      <c r="B241" s="5" t="n"/>
      <c r="C241" s="5" t="n"/>
      <c r="D241" s="5" t="inlineStr">
        <is>
          <t>K. Rangaraj — Wikipedia</t>
        </is>
      </c>
      <c r="E241" s="5" t="inlineStr">
        <is>
          <t>Wikipedia</t>
        </is>
      </c>
      <c r="F241" s="5" t="n"/>
      <c r="G241" s="5" t="n"/>
      <c r="H241" s="22" t="inlineStr">
        <is>
          <t>https://en.wikipedia.org/wiki/K._Rangaraj</t>
        </is>
      </c>
      <c r="I241" s="16" t="n">
        <v>46287</v>
      </c>
      <c r="J241" s="5" t="inlineStr">
        <is>
          <t>Indian film director. Biography, dates, career background, notable works and awards for K. Rangaraj, used for the collaborator entry.</t>
        </is>
      </c>
      <c r="K241" s="5" t="inlineStr">
        <is>
          <t>Encyclopedia article</t>
        </is>
      </c>
      <c r="L241" s="5" t="inlineStr">
        <is>
          <t>C</t>
        </is>
      </c>
      <c r="M241" s="5" t="inlineStr">
        <is>
          <t>Downloaded as raw wikitext.</t>
        </is>
      </c>
    </row>
    <row r="242" ht="49" customHeight="1">
      <c r="A242" s="15" t="inlineStr">
        <is>
          <t>SOURCE-241</t>
        </is>
      </c>
      <c r="B242" s="5" t="n"/>
      <c r="C242" s="5" t="n"/>
      <c r="D242" s="5" t="inlineStr">
        <is>
          <t>K. Ravi Shankar — Wikipedia</t>
        </is>
      </c>
      <c r="E242" s="5" t="inlineStr">
        <is>
          <t>Wikipedia</t>
        </is>
      </c>
      <c r="F242" s="5" t="n"/>
      <c r="G242" s="5" t="n"/>
      <c r="H242" s="22" t="inlineStr">
        <is>
          <t>https://en.wikipedia.org/wiki/K._Ravi_Shankar</t>
        </is>
      </c>
      <c r="I242" s="16" t="n">
        <v>46287</v>
      </c>
      <c r="J242" s="5" t="inlineStr">
        <is>
          <t>Indian film director. Biography, dates, career background, notable works and awards for K. Ravi Shankar, used for the collaborator entry.</t>
        </is>
      </c>
      <c r="K242" s="5" t="inlineStr">
        <is>
          <t>Encyclopedia article</t>
        </is>
      </c>
      <c r="L242" s="5" t="inlineStr">
        <is>
          <t>C</t>
        </is>
      </c>
      <c r="M242" s="5" t="inlineStr">
        <is>
          <t>Downloaded as raw wikitext.</t>
        </is>
      </c>
    </row>
    <row r="243" ht="49" customHeight="1">
      <c r="A243" s="15" t="inlineStr">
        <is>
          <t>SOURCE-242</t>
        </is>
      </c>
      <c r="B243" s="5" t="n"/>
      <c r="C243" s="5" t="n"/>
      <c r="D243" s="5" t="inlineStr">
        <is>
          <t>Kaifi Azmi — Wikipedia</t>
        </is>
      </c>
      <c r="E243" s="5" t="inlineStr">
        <is>
          <t>Wikipedia</t>
        </is>
      </c>
      <c r="F243" s="5" t="n"/>
      <c r="G243" s="5" t="n"/>
      <c r="H243" s="22" t="inlineStr">
        <is>
          <t>https://en.wikipedia.org/wiki/Kaifi_Azmi</t>
        </is>
      </c>
      <c r="I243" s="16" t="n">
        <v>46287</v>
      </c>
      <c r="J243" s="5" t="inlineStr">
        <is>
          <t>Indian Urdu poet (1919–2002). Biography, dates, career background, notable works and awards for Kaifi Azmi, used for the collaborator entry.</t>
        </is>
      </c>
      <c r="K243" s="5" t="inlineStr">
        <is>
          <t>Encyclopedia article</t>
        </is>
      </c>
      <c r="L243" s="5" t="inlineStr">
        <is>
          <t>C</t>
        </is>
      </c>
      <c r="M243" s="5" t="inlineStr">
        <is>
          <t>Downloaded as raw wikitext.</t>
        </is>
      </c>
    </row>
    <row r="244" ht="49" customHeight="1">
      <c r="A244" s="15" t="inlineStr">
        <is>
          <t>SOURCE-243</t>
        </is>
      </c>
      <c r="B244" s="5" t="n"/>
      <c r="C244" s="5" t="n"/>
      <c r="D244" s="5" t="inlineStr">
        <is>
          <t>Kalpataru (director) — Wikipedia</t>
        </is>
      </c>
      <c r="E244" s="5" t="inlineStr">
        <is>
          <t>Wikipedia</t>
        </is>
      </c>
      <c r="F244" s="5" t="n"/>
      <c r="G244" s="5" t="n"/>
      <c r="H244" s="22" t="inlineStr">
        <is>
          <t>https://en.wikipedia.org/wiki/Kalpataru_(director)</t>
        </is>
      </c>
      <c r="I244" s="16" t="n">
        <v>46287</v>
      </c>
      <c r="J244" s="5" t="inlineStr">
        <is>
          <t>Indian film director. Biography, dates, career background, notable works and awards for Kalpataru, used for the collaborator entry.</t>
        </is>
      </c>
      <c r="K244" s="5" t="inlineStr">
        <is>
          <t>Encyclopedia article</t>
        </is>
      </c>
      <c r="L244" s="5" t="inlineStr">
        <is>
          <t>C</t>
        </is>
      </c>
      <c r="M244" s="5" t="inlineStr">
        <is>
          <t>Downloaded as raw wikitext.</t>
        </is>
      </c>
    </row>
    <row r="245" ht="64" customHeight="1">
      <c r="A245" s="15" t="inlineStr">
        <is>
          <t>SOURCE-244</t>
        </is>
      </c>
      <c r="B245" s="5" t="n"/>
      <c r="C245" s="5" t="n"/>
      <c r="D245" s="5" t="inlineStr">
        <is>
          <t>Keith Waterhouse — Wikipedia</t>
        </is>
      </c>
      <c r="E245" s="5" t="inlineStr">
        <is>
          <t>Wikipedia</t>
        </is>
      </c>
      <c r="F245" s="5" t="n"/>
      <c r="G245" s="5" t="n"/>
      <c r="H245" s="22" t="inlineStr">
        <is>
          <t>https://en.wikipedia.org/wiki/Keith_Waterhouse</t>
        </is>
      </c>
      <c r="I245" s="16" t="n">
        <v>46287</v>
      </c>
      <c r="J245" s="5" t="inlineStr">
        <is>
          <t>British novelist and newspaper columnist (1929–2009). Biography, dates, career background, notable works and awards for Keith Waterhouse, used for the collaborator entry.</t>
        </is>
      </c>
      <c r="K245" s="5" t="inlineStr">
        <is>
          <t>Encyclopedia article</t>
        </is>
      </c>
      <c r="L245" s="5" t="inlineStr">
        <is>
          <t>C</t>
        </is>
      </c>
      <c r="M245" s="5" t="inlineStr">
        <is>
          <t>Downloaded as raw wikitext.</t>
        </is>
      </c>
    </row>
    <row r="246" ht="64" customHeight="1">
      <c r="A246" s="15" t="inlineStr">
        <is>
          <t>SOURCE-245</t>
        </is>
      </c>
      <c r="B246" s="5" t="n"/>
      <c r="C246" s="5" t="n"/>
      <c r="D246" s="5" t="inlineStr">
        <is>
          <t>Khwaja Ahmad Abbas — Wikipedia</t>
        </is>
      </c>
      <c r="E246" s="5" t="inlineStr">
        <is>
          <t>Wikipedia</t>
        </is>
      </c>
      <c r="F246" s="5" t="n"/>
      <c r="G246" s="5" t="n"/>
      <c r="H246" s="22" t="inlineStr">
        <is>
          <t>https://en.wikipedia.org/wiki/Khwaja_Ahmad_Abbas</t>
        </is>
      </c>
      <c r="I246" s="16" t="n">
        <v>46287</v>
      </c>
      <c r="J246" s="5" t="inlineStr">
        <is>
          <t>Indian film director, screenwriter, novelist, and journalist. Biography, dates, career background, notable works and awards for Khwaja Ahmad Abbas, used for the collaborator entry.</t>
        </is>
      </c>
      <c r="K246" s="5" t="inlineStr">
        <is>
          <t>Encyclopedia article</t>
        </is>
      </c>
      <c r="L246" s="5" t="inlineStr">
        <is>
          <t>C</t>
        </is>
      </c>
      <c r="M246" s="5" t="inlineStr">
        <is>
          <t>Downloaded as raw wikitext.</t>
        </is>
      </c>
    </row>
    <row r="247" ht="64" customHeight="1">
      <c r="A247" s="15" t="inlineStr">
        <is>
          <t>SOURCE-246</t>
        </is>
      </c>
      <c r="B247" s="5" t="n"/>
      <c r="C247" s="5" t="n"/>
      <c r="D247" s="5" t="inlineStr">
        <is>
          <t>Kranthi Kumar — Wikipedia</t>
        </is>
      </c>
      <c r="E247" s="5" t="inlineStr">
        <is>
          <t>Wikipedia</t>
        </is>
      </c>
      <c r="F247" s="5" t="n"/>
      <c r="G247" s="5" t="n"/>
      <c r="H247" s="22" t="inlineStr">
        <is>
          <t>https://en.wikipedia.org/wiki/Kranthi_Kumar</t>
        </is>
      </c>
      <c r="I247" s="16" t="n">
        <v>46287</v>
      </c>
      <c r="J247" s="5" t="inlineStr">
        <is>
          <t>Indian film director, producer and screenwriter. Biography, dates, career background, notable works and awards for Kranthi Kumar, used for the collaborator entry.</t>
        </is>
      </c>
      <c r="K247" s="5" t="inlineStr">
        <is>
          <t>Encyclopedia article</t>
        </is>
      </c>
      <c r="L247" s="5" t="inlineStr">
        <is>
          <t>C</t>
        </is>
      </c>
      <c r="M247" s="5" t="inlineStr">
        <is>
          <t>Downloaded as raw wikitext.</t>
        </is>
      </c>
    </row>
    <row r="248" ht="49" customHeight="1">
      <c r="A248" s="15" t="inlineStr">
        <is>
          <t>SOURCE-247</t>
        </is>
      </c>
      <c r="B248" s="5" t="n"/>
      <c r="C248" s="5" t="n"/>
      <c r="D248" s="5" t="inlineStr">
        <is>
          <t>L. V. Prasad — Wikipedia</t>
        </is>
      </c>
      <c r="E248" s="5" t="inlineStr">
        <is>
          <t>Wikipedia</t>
        </is>
      </c>
      <c r="F248" s="5" t="n"/>
      <c r="G248" s="5" t="n"/>
      <c r="H248" s="22" t="inlineStr">
        <is>
          <t>https://en.wikipedia.org/wiki/L._V._Prasad</t>
        </is>
      </c>
      <c r="I248" s="16" t="n">
        <v>46287</v>
      </c>
      <c r="J248" s="5" t="inlineStr">
        <is>
          <t>Indian director and producer. Biography, dates, career background, notable works and awards for L. V. Prasad, used for the collaborator entry.</t>
        </is>
      </c>
      <c r="K248" s="5" t="inlineStr">
        <is>
          <t>Encyclopedia article</t>
        </is>
      </c>
      <c r="L248" s="5" t="inlineStr">
        <is>
          <t>C</t>
        </is>
      </c>
      <c r="M248" s="5" t="inlineStr">
        <is>
          <t>Downloaded as raw wikitext.</t>
        </is>
      </c>
    </row>
    <row r="249" ht="49" customHeight="1">
      <c r="A249" s="15" t="inlineStr">
        <is>
          <t>SOURCE-248</t>
        </is>
      </c>
      <c r="B249" s="5" t="n"/>
      <c r="C249" s="5" t="n"/>
      <c r="D249" s="5" t="inlineStr">
        <is>
          <t>Lekh Tandon — Wikipedia</t>
        </is>
      </c>
      <c r="E249" s="5" t="inlineStr">
        <is>
          <t>Wikipedia</t>
        </is>
      </c>
      <c r="F249" s="5" t="n"/>
      <c r="G249" s="5" t="n"/>
      <c r="H249" s="22" t="inlineStr">
        <is>
          <t>https://en.wikipedia.org/wiki/Lekh_Tandon</t>
        </is>
      </c>
      <c r="I249" s="16" t="n">
        <v>46287</v>
      </c>
      <c r="J249" s="5" t="inlineStr">
        <is>
          <t>Indian filmmaker and actor. Biography, dates, career background, notable works and awards for Lekh Tandon, used for the collaborator entry.</t>
        </is>
      </c>
      <c r="K249" s="5" t="inlineStr">
        <is>
          <t>Encyclopedia article</t>
        </is>
      </c>
      <c r="L249" s="5" t="inlineStr">
        <is>
          <t>C</t>
        </is>
      </c>
      <c r="M249" s="5" t="inlineStr">
        <is>
          <t>Downloaded as raw wikitext.</t>
        </is>
      </c>
    </row>
    <row r="250" ht="64" customHeight="1">
      <c r="A250" s="15" t="inlineStr">
        <is>
          <t>SOURCE-249</t>
        </is>
      </c>
      <c r="B250" s="5" t="n"/>
      <c r="C250" s="5" t="n"/>
      <c r="D250" s="5" t="inlineStr">
        <is>
          <t>Louis Banks — Wikipedia</t>
        </is>
      </c>
      <c r="E250" s="5" t="inlineStr">
        <is>
          <t>Wikipedia</t>
        </is>
      </c>
      <c r="F250" s="5" t="n"/>
      <c r="G250" s="5" t="n"/>
      <c r="H250" s="22" t="inlineStr">
        <is>
          <t>https://en.wikipedia.org/wiki/Louis_Banks</t>
        </is>
      </c>
      <c r="I250" s="16" t="n">
        <v>46287</v>
      </c>
      <c r="J250" s="5" t="inlineStr">
        <is>
          <t>Indian composer and singer (born 1941). Biography, dates, career background, notable works and awards for Louis Banks, used for the collaborator entry.</t>
        </is>
      </c>
      <c r="K250" s="5" t="inlineStr">
        <is>
          <t>Encyclopedia article</t>
        </is>
      </c>
      <c r="L250" s="5" t="inlineStr">
        <is>
          <t>C</t>
        </is>
      </c>
      <c r="M250" s="5" t="inlineStr">
        <is>
          <t>Downloaded as raw wikitext.</t>
        </is>
      </c>
    </row>
    <row r="251" ht="64" customHeight="1">
      <c r="A251" s="15" t="inlineStr">
        <is>
          <t>SOURCE-250</t>
        </is>
      </c>
      <c r="B251" s="5" t="n"/>
      <c r="C251" s="5" t="n"/>
      <c r="D251" s="5" t="inlineStr">
        <is>
          <t>Lynn Nottage — Wikipedia</t>
        </is>
      </c>
      <c r="E251" s="5" t="inlineStr">
        <is>
          <t>Wikipedia</t>
        </is>
      </c>
      <c r="F251" s="5" t="n"/>
      <c r="G251" s="5" t="n"/>
      <c r="H251" s="22" t="inlineStr">
        <is>
          <t>https://en.wikipedia.org/wiki/Lynn_Nottage</t>
        </is>
      </c>
      <c r="I251" s="16" t="n">
        <v>46287</v>
      </c>
      <c r="J251" s="5" t="inlineStr">
        <is>
          <t>American playwright (born 1964). Biography, dates, career background, notable works and awards for Lynn Nottage, used for the collaborator entry.</t>
        </is>
      </c>
      <c r="K251" s="5" t="inlineStr">
        <is>
          <t>Encyclopedia article</t>
        </is>
      </c>
      <c r="L251" s="5" t="inlineStr">
        <is>
          <t>C</t>
        </is>
      </c>
      <c r="M251" s="5" t="inlineStr">
        <is>
          <t>Downloaded as raw wikitext.</t>
        </is>
      </c>
    </row>
    <row r="252" ht="49" customHeight="1">
      <c r="A252" s="15" t="inlineStr">
        <is>
          <t>SOURCE-251</t>
        </is>
      </c>
      <c r="B252" s="5" t="n"/>
      <c r="C252" s="5" t="n"/>
      <c r="D252" s="5" t="inlineStr">
        <is>
          <t>M. G. Hashmat — Wikipedia</t>
        </is>
      </c>
      <c r="E252" s="5" t="inlineStr">
        <is>
          <t>Wikipedia</t>
        </is>
      </c>
      <c r="F252" s="5" t="n"/>
      <c r="G252" s="5" t="n"/>
      <c r="H252" s="22" t="inlineStr">
        <is>
          <t>https://en.wikipedia.org/wiki/M._G._Hashmat</t>
        </is>
      </c>
      <c r="I252" s="16" t="n">
        <v>46287</v>
      </c>
      <c r="J252" s="5" t="inlineStr">
        <is>
          <t>Film songs writer from India. Biography, dates, career background, notable works and awards for M. G. Hashmat, used for the collaborator entry.</t>
        </is>
      </c>
      <c r="K252" s="5" t="inlineStr">
        <is>
          <t>Encyclopedia article</t>
        </is>
      </c>
      <c r="L252" s="5" t="inlineStr">
        <is>
          <t>C</t>
        </is>
      </c>
      <c r="M252" s="5" t="inlineStr">
        <is>
          <t>Downloaded as raw wikitext.</t>
        </is>
      </c>
    </row>
    <row r="253" ht="64" customHeight="1">
      <c r="A253" s="15" t="inlineStr">
        <is>
          <t>SOURCE-252</t>
        </is>
      </c>
      <c r="B253" s="5" t="n"/>
      <c r="C253" s="5" t="n"/>
      <c r="D253" s="5" t="inlineStr">
        <is>
          <t>Madan Mohan (composer) — Wikipedia</t>
        </is>
      </c>
      <c r="E253" s="5" t="inlineStr">
        <is>
          <t>Wikipedia</t>
        </is>
      </c>
      <c r="F253" s="5" t="n"/>
      <c r="G253" s="5" t="n"/>
      <c r="H253" s="22" t="inlineStr">
        <is>
          <t>https://en.wikipedia.org/wiki/Madan_Mohan_(composer)</t>
        </is>
      </c>
      <c r="I253" s="16" t="n">
        <v>46287</v>
      </c>
      <c r="J253" s="5" t="inlineStr">
        <is>
          <t>Indian composer and singer (1924–1975). Biography, dates, career background, notable works and awards for Madan Mohan, used for the collaborator entry.</t>
        </is>
      </c>
      <c r="K253" s="5" t="inlineStr">
        <is>
          <t>Encyclopedia article</t>
        </is>
      </c>
      <c r="L253" s="5" t="inlineStr">
        <is>
          <t>C</t>
        </is>
      </c>
      <c r="M253" s="5" t="inlineStr">
        <is>
          <t>Downloaded as raw wikitext.</t>
        </is>
      </c>
    </row>
    <row r="254" ht="64" customHeight="1">
      <c r="A254" s="15" t="inlineStr">
        <is>
          <t>SOURCE-253</t>
        </is>
      </c>
      <c r="B254" s="5" t="n"/>
      <c r="C254" s="5" t="n"/>
      <c r="D254" s="5" t="inlineStr">
        <is>
          <t>Michael Hirst (writer) — Wikipedia</t>
        </is>
      </c>
      <c r="E254" s="5" t="inlineStr">
        <is>
          <t>Wikipedia</t>
        </is>
      </c>
      <c r="F254" s="5" t="n"/>
      <c r="G254" s="5" t="n"/>
      <c r="H254" s="22" t="inlineStr">
        <is>
          <t>https://en.wikipedia.org/wiki/Michael_Hirst_(writer)</t>
        </is>
      </c>
      <c r="I254" s="16" t="n">
        <v>46287</v>
      </c>
      <c r="J254" s="5" t="inlineStr">
        <is>
          <t>English screenwriter and producer. Biography, dates, career background, notable works and awards for Michael Hirst, used for the collaborator entry.</t>
        </is>
      </c>
      <c r="K254" s="5" t="inlineStr">
        <is>
          <t>Encyclopedia article</t>
        </is>
      </c>
      <c r="L254" s="5" t="inlineStr">
        <is>
          <t>C</t>
        </is>
      </c>
      <c r="M254" s="5" t="inlineStr">
        <is>
          <t>Downloaded as raw wikitext.</t>
        </is>
      </c>
    </row>
    <row r="255" ht="64" customHeight="1">
      <c r="A255" s="15" t="inlineStr">
        <is>
          <t>SOURCE-254</t>
        </is>
      </c>
      <c r="B255" s="5" t="n"/>
      <c r="C255" s="5" t="n"/>
      <c r="D255" s="5" t="inlineStr">
        <is>
          <t>Michel Legrand — Wikipedia</t>
        </is>
      </c>
      <c r="E255" s="5" t="inlineStr">
        <is>
          <t>Wikipedia</t>
        </is>
      </c>
      <c r="F255" s="5" t="n"/>
      <c r="G255" s="5" t="n"/>
      <c r="H255" s="22" t="inlineStr">
        <is>
          <t>https://en.wikipedia.org/wiki/Michel_Legrand</t>
        </is>
      </c>
      <c r="I255" s="16" t="n">
        <v>46287</v>
      </c>
      <c r="J255" s="5" t="inlineStr">
        <is>
          <t>French film score composer (1932–2019). Biography, dates, career background, notable works and awards for Michel Legrand, used for the collaborator entry.</t>
        </is>
      </c>
      <c r="K255" s="5" t="inlineStr">
        <is>
          <t>Encyclopedia article</t>
        </is>
      </c>
      <c r="L255" s="5" t="inlineStr">
        <is>
          <t>C</t>
        </is>
      </c>
      <c r="M255" s="5" t="inlineStr">
        <is>
          <t>Downloaded as raw wikitext.</t>
        </is>
      </c>
    </row>
    <row r="256" ht="64" customHeight="1">
      <c r="A256" s="15" t="inlineStr">
        <is>
          <t>SOURCE-255</t>
        </is>
      </c>
      <c r="B256" s="5" t="n"/>
      <c r="C256" s="5" t="n"/>
      <c r="D256" s="5" t="inlineStr">
        <is>
          <t>Mohan Segal — Wikipedia</t>
        </is>
      </c>
      <c r="E256" s="5" t="inlineStr">
        <is>
          <t>Wikipedia</t>
        </is>
      </c>
      <c r="F256" s="5" t="n"/>
      <c r="G256" s="5" t="n"/>
      <c r="H256" s="22" t="inlineStr">
        <is>
          <t>https://en.wikipedia.org/wiki/Mohan_Segal</t>
        </is>
      </c>
      <c r="I256" s="16" t="n">
        <v>46287</v>
      </c>
      <c r="J256" s="5" t="inlineStr">
        <is>
          <t>Indian film director and producer. Biography, dates, career background, notable works and awards for Mohan Segal, used for the collaborator entry.</t>
        </is>
      </c>
      <c r="K256" s="5" t="inlineStr">
        <is>
          <t>Encyclopedia article</t>
        </is>
      </c>
      <c r="L256" s="5" t="inlineStr">
        <is>
          <t>C</t>
        </is>
      </c>
      <c r="M256" s="5" t="inlineStr">
        <is>
          <t>Downloaded as raw wikitext.</t>
        </is>
      </c>
    </row>
    <row r="257" ht="64" customHeight="1">
      <c r="A257" s="15" t="inlineStr">
        <is>
          <t>SOURCE-256</t>
        </is>
      </c>
      <c r="B257" s="5" t="n"/>
      <c r="C257" s="5" t="n"/>
      <c r="D257" s="5" t="inlineStr">
        <is>
          <t>Datta Naik — Wikipedia</t>
        </is>
      </c>
      <c r="E257" s="5" t="inlineStr">
        <is>
          <t>Wikipedia</t>
        </is>
      </c>
      <c r="F257" s="5" t="n"/>
      <c r="G257" s="5" t="n"/>
      <c r="H257" s="22" t="inlineStr">
        <is>
          <t>https://en.wikipedia.org/wiki/Datta_Naik</t>
        </is>
      </c>
      <c r="I257" s="16" t="n">
        <v>46287</v>
      </c>
      <c r="J257" s="5" t="inlineStr">
        <is>
          <t>Indian film music director (1927–1987). Biography, dates, career background, notable works and awards for N. Dutta, used for the collaborator entry.</t>
        </is>
      </c>
      <c r="K257" s="5" t="inlineStr">
        <is>
          <t>Encyclopedia article</t>
        </is>
      </c>
      <c r="L257" s="5" t="inlineStr">
        <is>
          <t>C</t>
        </is>
      </c>
      <c r="M257" s="5" t="inlineStr">
        <is>
          <t>Downloaded as raw wikitext.</t>
        </is>
      </c>
    </row>
    <row r="258" ht="64" customHeight="1">
      <c r="A258" s="15" t="inlineStr">
        <is>
          <t>SOURCE-257</t>
        </is>
      </c>
      <c r="B258" s="5" t="n"/>
      <c r="C258" s="5" t="n"/>
      <c r="D258" s="5" t="inlineStr">
        <is>
          <t>Nabendu Ghosh — Wikipedia</t>
        </is>
      </c>
      <c r="E258" s="5" t="inlineStr">
        <is>
          <t>Wikipedia</t>
        </is>
      </c>
      <c r="F258" s="5" t="n"/>
      <c r="G258" s="5" t="n"/>
      <c r="H258" s="22" t="inlineStr">
        <is>
          <t>https://en.wikipedia.org/wiki/Nabendu_Ghosh</t>
        </is>
      </c>
      <c r="I258" s="16" t="n">
        <v>46287</v>
      </c>
      <c r="J258" s="5" t="inlineStr">
        <is>
          <t>Indian author and screenwriter (1917-2007). Biography, dates, career background, notable works and awards for Nabendu Ghosh, used for the collaborator entry.</t>
        </is>
      </c>
      <c r="K258" s="5" t="inlineStr">
        <is>
          <t>Encyclopedia article</t>
        </is>
      </c>
      <c r="L258" s="5" t="inlineStr">
        <is>
          <t>C</t>
        </is>
      </c>
      <c r="M258" s="5" t="inlineStr">
        <is>
          <t>Downloaded as raw wikitext.</t>
        </is>
      </c>
    </row>
    <row r="259" ht="64" customHeight="1">
      <c r="A259" s="15" t="inlineStr">
        <is>
          <t>SOURCE-258</t>
        </is>
      </c>
      <c r="B259" s="5" t="n"/>
      <c r="C259" s="5" t="n"/>
      <c r="D259" s="5" t="inlineStr">
        <is>
          <t>Nasir Hussain — Wikipedia</t>
        </is>
      </c>
      <c r="E259" s="5" t="inlineStr">
        <is>
          <t>Wikipedia</t>
        </is>
      </c>
      <c r="F259" s="5" t="n"/>
      <c r="G259" s="5" t="n"/>
      <c r="H259" s="22" t="inlineStr">
        <is>
          <t>https://en.wikipedia.org/wiki/Nasir_Hussain</t>
        </is>
      </c>
      <c r="I259" s="16" t="n">
        <v>46287</v>
      </c>
      <c r="J259" s="5" t="inlineStr">
        <is>
          <t>Indian film director and screenwriter (1926–2002). Biography, dates, career background, notable works and awards for Nasir Hussain, used for the collaborator entry.</t>
        </is>
      </c>
      <c r="K259" s="5" t="inlineStr">
        <is>
          <t>Encyclopedia article</t>
        </is>
      </c>
      <c r="L259" s="5" t="inlineStr">
        <is>
          <t>C</t>
        </is>
      </c>
      <c r="M259" s="5" t="inlineStr">
        <is>
          <t>Downloaded as raw wikitext.</t>
        </is>
      </c>
    </row>
    <row r="260" ht="64" customHeight="1">
      <c r="A260" s="15" t="inlineStr">
        <is>
          <t>SOURCE-259</t>
        </is>
      </c>
      <c r="B260" s="5" t="n"/>
      <c r="C260" s="5" t="n"/>
      <c r="D260" s="5" t="inlineStr">
        <is>
          <t>Nicholas Meyer — Wikipedia</t>
        </is>
      </c>
      <c r="E260" s="5" t="inlineStr">
        <is>
          <t>Wikipedia</t>
        </is>
      </c>
      <c r="F260" s="5" t="n"/>
      <c r="G260" s="5" t="n"/>
      <c r="H260" s="22" t="inlineStr">
        <is>
          <t>https://en.wikipedia.org/wiki/Nicholas_Meyer</t>
        </is>
      </c>
      <c r="I260" s="16" t="n">
        <v>46287</v>
      </c>
      <c r="J260" s="5" t="inlineStr">
        <is>
          <t>American screenwriter, producer, author, and director (born 1945). Biography, dates, career background, notable works and awards for Nicholas Meyer, used for the collaborator entry.</t>
        </is>
      </c>
      <c r="K260" s="5" t="inlineStr">
        <is>
          <t>Encyclopedia article</t>
        </is>
      </c>
      <c r="L260" s="5" t="inlineStr">
        <is>
          <t>C</t>
        </is>
      </c>
      <c r="M260" s="5" t="inlineStr">
        <is>
          <t>Downloaded as raw wikitext.</t>
        </is>
      </c>
    </row>
    <row r="261" ht="49" customHeight="1">
      <c r="A261" s="15" t="inlineStr">
        <is>
          <t>SOURCE-260</t>
        </is>
      </c>
      <c r="B261" s="5" t="n"/>
      <c r="C261" s="5" t="n"/>
      <c r="D261" s="5" t="inlineStr">
        <is>
          <t>Nigel Clarke (composer) — Wikipedia</t>
        </is>
      </c>
      <c r="E261" s="5" t="inlineStr">
        <is>
          <t>Wikipedia</t>
        </is>
      </c>
      <c r="F261" s="5" t="n"/>
      <c r="G261" s="5" t="n"/>
      <c r="H261" s="22" t="inlineStr">
        <is>
          <t>https://en.wikipedia.org/wiki/Nigel_Clarke_(composer)</t>
        </is>
      </c>
      <c r="I261" s="16" t="n">
        <v>46287</v>
      </c>
      <c r="J261" s="5" t="inlineStr">
        <is>
          <t>British composer and musician. Biography, dates, career background, notable works and awards for Nigel Clarke, used for the collaborator entry.</t>
        </is>
      </c>
      <c r="K261" s="5" t="inlineStr">
        <is>
          <t>Encyclopedia article</t>
        </is>
      </c>
      <c r="L261" s="5" t="inlineStr">
        <is>
          <t>C</t>
        </is>
      </c>
      <c r="M261" s="5" t="inlineStr">
        <is>
          <t>Downloaded as raw wikitext.</t>
        </is>
      </c>
    </row>
    <row r="262" ht="64" customHeight="1">
      <c r="A262" s="15" t="inlineStr">
        <is>
          <t>SOURCE-261</t>
        </is>
      </c>
      <c r="B262" s="5" t="n"/>
      <c r="C262" s="5" t="n"/>
      <c r="D262" s="5" t="inlineStr">
        <is>
          <t>Pamela Chopra — Wikipedia</t>
        </is>
      </c>
      <c r="E262" s="5" t="inlineStr">
        <is>
          <t>Wikipedia</t>
        </is>
      </c>
      <c r="F262" s="5" t="n"/>
      <c r="G262" s="5" t="n"/>
      <c r="H262" s="22" t="inlineStr">
        <is>
          <t>https://en.wikipedia.org/wiki/Pamela_Chopra</t>
        </is>
      </c>
      <c r="I262" s="16" t="n">
        <v>46287</v>
      </c>
      <c r="J262" s="5" t="inlineStr">
        <is>
          <t>Indian playback singer (1948–2023). Biography, dates, career background, notable works and awards for Pamela Chopra, used for the collaborator entry.</t>
        </is>
      </c>
      <c r="K262" s="5" t="inlineStr">
        <is>
          <t>Encyclopedia article</t>
        </is>
      </c>
      <c r="L262" s="5" t="inlineStr">
        <is>
          <t>C</t>
        </is>
      </c>
      <c r="M262" s="5" t="inlineStr">
        <is>
          <t>Downloaded as raw wikitext.</t>
        </is>
      </c>
    </row>
    <row r="263" ht="64" customHeight="1">
      <c r="A263" s="15" t="inlineStr">
        <is>
          <t>SOURCE-262</t>
        </is>
      </c>
      <c r="B263" s="5" t="n"/>
      <c r="C263" s="5" t="n"/>
      <c r="D263" s="5" t="inlineStr">
        <is>
          <t>Paul Mayersberg — Wikipedia</t>
        </is>
      </c>
      <c r="E263" s="5" t="inlineStr">
        <is>
          <t>Wikipedia</t>
        </is>
      </c>
      <c r="F263" s="5" t="n"/>
      <c r="G263" s="5" t="n"/>
      <c r="H263" s="22" t="inlineStr">
        <is>
          <t>https://en.wikipedia.org/wiki/Paul_Mayersberg</t>
        </is>
      </c>
      <c r="I263" s="16" t="n">
        <v>46287</v>
      </c>
      <c r="J263" s="5" t="inlineStr">
        <is>
          <t>English writer and director (born 1941). Biography, dates, career background, notable works and awards for Paul Mayersberg, used for the collaborator entry.</t>
        </is>
      </c>
      <c r="K263" s="5" t="inlineStr">
        <is>
          <t>Encyclopedia article</t>
        </is>
      </c>
      <c r="L263" s="5" t="inlineStr">
        <is>
          <t>C</t>
        </is>
      </c>
      <c r="M263" s="5" t="inlineStr">
        <is>
          <t>Downloaded as raw wikitext.</t>
        </is>
      </c>
    </row>
    <row r="264" ht="49" customHeight="1">
      <c r="A264" s="15" t="inlineStr">
        <is>
          <t>SOURCE-263</t>
        </is>
      </c>
      <c r="B264" s="5" t="n"/>
      <c r="C264" s="5" t="n"/>
      <c r="D264" s="5" t="inlineStr">
        <is>
          <t>Prafulla Roy — Wikipedia</t>
        </is>
      </c>
      <c r="E264" s="5" t="inlineStr">
        <is>
          <t>Wikipedia</t>
        </is>
      </c>
      <c r="F264" s="5" t="n"/>
      <c r="G264" s="5" t="n"/>
      <c r="H264" s="22" t="inlineStr">
        <is>
          <t>https://en.wikipedia.org/wiki/Prafulla_Roy</t>
        </is>
      </c>
      <c r="I264" s="16" t="n">
        <v>46287</v>
      </c>
      <c r="J264" s="5" t="inlineStr">
        <is>
          <t>Indian writer (1934–2025). Biography, dates, career background, notable works and awards for Prafulla Roy, used for the collaborator entry.</t>
        </is>
      </c>
      <c r="K264" s="5" t="inlineStr">
        <is>
          <t>Encyclopedia article</t>
        </is>
      </c>
      <c r="L264" s="5" t="inlineStr">
        <is>
          <t>C</t>
        </is>
      </c>
      <c r="M264" s="5" t="inlineStr">
        <is>
          <t>Downloaded as raw wikitext.</t>
        </is>
      </c>
    </row>
    <row r="265" ht="64" customHeight="1">
      <c r="A265" s="15" t="inlineStr">
        <is>
          <t>SOURCE-265</t>
        </is>
      </c>
      <c r="B265" s="5" t="n"/>
      <c r="C265" s="5" t="n"/>
      <c r="D265" s="5" t="inlineStr">
        <is>
          <t>Qamar Jalalabadi — Wikipedia</t>
        </is>
      </c>
      <c r="E265" s="5" t="inlineStr">
        <is>
          <t>Wikipedia</t>
        </is>
      </c>
      <c r="F265" s="5" t="n"/>
      <c r="G265" s="5" t="n"/>
      <c r="H265" s="22" t="inlineStr">
        <is>
          <t>https://en.wikipedia.org/wiki/Qamar_Jalalabadi</t>
        </is>
      </c>
      <c r="I265" s="16" t="n">
        <v>46287</v>
      </c>
      <c r="J265" s="5" t="inlineStr">
        <is>
          <t>Indian poet and lyricist (1917-2003). Biography, dates, career background, notable works and awards for Qamar Jalalabadi, used for the collaborator entry.</t>
        </is>
      </c>
      <c r="K265" s="5" t="inlineStr">
        <is>
          <t>Encyclopedia article</t>
        </is>
      </c>
      <c r="L265" s="5" t="inlineStr">
        <is>
          <t>C</t>
        </is>
      </c>
      <c r="M265" s="5" t="inlineStr">
        <is>
          <t>Downloaded as raw wikitext.</t>
        </is>
      </c>
    </row>
    <row r="266" ht="64" customHeight="1">
      <c r="A266" s="15" t="inlineStr">
        <is>
          <t>SOURCE-266</t>
        </is>
      </c>
      <c r="B266" s="5" t="n"/>
      <c r="C266" s="5" t="n"/>
      <c r="D266" s="5" t="inlineStr">
        <is>
          <t>Raamlaxman — Wikipedia</t>
        </is>
      </c>
      <c r="E266" s="5" t="inlineStr">
        <is>
          <t>Wikipedia</t>
        </is>
      </c>
      <c r="F266" s="5" t="n"/>
      <c r="G266" s="5" t="n"/>
      <c r="H266" s="22" t="inlineStr">
        <is>
          <t>https://en.wikipedia.org/wiki/Raamlaxman</t>
        </is>
      </c>
      <c r="I266" s="16" t="n">
        <v>46287</v>
      </c>
      <c r="J266" s="5" t="inlineStr">
        <is>
          <t>Indian composer, pianist, musician, and accordionist (1942–2021). Biography, dates, career background, notable works and awards for Raamlaxman, used for the collaborator entry.</t>
        </is>
      </c>
      <c r="K266" s="5" t="inlineStr">
        <is>
          <t>Encyclopedia article</t>
        </is>
      </c>
      <c r="L266" s="5" t="inlineStr">
        <is>
          <t>C</t>
        </is>
      </c>
      <c r="M266" s="5" t="inlineStr">
        <is>
          <t>Downloaded as raw wikitext.</t>
        </is>
      </c>
    </row>
    <row r="267" ht="49" customHeight="1">
      <c r="A267" s="15" t="inlineStr">
        <is>
          <t>SOURCE-267</t>
        </is>
      </c>
      <c r="B267" s="5" t="n"/>
      <c r="C267" s="5" t="n"/>
      <c r="D267" s="5" t="inlineStr">
        <is>
          <t>Raj Khosla — Wikipedia</t>
        </is>
      </c>
      <c r="E267" s="5" t="inlineStr">
        <is>
          <t>Wikipedia</t>
        </is>
      </c>
      <c r="F267" s="5" t="n"/>
      <c r="G267" s="5" t="n"/>
      <c r="H267" s="22" t="inlineStr">
        <is>
          <t>https://en.wikipedia.org/wiki/Raj_Khosla</t>
        </is>
      </c>
      <c r="I267" s="16" t="n">
        <v>46287</v>
      </c>
      <c r="J267" s="5" t="inlineStr">
        <is>
          <t>Indian filmmaker (1925–1991). Biography, dates, career background, notable works and awards for Raj Khosla, used for the collaborator entry.</t>
        </is>
      </c>
      <c r="K267" s="5" t="inlineStr">
        <is>
          <t>Encyclopedia article</t>
        </is>
      </c>
      <c r="L267" s="5" t="inlineStr">
        <is>
          <t>C</t>
        </is>
      </c>
      <c r="M267" s="5" t="inlineStr">
        <is>
          <t>Downloaded as raw wikitext.</t>
        </is>
      </c>
    </row>
    <row r="268" ht="64" customHeight="1">
      <c r="A268" s="15" t="inlineStr">
        <is>
          <t>SOURCE-268</t>
        </is>
      </c>
      <c r="B268" s="5" t="n"/>
      <c r="C268" s="5" t="n"/>
      <c r="D268" s="5" t="inlineStr">
        <is>
          <t>Rajesh Khanna — Wikipedia</t>
        </is>
      </c>
      <c r="E268" s="5" t="inlineStr">
        <is>
          <t>Wikipedia</t>
        </is>
      </c>
      <c r="F268" s="5" t="n"/>
      <c r="G268" s="5" t="n"/>
      <c r="H268" s="22" t="inlineStr">
        <is>
          <t>https://en.wikipedia.org/wiki/Rajesh_Khanna</t>
        </is>
      </c>
      <c r="I268" s="16" t="n">
        <v>46287</v>
      </c>
      <c r="J268" s="5" t="inlineStr">
        <is>
          <t>Indian actor, film producer and politician (1942–2012). Biography, dates, career background, notable works and awards for Rajesh Khanna, used for the collaborator entry.</t>
        </is>
      </c>
      <c r="K268" s="5" t="inlineStr">
        <is>
          <t>Encyclopedia article</t>
        </is>
      </c>
      <c r="L268" s="5" t="inlineStr">
        <is>
          <t>C</t>
        </is>
      </c>
      <c r="M268" s="5" t="inlineStr">
        <is>
          <t>Downloaded as raw wikitext.</t>
        </is>
      </c>
    </row>
    <row r="269" ht="64" customHeight="1">
      <c r="A269" s="15" t="inlineStr">
        <is>
          <t>SOURCE-269</t>
        </is>
      </c>
      <c r="B269" s="5" t="n"/>
      <c r="C269" s="5" t="n"/>
      <c r="D269" s="5" t="inlineStr">
        <is>
          <t>Rajendra Krishan — Wikipedia</t>
        </is>
      </c>
      <c r="E269" s="5" t="inlineStr">
        <is>
          <t>Wikipedia</t>
        </is>
      </c>
      <c r="F269" s="5" t="n"/>
      <c r="G269" s="5" t="n"/>
      <c r="H269" s="22" t="inlineStr">
        <is>
          <t>https://en.wikipedia.org/wiki/Rajendra_Krishan</t>
        </is>
      </c>
      <c r="I269" s="16" t="n">
        <v>46287</v>
      </c>
      <c r="J269" s="5" t="inlineStr">
        <is>
          <t>Indian poet, lyricist and screenwriter (1919–1987). Biography, dates, career background, notable works and awards for Rajinder Krishan, used for the collaborator entry.</t>
        </is>
      </c>
      <c r="K269" s="5" t="inlineStr">
        <is>
          <t>Encyclopedia article</t>
        </is>
      </c>
      <c r="L269" s="5" t="inlineStr">
        <is>
          <t>C</t>
        </is>
      </c>
      <c r="M269" s="5" t="inlineStr">
        <is>
          <t>Downloaded as raw wikitext.</t>
        </is>
      </c>
    </row>
    <row r="270" ht="64" customHeight="1">
      <c r="A270" s="15" t="inlineStr">
        <is>
          <t>SOURCE-270</t>
        </is>
      </c>
      <c r="B270" s="5" t="n"/>
      <c r="C270" s="5" t="n"/>
      <c r="D270" s="5" t="inlineStr">
        <is>
          <t>Ramesh Behl — Wikipedia</t>
        </is>
      </c>
      <c r="E270" s="5" t="inlineStr">
        <is>
          <t>Wikipedia</t>
        </is>
      </c>
      <c r="F270" s="5" t="n"/>
      <c r="G270" s="5" t="n"/>
      <c r="H270" s="22" t="inlineStr">
        <is>
          <t>https://en.wikipedia.org/wiki/Ramesh_Behl</t>
        </is>
      </c>
      <c r="I270" s="16" t="n">
        <v>46287</v>
      </c>
      <c r="J270" s="5" t="inlineStr">
        <is>
          <t>Indian film director and producer. Biography, dates, career background, notable works and awards for Ramesh Behl, used for the collaborator entry.</t>
        </is>
      </c>
      <c r="K270" s="5" t="inlineStr">
        <is>
          <t>Encyclopedia article</t>
        </is>
      </c>
      <c r="L270" s="5" t="inlineStr">
        <is>
          <t>C</t>
        </is>
      </c>
      <c r="M270" s="5" t="inlineStr">
        <is>
          <t>Downloaded as raw wikitext.</t>
        </is>
      </c>
    </row>
    <row r="271" ht="49" customHeight="1">
      <c r="A271" s="15" t="inlineStr">
        <is>
          <t>SOURCE-271</t>
        </is>
      </c>
      <c r="B271" s="5" t="n"/>
      <c r="C271" s="5" t="n"/>
      <c r="D271" s="5" t="inlineStr">
        <is>
          <t>Ramesh Saigal — Wikipedia</t>
        </is>
      </c>
      <c r="E271" s="5" t="inlineStr">
        <is>
          <t>Wikipedia</t>
        </is>
      </c>
      <c r="F271" s="5" t="n"/>
      <c r="G271" s="5" t="n"/>
      <c r="H271" s="22" t="inlineStr">
        <is>
          <t>https://en.wikipedia.org/wiki/Ramesh_Saigal</t>
        </is>
      </c>
      <c r="I271" s="16" t="n">
        <v>46287</v>
      </c>
      <c r="J271" s="5" t="inlineStr">
        <is>
          <t>Indian film director. Biography, dates, career background, notable works and awards for Ramesh Saigal, used for the collaborator entry.</t>
        </is>
      </c>
      <c r="K271" s="5" t="inlineStr">
        <is>
          <t>Encyclopedia article</t>
        </is>
      </c>
      <c r="L271" s="5" t="inlineStr">
        <is>
          <t>C</t>
        </is>
      </c>
      <c r="M271" s="5" t="inlineStr">
        <is>
          <t>Downloaded as raw wikitext.</t>
        </is>
      </c>
    </row>
    <row r="272" ht="49" customHeight="1">
      <c r="A272" s="15" t="inlineStr">
        <is>
          <t>SOURCE-272</t>
        </is>
      </c>
      <c r="B272" s="5" t="n"/>
      <c r="C272" s="5" t="n"/>
      <c r="D272" s="5" t="inlineStr">
        <is>
          <t>Ravi (composer) — Wikipedia</t>
        </is>
      </c>
      <c r="E272" s="5" t="inlineStr">
        <is>
          <t>Wikipedia</t>
        </is>
      </c>
      <c r="F272" s="5" t="n"/>
      <c r="G272" s="5" t="n"/>
      <c r="H272" s="22" t="inlineStr">
        <is>
          <t>https://en.wikipedia.org/wiki/Ravi_(composer)</t>
        </is>
      </c>
      <c r="I272" s="16" t="n">
        <v>46287</v>
      </c>
      <c r="J272" s="5" t="inlineStr">
        <is>
          <t>Indian composer (1926–2012). Biography, dates, career background, notable works and awards for Ravi, used for the collaborator entry.</t>
        </is>
      </c>
      <c r="K272" s="5" t="inlineStr">
        <is>
          <t>Encyclopedia article</t>
        </is>
      </c>
      <c r="L272" s="5" t="inlineStr">
        <is>
          <t>C</t>
        </is>
      </c>
      <c r="M272" s="5" t="inlineStr">
        <is>
          <t>Downloaded as raw wikitext.</t>
        </is>
      </c>
    </row>
    <row r="273" ht="64" customHeight="1">
      <c r="A273" s="15" t="inlineStr">
        <is>
          <t>SOURCE-273</t>
        </is>
      </c>
      <c r="B273" s="5" t="n"/>
      <c r="C273" s="5" t="n"/>
      <c r="D273" s="5" t="inlineStr">
        <is>
          <t>Ravi Tandon — Wikipedia</t>
        </is>
      </c>
      <c r="E273" s="5" t="inlineStr">
        <is>
          <t>Wikipedia</t>
        </is>
      </c>
      <c r="F273" s="5" t="n"/>
      <c r="G273" s="5" t="n"/>
      <c r="H273" s="22" t="inlineStr">
        <is>
          <t>https://en.wikipedia.org/wiki/Ravi_Tandon</t>
        </is>
      </c>
      <c r="I273" s="16" t="n">
        <v>46287</v>
      </c>
      <c r="J273" s="5" t="inlineStr">
        <is>
          <t>Indian film director and producer (1935–2022). Biography, dates, career background, notable works and awards for Ravi Tandon, used for the collaborator entry.</t>
        </is>
      </c>
      <c r="K273" s="5" t="inlineStr">
        <is>
          <t>Encyclopedia article</t>
        </is>
      </c>
      <c r="L273" s="5" t="inlineStr">
        <is>
          <t>C</t>
        </is>
      </c>
      <c r="M273" s="5" t="inlineStr">
        <is>
          <t>Downloaded as raw wikitext.</t>
        </is>
      </c>
    </row>
    <row r="274" ht="64" customHeight="1">
      <c r="A274" s="15" t="inlineStr">
        <is>
          <t>SOURCE-274</t>
        </is>
      </c>
      <c r="B274" s="5" t="n"/>
      <c r="C274" s="5" t="n"/>
      <c r="D274" s="5" t="inlineStr">
        <is>
          <t>Richard Robbins (composer) — Wikipedia</t>
        </is>
      </c>
      <c r="E274" s="5" t="inlineStr">
        <is>
          <t>Wikipedia</t>
        </is>
      </c>
      <c r="F274" s="5" t="n"/>
      <c r="G274" s="5" t="n"/>
      <c r="H274" s="22" t="inlineStr">
        <is>
          <t>https://en.wikipedia.org/wiki/Richard_Robbins_(composer)</t>
        </is>
      </c>
      <c r="I274" s="16" t="n">
        <v>46287</v>
      </c>
      <c r="J274" s="5" t="inlineStr">
        <is>
          <t>American musical artist (1940–2012). Biography, dates, career background, notable works and awards for Richard Robbins, used for the collaborator entry.</t>
        </is>
      </c>
      <c r="K274" s="5" t="inlineStr">
        <is>
          <t>Encyclopedia article</t>
        </is>
      </c>
      <c r="L274" s="5" t="inlineStr">
        <is>
          <t>C</t>
        </is>
      </c>
      <c r="M274" s="5" t="inlineStr">
        <is>
          <t>Downloaded as raw wikitext.</t>
        </is>
      </c>
    </row>
    <row r="275" ht="64" customHeight="1">
      <c r="A275" s="15" t="inlineStr">
        <is>
          <t>SOURCE-275</t>
        </is>
      </c>
      <c r="B275" s="5" t="n"/>
      <c r="C275" s="5" t="n"/>
      <c r="D275" s="5" t="inlineStr">
        <is>
          <t>Ruskin Bond — Wikipedia</t>
        </is>
      </c>
      <c r="E275" s="5" t="inlineStr">
        <is>
          <t>Wikipedia</t>
        </is>
      </c>
      <c r="F275" s="5" t="n"/>
      <c r="G275" s="5" t="n"/>
      <c r="H275" s="22" t="inlineStr">
        <is>
          <t>https://en.wikipedia.org/wiki/Ruskin_Bond</t>
        </is>
      </c>
      <c r="I275" s="16" t="n">
        <v>46287</v>
      </c>
      <c r="J275" s="5" t="inlineStr">
        <is>
          <t>Indian novelist and short story writer (born 1934). Biography, dates, career background, notable works and awards for Ruskin Bond, used for the collaborator entry.</t>
        </is>
      </c>
      <c r="K275" s="5" t="inlineStr">
        <is>
          <t>Encyclopedia article</t>
        </is>
      </c>
      <c r="L275" s="5" t="inlineStr">
        <is>
          <t>C</t>
        </is>
      </c>
      <c r="M275" s="5" t="inlineStr">
        <is>
          <t>Downloaded as raw wikitext.</t>
        </is>
      </c>
    </row>
    <row r="276" ht="64" customHeight="1">
      <c r="A276" s="15" t="inlineStr">
        <is>
          <t>SOURCE-276</t>
        </is>
      </c>
      <c r="B276" s="5" t="n"/>
      <c r="C276" s="5" t="n"/>
      <c r="D276" s="5" t="inlineStr">
        <is>
          <t>Sukhdev Singh Sandhu — Wikipedia</t>
        </is>
      </c>
      <c r="E276" s="5" t="inlineStr">
        <is>
          <t>Wikipedia</t>
        </is>
      </c>
      <c r="F276" s="5" t="n"/>
      <c r="G276" s="5" t="n"/>
      <c r="H276" s="22" t="inlineStr">
        <is>
          <t>https://en.wikipedia.org/wiki/Sukhdev_Singh_Sandhu</t>
        </is>
      </c>
      <c r="I276" s="16" t="n">
        <v>46287</v>
      </c>
      <c r="J276" s="5" t="inlineStr">
        <is>
          <t>Indian documentary filmmaker, cinematographer (1933–1979). Biography, dates, career background, notable works and awards for S. Sukhdev, used for the collaborator entry.</t>
        </is>
      </c>
      <c r="K276" s="5" t="inlineStr">
        <is>
          <t>Encyclopedia article</t>
        </is>
      </c>
      <c r="L276" s="5" t="inlineStr">
        <is>
          <t>C</t>
        </is>
      </c>
      <c r="M276" s="5" t="inlineStr">
        <is>
          <t>Downloaded as raw wikitext.</t>
        </is>
      </c>
    </row>
    <row r="277" ht="64" customHeight="1">
      <c r="A277" s="15" t="inlineStr">
        <is>
          <t>SOURCE-277</t>
        </is>
      </c>
      <c r="B277" s="5" t="n"/>
      <c r="C277" s="5" t="n"/>
      <c r="D277" s="5" t="inlineStr">
        <is>
          <t>Salim Khan — Wikipedia</t>
        </is>
      </c>
      <c r="E277" s="5" t="inlineStr">
        <is>
          <t>Wikipedia</t>
        </is>
      </c>
      <c r="F277" s="5" t="n"/>
      <c r="G277" s="5" t="n"/>
      <c r="H277" s="22" t="inlineStr">
        <is>
          <t>https://en.wikipedia.org/wiki/Salim_Khan</t>
        </is>
      </c>
      <c r="I277" s="16" t="n">
        <v>46287</v>
      </c>
      <c r="J277" s="5" t="inlineStr">
        <is>
          <t>Indian actor and screenwriter (born 1935). Biography, dates, career background, notable works and awards for Salim Khan, used for the collaborator entry.</t>
        </is>
      </c>
      <c r="K277" s="5" t="inlineStr">
        <is>
          <t>Encyclopedia article</t>
        </is>
      </c>
      <c r="L277" s="5" t="inlineStr">
        <is>
          <t>C</t>
        </is>
      </c>
      <c r="M277" s="5" t="inlineStr">
        <is>
          <t>Downloaded as raw wikitext.</t>
        </is>
      </c>
    </row>
    <row r="278" ht="49" customHeight="1">
      <c r="A278" s="15" t="inlineStr">
        <is>
          <t>SOURCE-278</t>
        </is>
      </c>
      <c r="B278" s="5" t="n"/>
      <c r="C278" s="5" t="n"/>
      <c r="D278" s="5" t="inlineStr">
        <is>
          <t>Santosh Saroj — Wikipedia</t>
        </is>
      </c>
      <c r="E278" s="5" t="inlineStr">
        <is>
          <t>Wikipedia</t>
        </is>
      </c>
      <c r="F278" s="5" t="n"/>
      <c r="G278" s="5" t="n"/>
      <c r="H278" s="22" t="inlineStr">
        <is>
          <t>https://en.wikipedia.org/wiki/Santosh_Saroj</t>
        </is>
      </c>
      <c r="I278" s="16" t="n">
        <v>46287</v>
      </c>
      <c r="J278" s="5" t="inlineStr">
        <is>
          <t>Indian screenwriter. Biography, dates, career background, notable works and awards for Santosh Saroj, used for the collaborator entry.</t>
        </is>
      </c>
      <c r="K278" s="5" t="inlineStr">
        <is>
          <t>Encyclopedia article</t>
        </is>
      </c>
      <c r="L278" s="5" t="inlineStr">
        <is>
          <t>C</t>
        </is>
      </c>
      <c r="M278" s="5" t="inlineStr">
        <is>
          <t>Downloaded as raw wikitext.</t>
        </is>
      </c>
    </row>
    <row r="279" ht="49" customHeight="1">
      <c r="A279" s="15" t="inlineStr">
        <is>
          <t>SOURCE-279</t>
        </is>
      </c>
      <c r="B279" s="5" t="n"/>
      <c r="C279" s="5" t="n"/>
      <c r="D279" s="5" t="inlineStr">
        <is>
          <t>Sarah Radclyffe — Wikipedia</t>
        </is>
      </c>
      <c r="E279" s="5" t="inlineStr">
        <is>
          <t>Wikipedia</t>
        </is>
      </c>
      <c r="F279" s="5" t="n"/>
      <c r="G279" s="5" t="n"/>
      <c r="H279" s="22" t="inlineStr">
        <is>
          <t>https://en.wikipedia.org/wiki/Sarah_Radclyffe</t>
        </is>
      </c>
      <c r="I279" s="16" t="n">
        <v>46287</v>
      </c>
      <c r="J279" s="5" t="inlineStr">
        <is>
          <t>British film producer. Biography, dates, career background, notable works and awards for Sarah Radclyffe, used for the collaborator entry.</t>
        </is>
      </c>
      <c r="K279" s="5" t="inlineStr">
        <is>
          <t>Encyclopedia article</t>
        </is>
      </c>
      <c r="L279" s="5" t="inlineStr">
        <is>
          <t>C</t>
        </is>
      </c>
      <c r="M279" s="5" t="inlineStr">
        <is>
          <t>Downloaded as raw wikitext.</t>
        </is>
      </c>
    </row>
    <row r="280" ht="64" customHeight="1">
      <c r="A280" s="15" t="inlineStr">
        <is>
          <t>SOURCE-280</t>
        </is>
      </c>
      <c r="B280" s="5" t="n"/>
      <c r="C280" s="5" t="n"/>
      <c r="D280" s="5" t="inlineStr">
        <is>
          <t>Satyajit Ray — Wikipedia</t>
        </is>
      </c>
      <c r="E280" s="5" t="inlineStr">
        <is>
          <t>Wikipedia</t>
        </is>
      </c>
      <c r="F280" s="5" t="n"/>
      <c r="G280" s="5" t="n"/>
      <c r="H280" s="22" t="inlineStr">
        <is>
          <t>https://en.wikipedia.org/wiki/Satyajit_Ray</t>
        </is>
      </c>
      <c r="I280" s="16" t="n">
        <v>46287</v>
      </c>
      <c r="J280" s="5" t="inlineStr">
        <is>
          <t>Indian filmmaker and writer (1921–1992). Biography, dates, career background, notable works and awards for Satyajit Ray, used for the collaborator entry.</t>
        </is>
      </c>
      <c r="K280" s="5" t="inlineStr">
        <is>
          <t>Encyclopedia article</t>
        </is>
      </c>
      <c r="L280" s="5" t="inlineStr">
        <is>
          <t>C</t>
        </is>
      </c>
      <c r="M280" s="5" t="inlineStr">
        <is>
          <t>Downloaded as raw wikitext.</t>
        </is>
      </c>
    </row>
    <row r="281" ht="64" customHeight="1">
      <c r="A281" s="15" t="inlineStr">
        <is>
          <t>SOURCE-281</t>
        </is>
      </c>
      <c r="B281" s="5" t="n"/>
      <c r="C281" s="5" t="n"/>
      <c r="D281" s="5" t="inlineStr">
        <is>
          <t>Saawan Kumar Tak — Wikipedia</t>
        </is>
      </c>
      <c r="E281" s="5" t="inlineStr">
        <is>
          <t>Wikipedia</t>
        </is>
      </c>
      <c r="F281" s="5" t="n"/>
      <c r="G281" s="5" t="n"/>
      <c r="H281" s="22" t="inlineStr">
        <is>
          <t>https://en.wikipedia.org/wiki/Saawan_Kumar_Tak</t>
        </is>
      </c>
      <c r="I281" s="16" t="n">
        <v>46287</v>
      </c>
      <c r="J281" s="5" t="inlineStr">
        <is>
          <t>Indian film director, producer, and lyricist (1936–2022). Biography, dates, career background, notable works and awards for Sawan Kumar Tak, used for the collaborator entry.</t>
        </is>
      </c>
      <c r="K281" s="5" t="inlineStr">
        <is>
          <t>Encyclopedia article</t>
        </is>
      </c>
      <c r="L281" s="5" t="inlineStr">
        <is>
          <t>C</t>
        </is>
      </c>
      <c r="M281" s="5" t="inlineStr">
        <is>
          <t>Downloaded as raw wikitext.</t>
        </is>
      </c>
    </row>
    <row r="282" ht="64" customHeight="1">
      <c r="A282" s="15" t="inlineStr">
        <is>
          <t>SOURCE-282</t>
        </is>
      </c>
      <c r="B282" s="5" t="n"/>
      <c r="C282" s="5" t="n"/>
      <c r="D282" s="5" t="inlineStr">
        <is>
          <t>Shahrukh Husain — Wikipedia</t>
        </is>
      </c>
      <c r="E282" s="5" t="inlineStr">
        <is>
          <t>Wikipedia</t>
        </is>
      </c>
      <c r="F282" s="5" t="n"/>
      <c r="G282" s="5" t="n"/>
      <c r="H282" s="22" t="inlineStr">
        <is>
          <t>https://en.wikipedia.org/wiki/Shahrukh_Husain</t>
        </is>
      </c>
      <c r="I282" s="16" t="n">
        <v>46287</v>
      </c>
      <c r="J282" s="5" t="inlineStr">
        <is>
          <t>Pakistani writer (born 1950). Biography, dates, career background, notable works and awards for Shahrukh Husain, used for the collaborator entry.</t>
        </is>
      </c>
      <c r="K282" s="5" t="inlineStr">
        <is>
          <t>Encyclopedia article</t>
        </is>
      </c>
      <c r="L282" s="5" t="inlineStr">
        <is>
          <t>C</t>
        </is>
      </c>
      <c r="M282" s="5" t="inlineStr">
        <is>
          <t>Downloaded as raw wikitext.</t>
        </is>
      </c>
    </row>
    <row r="283" ht="64" customHeight="1">
      <c r="A283" s="15" t="inlineStr">
        <is>
          <t>SOURCE-283</t>
        </is>
      </c>
      <c r="B283" s="5" t="n"/>
      <c r="C283" s="5" t="n"/>
      <c r="D283" s="5" t="inlineStr">
        <is>
          <t>Shakti Samanta — Wikipedia</t>
        </is>
      </c>
      <c r="E283" s="5" t="inlineStr">
        <is>
          <t>Wikipedia</t>
        </is>
      </c>
      <c r="F283" s="5" t="n"/>
      <c r="G283" s="5" t="n"/>
      <c r="H283" s="22" t="inlineStr">
        <is>
          <t>https://en.wikipedia.org/wiki/Shakti_Samanta</t>
        </is>
      </c>
      <c r="I283" s="16" t="n">
        <v>46287</v>
      </c>
      <c r="J283" s="5" t="inlineStr">
        <is>
          <t>Indian film director and producer (1926-2009). Biography, dates, career background, notable works and awards for Shakti Samanta, used for the collaborator entry.</t>
        </is>
      </c>
      <c r="K283" s="5" t="inlineStr">
        <is>
          <t>Encyclopedia article</t>
        </is>
      </c>
      <c r="L283" s="5" t="inlineStr">
        <is>
          <t>C</t>
        </is>
      </c>
      <c r="M283" s="5" t="inlineStr">
        <is>
          <t>Downloaded as raw wikitext.</t>
        </is>
      </c>
    </row>
    <row r="284" ht="49" customHeight="1">
      <c r="A284" s="15" t="inlineStr">
        <is>
          <t>SOURCE-284</t>
        </is>
      </c>
      <c r="B284" s="5" t="n"/>
      <c r="C284" s="5" t="n"/>
      <c r="D284" s="5" t="inlineStr">
        <is>
          <t>Shammi (actress) — Wikipedia</t>
        </is>
      </c>
      <c r="E284" s="5" t="inlineStr">
        <is>
          <t>Wikipedia</t>
        </is>
      </c>
      <c r="F284" s="5" t="n"/>
      <c r="G284" s="5" t="n"/>
      <c r="H284" s="22" t="inlineStr">
        <is>
          <t>https://en.wikipedia.org/wiki/Shammi_(actress)</t>
        </is>
      </c>
      <c r="I284" s="16" t="n">
        <v>46287</v>
      </c>
      <c r="J284" s="5" t="inlineStr">
        <is>
          <t>Indian actress. Biography, dates, career background, notable works and awards for Shammi, used for the collaborator entry.</t>
        </is>
      </c>
      <c r="K284" s="5" t="inlineStr">
        <is>
          <t>Encyclopedia article</t>
        </is>
      </c>
      <c r="L284" s="5" t="inlineStr">
        <is>
          <t>C</t>
        </is>
      </c>
      <c r="M284" s="5" t="inlineStr">
        <is>
          <t>Downloaded as raw wikitext.</t>
        </is>
      </c>
    </row>
    <row r="285" ht="64" customHeight="1">
      <c r="A285" s="15" t="inlineStr">
        <is>
          <t>SOURCE-285</t>
        </is>
      </c>
      <c r="B285" s="5" t="n"/>
      <c r="C285" s="5" t="n"/>
      <c r="D285" s="5" t="inlineStr">
        <is>
          <t>Sharad Joshi — Wikipedia</t>
        </is>
      </c>
      <c r="E285" s="5" t="inlineStr">
        <is>
          <t>Wikipedia</t>
        </is>
      </c>
      <c r="F285" s="5" t="n"/>
      <c r="G285" s="5" t="n"/>
      <c r="H285" s="22" t="inlineStr">
        <is>
          <t>https://en.wikipedia.org/wiki/Sharad_Joshi</t>
        </is>
      </c>
      <c r="I285" s="16" t="n">
        <v>46287</v>
      </c>
      <c r="J285" s="5" t="inlineStr">
        <is>
          <t>Indian poet and writer (1931–1991). Biography, dates, career background, notable works and awards for Sharad Joshi, used for the collaborator entry.</t>
        </is>
      </c>
      <c r="K285" s="5" t="inlineStr">
        <is>
          <t>Encyclopedia article</t>
        </is>
      </c>
      <c r="L285" s="5" t="inlineStr">
        <is>
          <t>C</t>
        </is>
      </c>
      <c r="M285" s="5" t="inlineStr">
        <is>
          <t>Downloaded as raw wikitext.</t>
        </is>
      </c>
    </row>
    <row r="286" ht="49" customHeight="1">
      <c r="A286" s="15" t="inlineStr">
        <is>
          <t>SOURCE-286</t>
        </is>
      </c>
      <c r="B286" s="5" t="n"/>
      <c r="C286" s="5" t="n"/>
      <c r="D286" s="5" t="inlineStr">
        <is>
          <t>Shiv–Hari — Wikipedia</t>
        </is>
      </c>
      <c r="E286" s="5" t="inlineStr">
        <is>
          <t>Wikipedia</t>
        </is>
      </c>
      <c r="F286" s="5" t="n"/>
      <c r="G286" s="5" t="n"/>
      <c r="H286" s="22" t="inlineStr">
        <is>
          <t>https://en.wikipedia.org/wiki/Shiv%E2%80%93Hari</t>
        </is>
      </c>
      <c r="I286" s="16" t="n">
        <v>46287</v>
      </c>
      <c r="J286" s="5" t="inlineStr">
        <is>
          <t>Indian musical duo. Biography, dates, career background, notable works and awards for Shiv–Hari, used for the collaborator entry.</t>
        </is>
      </c>
      <c r="K286" s="5" t="inlineStr">
        <is>
          <t>Encyclopedia article</t>
        </is>
      </c>
      <c r="L286" s="5" t="inlineStr">
        <is>
          <t>C</t>
        </is>
      </c>
      <c r="M286" s="5" t="inlineStr">
        <is>
          <t>Downloaded as raw wikitext.</t>
        </is>
      </c>
    </row>
    <row r="287" ht="64" customHeight="1">
      <c r="A287" s="15" t="inlineStr">
        <is>
          <t>SOURCE-287</t>
        </is>
      </c>
      <c r="B287" s="5" t="n"/>
      <c r="C287" s="5" t="n"/>
      <c r="D287" s="5" t="inlineStr">
        <is>
          <t>Stanley Myers — Wikipedia</t>
        </is>
      </c>
      <c r="E287" s="5" t="inlineStr">
        <is>
          <t>Wikipedia</t>
        </is>
      </c>
      <c r="F287" s="5" t="n"/>
      <c r="G287" s="5" t="n"/>
      <c r="H287" s="22" t="inlineStr">
        <is>
          <t>https://en.wikipedia.org/wiki/Stanley_Myers</t>
        </is>
      </c>
      <c r="I287" s="16" t="n">
        <v>46287</v>
      </c>
      <c r="J287" s="5" t="inlineStr">
        <is>
          <t>English composer and conductor (1930–1993). Biography, dates, career background, notable works and awards for Stanley Myers, used for the collaborator entry.</t>
        </is>
      </c>
      <c r="K287" s="5" t="inlineStr">
        <is>
          <t>Encyclopedia article</t>
        </is>
      </c>
      <c r="L287" s="5" t="inlineStr">
        <is>
          <t>C</t>
        </is>
      </c>
      <c r="M287" s="5" t="inlineStr">
        <is>
          <t>Downloaded as raw wikitext.</t>
        </is>
      </c>
    </row>
    <row r="288" ht="64" customHeight="1">
      <c r="A288" s="15" t="inlineStr">
        <is>
          <t>SOURCE-288</t>
        </is>
      </c>
      <c r="B288" s="5" t="n"/>
      <c r="C288" s="5" t="n"/>
      <c r="D288" s="5" t="inlineStr">
        <is>
          <t>Stephen Frears — Wikipedia</t>
        </is>
      </c>
      <c r="E288" s="5" t="inlineStr">
        <is>
          <t>Wikipedia</t>
        </is>
      </c>
      <c r="F288" s="5" t="n"/>
      <c r="G288" s="5" t="n"/>
      <c r="H288" s="22" t="inlineStr">
        <is>
          <t>https://en.wikipedia.org/wiki/Stephen_Frears</t>
        </is>
      </c>
      <c r="I288" s="16" t="n">
        <v>46287</v>
      </c>
      <c r="J288" s="5" t="inlineStr">
        <is>
          <t>British film director and producer (born 1941). Biography, dates, career background, notable works and awards for Stephen Frears, used for the collaborator entry.</t>
        </is>
      </c>
      <c r="K288" s="5" t="inlineStr">
        <is>
          <t>Encyclopedia article</t>
        </is>
      </c>
      <c r="L288" s="5" t="inlineStr">
        <is>
          <t>C</t>
        </is>
      </c>
      <c r="M288" s="5" t="inlineStr">
        <is>
          <t>Downloaded as raw wikitext.</t>
        </is>
      </c>
    </row>
    <row r="289" ht="64" customHeight="1">
      <c r="A289" s="15" t="inlineStr">
        <is>
          <t>SOURCE-289</t>
        </is>
      </c>
      <c r="B289" s="5" t="n"/>
      <c r="C289" s="5" t="n"/>
      <c r="D289" s="5" t="inlineStr">
        <is>
          <t>Subodh Ghosh — Wikipedia</t>
        </is>
      </c>
      <c r="E289" s="5" t="inlineStr">
        <is>
          <t>Wikipedia</t>
        </is>
      </c>
      <c r="F289" s="5" t="n"/>
      <c r="G289" s="5" t="n"/>
      <c r="H289" s="22" t="inlineStr">
        <is>
          <t>https://en.wikipedia.org/wiki/Subodh_Ghosh</t>
        </is>
      </c>
      <c r="I289" s="16" t="n">
        <v>46287</v>
      </c>
      <c r="J289" s="5" t="inlineStr">
        <is>
          <t>Bengali writer and journalist (1909–1980). Biography, dates, career background, notable works and awards for Subodh Ghosh, used for the collaborator entry.</t>
        </is>
      </c>
      <c r="K289" s="5" t="inlineStr">
        <is>
          <t>Encyclopedia article</t>
        </is>
      </c>
      <c r="L289" s="5" t="inlineStr">
        <is>
          <t>C</t>
        </is>
      </c>
      <c r="M289" s="5" t="inlineStr">
        <is>
          <t>Downloaded as raw wikitext.</t>
        </is>
      </c>
    </row>
    <row r="290" ht="64" customHeight="1">
      <c r="A290" s="15" t="inlineStr">
        <is>
          <t>SOURCE-290</t>
        </is>
      </c>
      <c r="B290" s="5" t="n"/>
      <c r="C290" s="5" t="n"/>
      <c r="D290" s="5" t="inlineStr">
        <is>
          <t>Sukhdev Singh Sandhu — Wikipedia</t>
        </is>
      </c>
      <c r="E290" s="5" t="inlineStr">
        <is>
          <t>Wikipedia</t>
        </is>
      </c>
      <c r="F290" s="5" t="n"/>
      <c r="G290" s="5" t="n"/>
      <c r="H290" s="22" t="inlineStr">
        <is>
          <t>https://en.wikipedia.org/wiki/Sukhdev_Singh_Sandhu</t>
        </is>
      </c>
      <c r="I290" s="16" t="n">
        <v>46287</v>
      </c>
      <c r="J290" s="5" t="inlineStr">
        <is>
          <t>Indian documentary filmmaker, cinematographer (1933–1979). Biography, dates, career background, notable works and awards for Sukhdev Singh Sandhu, used for the collaborator entry.</t>
        </is>
      </c>
      <c r="K290" s="5" t="inlineStr">
        <is>
          <t>Encyclopedia article</t>
        </is>
      </c>
      <c r="L290" s="5" t="inlineStr">
        <is>
          <t>C</t>
        </is>
      </c>
      <c r="M290" s="5" t="inlineStr">
        <is>
          <t>Downloaded as raw wikitext.</t>
        </is>
      </c>
    </row>
    <row r="291" ht="49" customHeight="1">
      <c r="A291" s="15" t="inlineStr">
        <is>
          <t>SOURCE-291</t>
        </is>
      </c>
      <c r="B291" s="5" t="n"/>
      <c r="C291" s="5" t="n"/>
      <c r="D291" s="5" t="inlineStr">
        <is>
          <t>Suraj Sanim — Wikipedia</t>
        </is>
      </c>
      <c r="E291" s="5" t="inlineStr">
        <is>
          <t>Wikipedia</t>
        </is>
      </c>
      <c r="F291" s="5" t="n"/>
      <c r="G291" s="5" t="n"/>
      <c r="H291" s="22" t="inlineStr">
        <is>
          <t>https://en.wikipedia.org/wiki/Suraj_Sanim</t>
        </is>
      </c>
      <c r="I291" s="16" t="n">
        <v>46287</v>
      </c>
      <c r="J291" s="5" t="inlineStr">
        <is>
          <t>Indian screenwriter. Biography, dates, career background, notable works and awards for Suraj Sanim, used for the collaborator entry.</t>
        </is>
      </c>
      <c r="K291" s="5" t="inlineStr">
        <is>
          <t>Encyclopedia article</t>
        </is>
      </c>
      <c r="L291" s="5" t="inlineStr">
        <is>
          <t>C</t>
        </is>
      </c>
      <c r="M291" s="5" t="inlineStr">
        <is>
          <t>Downloaded as raw wikitext.</t>
        </is>
      </c>
    </row>
    <row r="292" ht="49" customHeight="1">
      <c r="A292" s="15" t="inlineStr">
        <is>
          <t>SOURCE-292</t>
        </is>
      </c>
      <c r="B292" s="5" t="n"/>
      <c r="C292" s="5" t="n"/>
      <c r="D292" s="5" t="inlineStr">
        <is>
          <t>Surinder Kapoor — Wikipedia</t>
        </is>
      </c>
      <c r="E292" s="5" t="inlineStr">
        <is>
          <t>Wikipedia</t>
        </is>
      </c>
      <c r="F292" s="5" t="n"/>
      <c r="G292" s="5" t="n"/>
      <c r="H292" s="22" t="inlineStr">
        <is>
          <t>https://en.wikipedia.org/wiki/Surinder_Kapoor</t>
        </is>
      </c>
      <c r="I292" s="16" t="n">
        <v>46287</v>
      </c>
      <c r="J292" s="5" t="inlineStr">
        <is>
          <t>Film producer. Biography, dates, career background, notable works and awards for Surinder Kapoor, used for the collaborator entry.</t>
        </is>
      </c>
      <c r="K292" s="5" t="inlineStr">
        <is>
          <t>Encyclopedia article</t>
        </is>
      </c>
      <c r="L292" s="5" t="inlineStr">
        <is>
          <t>C</t>
        </is>
      </c>
      <c r="M292" s="5" t="inlineStr">
        <is>
          <t>Downloaded as raw wikitext.</t>
        </is>
      </c>
    </row>
    <row r="293" ht="49" customHeight="1">
      <c r="A293" s="15" t="inlineStr">
        <is>
          <t>SOURCE-293</t>
        </is>
      </c>
      <c r="B293" s="5" t="n"/>
      <c r="C293" s="5" t="n"/>
      <c r="D293" s="5" t="inlineStr">
        <is>
          <t>T. Subbarami Reddy — Wikipedia</t>
        </is>
      </c>
      <c r="E293" s="5" t="inlineStr">
        <is>
          <t>Wikipedia</t>
        </is>
      </c>
      <c r="F293" s="5" t="n"/>
      <c r="G293" s="5" t="n"/>
      <c r="H293" s="22" t="inlineStr">
        <is>
          <t>https://en.wikipedia.org/wiki/T._Subbarami_Reddy</t>
        </is>
      </c>
      <c r="I293" s="16" t="n">
        <v>46287</v>
      </c>
      <c r="J293" s="5" t="inlineStr">
        <is>
          <t>Indian politician. Biography, dates, career background, notable works and awards for T. Subbarami Reddy, used for the collaborator entry.</t>
        </is>
      </c>
      <c r="K293" s="5" t="inlineStr">
        <is>
          <t>Encyclopedia article</t>
        </is>
      </c>
      <c r="L293" s="5" t="inlineStr">
        <is>
          <t>C</t>
        </is>
      </c>
      <c r="M293" s="5" t="inlineStr">
        <is>
          <t>Downloaded as raw wikitext.</t>
        </is>
      </c>
    </row>
    <row r="294" ht="64" customHeight="1">
      <c r="A294" s="15" t="inlineStr">
        <is>
          <t>SOURCE-295</t>
        </is>
      </c>
      <c r="B294" s="5" t="n"/>
      <c r="C294" s="5" t="n"/>
      <c r="D294" s="5" t="inlineStr">
        <is>
          <t>Tim Bevan — Wikipedia</t>
        </is>
      </c>
      <c r="E294" s="5" t="inlineStr">
        <is>
          <t>Wikipedia</t>
        </is>
      </c>
      <c r="F294" s="5" t="n"/>
      <c r="G294" s="5" t="n"/>
      <c r="H294" s="22" t="inlineStr">
        <is>
          <t>https://en.wikipedia.org/wiki/Tim_Bevan</t>
        </is>
      </c>
      <c r="I294" s="16" t="n">
        <v>46287</v>
      </c>
      <c r="J294" s="5" t="inlineStr">
        <is>
          <t>New Zealand-British film producer (born 1957). Biography, dates, career background, notable works and awards for Tim Bevan, used for the collaborator entry.</t>
        </is>
      </c>
      <c r="K294" s="5" t="inlineStr">
        <is>
          <t>Encyclopedia article</t>
        </is>
      </c>
      <c r="L294" s="5" t="inlineStr">
        <is>
          <t>C</t>
        </is>
      </c>
      <c r="M294" s="5" t="inlineStr">
        <is>
          <t>Downloaded as raw wikitext.</t>
        </is>
      </c>
    </row>
    <row r="295" ht="64" customHeight="1">
      <c r="A295" s="15" t="inlineStr">
        <is>
          <t>SOURCE-296</t>
        </is>
      </c>
      <c r="B295" s="5" t="n"/>
      <c r="C295" s="5" t="n"/>
      <c r="D295" s="5" t="inlineStr">
        <is>
          <t>Tinnu Anand — Wikipedia</t>
        </is>
      </c>
      <c r="E295" s="5" t="inlineStr">
        <is>
          <t>Wikipedia</t>
        </is>
      </c>
      <c r="F295" s="5" t="n"/>
      <c r="G295" s="5" t="n"/>
      <c r="H295" s="22" t="inlineStr">
        <is>
          <t>https://en.wikipedia.org/wiki/Tinnu_Anand</t>
        </is>
      </c>
      <c r="I295" s="16" t="n">
        <v>46287</v>
      </c>
      <c r="J295" s="5" t="inlineStr">
        <is>
          <t>Indian actor, writer and director (b. 1945). Biography, dates, career background, notable works and awards for Tinnu Anand, used for the collaborator entry.</t>
        </is>
      </c>
      <c r="K295" s="5" t="inlineStr">
        <is>
          <t>Encyclopedia article</t>
        </is>
      </c>
      <c r="L295" s="5" t="inlineStr">
        <is>
          <t>C</t>
        </is>
      </c>
      <c r="M295" s="5" t="inlineStr">
        <is>
          <t>Downloaded as raw wikitext.</t>
        </is>
      </c>
    </row>
    <row r="296" ht="49" customHeight="1">
      <c r="A296" s="15" t="inlineStr">
        <is>
          <t>SOURCE-297</t>
        </is>
      </c>
      <c r="B296" s="5" t="n"/>
      <c r="C296" s="5" t="n"/>
      <c r="D296" s="5" t="inlineStr">
        <is>
          <t>Tony Gerber — Wikipedia</t>
        </is>
      </c>
      <c r="E296" s="5" t="inlineStr">
        <is>
          <t>Wikipedia</t>
        </is>
      </c>
      <c r="F296" s="5" t="n"/>
      <c r="G296" s="5" t="n"/>
      <c r="H296" s="22" t="inlineStr">
        <is>
          <t>https://en.wikipedia.org/wiki/Tony_Gerber</t>
        </is>
      </c>
      <c r="I296" s="16" t="n">
        <v>46287</v>
      </c>
      <c r="J296" s="5" t="inlineStr">
        <is>
          <t>American filmmaker. Biography, dates, career background, notable works and awards for Tony Gerber, used for the collaborator entry.</t>
        </is>
      </c>
      <c r="K296" s="5" t="inlineStr">
        <is>
          <t>Encyclopedia article</t>
        </is>
      </c>
      <c r="L296" s="5" t="inlineStr">
        <is>
          <t>C</t>
        </is>
      </c>
      <c r="M296" s="5" t="inlineStr">
        <is>
          <t>Downloaded as raw wikitext.</t>
        </is>
      </c>
    </row>
    <row r="297" ht="64" customHeight="1">
      <c r="A297" s="15" t="inlineStr">
        <is>
          <t>SOURCE-298</t>
        </is>
      </c>
      <c r="B297" s="5" t="n"/>
      <c r="C297" s="5" t="n"/>
      <c r="D297" s="5" t="inlineStr">
        <is>
          <t>Ali Akbar Khan — Wikipedia</t>
        </is>
      </c>
      <c r="E297" s="5" t="inlineStr">
        <is>
          <t>Wikipedia</t>
        </is>
      </c>
      <c r="F297" s="5" t="n"/>
      <c r="G297" s="5" t="n"/>
      <c r="H297" s="22" t="inlineStr">
        <is>
          <t>https://en.wikipedia.org/wiki/Ali_Akbar_Khan</t>
        </is>
      </c>
      <c r="I297" s="16" t="n">
        <v>46287</v>
      </c>
      <c r="J297" s="5" t="inlineStr">
        <is>
          <t>Hindustani musician (1922–2009). Biography, dates, career background, notable works and awards for Ustad Ali Akbar Khan, used for the collaborator entry.</t>
        </is>
      </c>
      <c r="K297" s="5" t="inlineStr">
        <is>
          <t>Encyclopedia article</t>
        </is>
      </c>
      <c r="L297" s="5" t="inlineStr">
        <is>
          <t>C</t>
        </is>
      </c>
      <c r="M297" s="5" t="inlineStr">
        <is>
          <t>Downloaded as raw wikitext.</t>
        </is>
      </c>
    </row>
    <row r="298" ht="64" customHeight="1">
      <c r="A298" s="15" t="inlineStr">
        <is>
          <t>SOURCE-299</t>
        </is>
      </c>
      <c r="B298" s="5" t="n"/>
      <c r="C298" s="5" t="n"/>
      <c r="D298" s="5" t="inlineStr">
        <is>
          <t>Sultan Khan (musician) — Wikipedia</t>
        </is>
      </c>
      <c r="E298" s="5" t="inlineStr">
        <is>
          <t>Wikipedia</t>
        </is>
      </c>
      <c r="F298" s="5" t="n"/>
      <c r="G298" s="5" t="n"/>
      <c r="H298" s="22" t="inlineStr">
        <is>
          <t>https://en.wikipedia.org/wiki/Sultan_Khan_(musician)</t>
        </is>
      </c>
      <c r="I298" s="16" t="n">
        <v>46287</v>
      </c>
      <c r="J298" s="5" t="inlineStr">
        <is>
          <t>Indian sarangi player and vocalist (1940–2011). Biography, dates, career background, notable works and awards for Ustad Sultan Khan, used for the collaborator entry.</t>
        </is>
      </c>
      <c r="K298" s="5" t="inlineStr">
        <is>
          <t>Encyclopedia article</t>
        </is>
      </c>
      <c r="L298" s="5" t="inlineStr">
        <is>
          <t>C</t>
        </is>
      </c>
      <c r="M298" s="5" t="inlineStr">
        <is>
          <t>Downloaded as raw wikitext.</t>
        </is>
      </c>
    </row>
    <row r="299" ht="64" customHeight="1">
      <c r="A299" s="15" t="inlineStr">
        <is>
          <t>SOURCE-300</t>
        </is>
      </c>
      <c r="B299" s="5" t="n"/>
      <c r="C299" s="5" t="n"/>
      <c r="D299" s="5" t="inlineStr">
        <is>
          <t>Verma Malik — Wikipedia</t>
        </is>
      </c>
      <c r="E299" s="5" t="inlineStr">
        <is>
          <t>Wikipedia</t>
        </is>
      </c>
      <c r="F299" s="5" t="n"/>
      <c r="G299" s="5" t="n"/>
      <c r="H299" s="22" t="inlineStr">
        <is>
          <t>https://en.wikipedia.org/wiki/Verma_Malik</t>
        </is>
      </c>
      <c r="I299" s="16" t="n">
        <v>46287</v>
      </c>
      <c r="J299" s="5" t="inlineStr">
        <is>
          <t>Film songs lyricist from India (1925-2009). Biography, dates, career background, notable works and awards for Verma Malik, used for the collaborator entry.</t>
        </is>
      </c>
      <c r="K299" s="5" t="inlineStr">
        <is>
          <t>Encyclopedia article</t>
        </is>
      </c>
      <c r="L299" s="5" t="inlineStr">
        <is>
          <t>C</t>
        </is>
      </c>
      <c r="M299" s="5" t="inlineStr">
        <is>
          <t>Downloaded as raw wikitext.</t>
        </is>
      </c>
    </row>
    <row r="300" ht="49" customHeight="1">
      <c r="A300" s="15" t="inlineStr">
        <is>
          <t>SOURCE-301</t>
        </is>
      </c>
      <c r="B300" s="5" t="n"/>
      <c r="C300" s="5" t="n"/>
      <c r="D300" s="5" t="inlineStr">
        <is>
          <t>Vijay (director) — Wikipedia</t>
        </is>
      </c>
      <c r="E300" s="5" t="inlineStr">
        <is>
          <t>Wikipedia</t>
        </is>
      </c>
      <c r="F300" s="5" t="n"/>
      <c r="G300" s="5" t="n"/>
      <c r="H300" s="22" t="inlineStr">
        <is>
          <t>https://en.wikipedia.org/wiki/Vijay_(director)</t>
        </is>
      </c>
      <c r="I300" s="16" t="n">
        <v>46287</v>
      </c>
      <c r="J300" s="5" t="inlineStr">
        <is>
          <t>Indian film director (1936–2020). Biography, dates, career background, notable works and awards for Vijay, used for the collaborator entry.</t>
        </is>
      </c>
      <c r="K300" s="5" t="inlineStr">
        <is>
          <t>Encyclopedia article</t>
        </is>
      </c>
      <c r="L300" s="5" t="inlineStr">
        <is>
          <t>C</t>
        </is>
      </c>
      <c r="M300" s="5" t="inlineStr">
        <is>
          <t>Downloaded as raw wikitext.</t>
        </is>
      </c>
    </row>
    <row r="301" ht="64" customHeight="1">
      <c r="A301" s="15" t="inlineStr">
        <is>
          <t>SOURCE-302</t>
        </is>
      </c>
      <c r="B301" s="5" t="n"/>
      <c r="C301" s="5" t="n"/>
      <c r="D301" s="5" t="inlineStr">
        <is>
          <t>Vijay Bhatt — Wikipedia</t>
        </is>
      </c>
      <c r="E301" s="5" t="inlineStr">
        <is>
          <t>Wikipedia</t>
        </is>
      </c>
      <c r="F301" s="5" t="n"/>
      <c r="G301" s="5" t="n"/>
      <c r="H301" s="22" t="inlineStr">
        <is>
          <t>https://en.wikipedia.org/wiki/Vijay_Bhatt</t>
        </is>
      </c>
      <c r="I301" s="16" t="n">
        <v>46287</v>
      </c>
      <c r="J301" s="5" t="inlineStr">
        <is>
          <t>Indian film director (1907–1993). Biography, dates, career background, notable works and awards for Vijay Bhatt, used for the collaborator entry.</t>
        </is>
      </c>
      <c r="K301" s="5" t="inlineStr">
        <is>
          <t>Encyclopedia article</t>
        </is>
      </c>
      <c r="L301" s="5" t="inlineStr">
        <is>
          <t>C</t>
        </is>
      </c>
      <c r="M301" s="5" t="inlineStr">
        <is>
          <t>Downloaded as raw wikitext.</t>
        </is>
      </c>
    </row>
    <row r="302" ht="49" customHeight="1">
      <c r="A302" s="15" t="inlineStr">
        <is>
          <t>SOURCE-303</t>
        </is>
      </c>
      <c r="B302" s="5" t="n"/>
      <c r="C302" s="5" t="n"/>
      <c r="D302" s="5" t="inlineStr">
        <is>
          <t>Vijaya Bhaskar — Wikipedia</t>
        </is>
      </c>
      <c r="E302" s="5" t="inlineStr">
        <is>
          <t>Wikipedia</t>
        </is>
      </c>
      <c r="F302" s="5" t="n"/>
      <c r="G302" s="5" t="n"/>
      <c r="H302" s="22" t="inlineStr">
        <is>
          <t>https://en.wikipedia.org/wiki/Vijaya_Bhaskar</t>
        </is>
      </c>
      <c r="I302" s="16" t="n">
        <v>46287</v>
      </c>
      <c r="J302" s="5" t="inlineStr">
        <is>
          <t>Indian music composer. Biography, dates, career background, notable works and awards for Vijaya Bhaskar, used for the collaborator entry.</t>
        </is>
      </c>
      <c r="K302" s="5" t="inlineStr">
        <is>
          <t>Encyclopedia article</t>
        </is>
      </c>
      <c r="L302" s="5" t="inlineStr">
        <is>
          <t>C</t>
        </is>
      </c>
      <c r="M302" s="5" t="inlineStr">
        <is>
          <t>Downloaded as raw wikitext.</t>
        </is>
      </c>
    </row>
    <row r="303" ht="64" customHeight="1">
      <c r="A303" s="15" t="inlineStr">
        <is>
          <t>SOURCE-304</t>
        </is>
      </c>
      <c r="B303" s="5" t="n"/>
      <c r="C303" s="5" t="n"/>
      <c r="D303" s="5" t="inlineStr">
        <is>
          <t>Willis Hall — Wikipedia</t>
        </is>
      </c>
      <c r="E303" s="5" t="inlineStr">
        <is>
          <t>Wikipedia</t>
        </is>
      </c>
      <c r="F303" s="5" t="n"/>
      <c r="G303" s="5" t="n"/>
      <c r="H303" s="22" t="inlineStr">
        <is>
          <t>https://en.wikipedia.org/wiki/Willis_Hall</t>
        </is>
      </c>
      <c r="I303" s="16" t="n">
        <v>46287</v>
      </c>
      <c r="J303" s="5" t="inlineStr">
        <is>
          <t>English playwright and writer (1929–2005). Biography, dates, career background, notable works and awards for Willis Hall, used for the collaborator entry.</t>
        </is>
      </c>
      <c r="K303" s="5" t="inlineStr">
        <is>
          <t>Encyclopedia article</t>
        </is>
      </c>
      <c r="L303" s="5" t="inlineStr">
        <is>
          <t>C</t>
        </is>
      </c>
      <c r="M303" s="5" t="inlineStr">
        <is>
          <t>Downloaded as raw wikitext.</t>
        </is>
      </c>
    </row>
    <row r="304" ht="64" customHeight="1">
      <c r="A304" s="15" t="inlineStr">
        <is>
          <t>SOURCE-305</t>
        </is>
      </c>
      <c r="B304" s="5" t="n"/>
      <c r="C304" s="5" t="n"/>
      <c r="D304" s="5" t="inlineStr">
        <is>
          <t>Working Title Films — Wikipedia</t>
        </is>
      </c>
      <c r="E304" s="5" t="inlineStr">
        <is>
          <t>Wikipedia</t>
        </is>
      </c>
      <c r="F304" s="5" t="n"/>
      <c r="G304" s="5" t="n"/>
      <c r="H304" s="22" t="inlineStr">
        <is>
          <t>https://en.wikipedia.org/wiki/Working_Title_Films</t>
        </is>
      </c>
      <c r="I304" s="16" t="n">
        <v>46287</v>
      </c>
      <c r="J304" s="5" t="inlineStr">
        <is>
          <t>British film and television production company. Biography, dates, career background, notable works and awards for Working Title Films, used for the collaborator entry.</t>
        </is>
      </c>
      <c r="K304" s="5" t="inlineStr">
        <is>
          <t>Encyclopedia article</t>
        </is>
      </c>
      <c r="L304" s="5" t="inlineStr">
        <is>
          <t>C</t>
        </is>
      </c>
      <c r="M304" s="5" t="inlineStr">
        <is>
          <t>Downloaded as raw wikitext.</t>
        </is>
      </c>
    </row>
    <row r="305" ht="49" customHeight="1">
      <c r="A305" s="15" t="inlineStr">
        <is>
          <t>SOURCE-306</t>
        </is>
      </c>
      <c r="B305" s="5" t="inlineStr">
        <is>
          <t>FILM-007</t>
        </is>
      </c>
      <c r="C305" s="5" t="n"/>
      <c r="D305" s="5" t="inlineStr">
        <is>
          <t>10th Filmfare Awards</t>
        </is>
      </c>
      <c r="E305" s="5" t="inlineStr">
        <is>
          <t>Wikipedia</t>
        </is>
      </c>
      <c r="F305" s="5" t="n"/>
      <c r="G305" s="5" t="n"/>
      <c r="H305" s="22" t="inlineStr">
        <is>
          <t>https://en.wikipedia.org/wiki/10th_Filmfare_Awards</t>
        </is>
      </c>
      <c r="I305" s="16" t="n">
        <v>46299</v>
      </c>
      <c r="J305" s="5" t="inlineStr">
        <is>
          <t>Ceremony date 13 June 1963 and the Best Dialogue win for Dharmputra.</t>
        </is>
      </c>
      <c r="K305" s="5" t="inlineStr">
        <is>
          <t>Reference encyclopedia</t>
        </is>
      </c>
      <c r="L305" s="5" t="inlineStr">
        <is>
          <t>C</t>
        </is>
      </c>
      <c r="M305" s="5" t="inlineStr">
        <is>
          <t>Downloaded as raw wikitext. Winners are bolded in the category lists; nominees are indented beneath them.</t>
        </is>
      </c>
    </row>
    <row r="306" ht="79" customHeight="1">
      <c r="A306" s="15" t="inlineStr">
        <is>
          <t>SOURCE-307</t>
        </is>
      </c>
      <c r="B306" s="5" t="inlineStr">
        <is>
          <t>FILM-017</t>
        </is>
      </c>
      <c r="C306" s="5" t="n"/>
      <c r="D306" s="5" t="inlineStr">
        <is>
          <t>13th Filmfare Awards</t>
        </is>
      </c>
      <c r="E306" s="5" t="inlineStr">
        <is>
          <t>Wikipedia</t>
        </is>
      </c>
      <c r="F306" s="5" t="n"/>
      <c r="G306" s="5" t="n"/>
      <c r="H306" s="22" t="inlineStr">
        <is>
          <t>https://en.wikipedia.org/wiki/13th_Filmfare_Awards</t>
        </is>
      </c>
      <c r="I306" s="16" t="n">
        <v>46299</v>
      </c>
      <c r="J306" s="5" t="inlineStr">
        <is>
          <t>Ceremony date 7 May 1966; Waqt's five wins and two further nominations.</t>
        </is>
      </c>
      <c r="K306" s="5" t="inlineStr">
        <is>
          <t>Reference encyclopedia</t>
        </is>
      </c>
      <c r="L306" s="5" t="inlineStr">
        <is>
          <t>C</t>
        </is>
      </c>
      <c r="M306" s="5" t="inlineStr">
        <is>
          <t>Downloaded as raw wikitext. The page's prose says Raaj Kumar won Best Supporting Actor for Kaajal, but its own winners list bolds him for Waqt and lists Kaajal as the nominee; the winners list is followed here.</t>
        </is>
      </c>
    </row>
    <row r="307" ht="34" customHeight="1">
      <c r="A307" s="15" t="inlineStr">
        <is>
          <t>SOURCE-308</t>
        </is>
      </c>
      <c r="B307" s="5" t="inlineStr">
        <is>
          <t>FILM-019</t>
        </is>
      </c>
      <c r="C307" s="5" t="n"/>
      <c r="D307" s="5" t="inlineStr">
        <is>
          <t>14th Filmfare Awards</t>
        </is>
      </c>
      <c r="E307" s="5" t="inlineStr">
        <is>
          <t>Wikipedia</t>
        </is>
      </c>
      <c r="F307" s="5" t="n"/>
      <c r="G307" s="5" t="n"/>
      <c r="H307" s="22" t="inlineStr">
        <is>
          <t>https://en.wikipedia.org/wiki/14th_Filmfare_Awards</t>
        </is>
      </c>
      <c r="I307" s="16" t="n">
        <v>46299</v>
      </c>
      <c r="J307" s="5" t="inlineStr">
        <is>
          <t>Best Comedian win and nomination for Pyar Kiye Jaa.</t>
        </is>
      </c>
      <c r="K307" s="5" t="inlineStr">
        <is>
          <t>Reference encyclopedia</t>
        </is>
      </c>
      <c r="L307" s="5" t="inlineStr">
        <is>
          <t>C</t>
        </is>
      </c>
      <c r="M307" s="5" t="inlineStr">
        <is>
          <t>Downloaded as raw wikitext.</t>
        </is>
      </c>
    </row>
    <row r="308" ht="34" customHeight="1">
      <c r="A308" s="15" t="inlineStr">
        <is>
          <t>SOURCE-309</t>
        </is>
      </c>
      <c r="B308" s="5" t="inlineStr">
        <is>
          <t>FILM-035</t>
        </is>
      </c>
      <c r="C308" s="5" t="n"/>
      <c r="D308" s="5" t="inlineStr">
        <is>
          <t>18th Filmfare Awards</t>
        </is>
      </c>
      <c r="E308" s="5" t="inlineStr">
        <is>
          <t>Wikipedia</t>
        </is>
      </c>
      <c r="F308" s="5" t="n"/>
      <c r="G308" s="5" t="n"/>
      <c r="H308" s="22" t="inlineStr">
        <is>
          <t>https://en.wikipedia.org/wiki/18th_Filmfare_Awards</t>
        </is>
      </c>
      <c r="I308" s="16" t="n">
        <v>46299</v>
      </c>
      <c r="J308" s="5" t="inlineStr">
        <is>
          <t>Ceremony date 18 April 1971 and Sharda's Best Female Playback Singer win for Jahan Pyar Mile.</t>
        </is>
      </c>
      <c r="K308" s="5" t="inlineStr">
        <is>
          <t>Reference encyclopedia</t>
        </is>
      </c>
      <c r="L308" s="5" t="inlineStr">
        <is>
          <t>C</t>
        </is>
      </c>
      <c r="M308" s="5" t="inlineStr">
        <is>
          <t>Downloaded as raw wikitext.</t>
        </is>
      </c>
    </row>
    <row r="309" ht="94" customHeight="1">
      <c r="A309" s="15" t="inlineStr">
        <is>
          <t>SOURCE-310</t>
        </is>
      </c>
      <c r="B309" s="5" t="inlineStr">
        <is>
          <t>FILM-042; FILM-043</t>
        </is>
      </c>
      <c r="C309" s="5" t="n"/>
      <c r="D309" s="5" t="inlineStr">
        <is>
          <t>21st Filmfare Awards</t>
        </is>
      </c>
      <c r="E309" s="5" t="inlineStr">
        <is>
          <t>Wikipedia</t>
        </is>
      </c>
      <c r="F309" s="5" t="n"/>
      <c r="G309" s="5" t="n"/>
      <c r="H309" s="22" t="inlineStr">
        <is>
          <t>https://en.wikipedia.org/wiki/21st_Filmfare_Awards</t>
        </is>
      </c>
      <c r="I309" s="16" t="n">
        <v>46299</v>
      </c>
      <c r="J309" s="5" t="inlineStr">
        <is>
          <t>Ceremony date 11 April 1974; Asha Bhosle's Best Female Playback Singer win and Mohammed Rafi's male-category nomination for Naina, and the Best Female Playback Singer nomination for Aa Gale Lag Jaa.</t>
        </is>
      </c>
      <c r="K309" s="5" t="inlineStr">
        <is>
          <t>Reference encyclopedia</t>
        </is>
      </c>
      <c r="L309" s="5" t="inlineStr">
        <is>
          <t>C</t>
        </is>
      </c>
      <c r="M309" s="5" t="inlineStr">
        <is>
          <t>Downloaded as raw wikitext. Places Naina's two Filmfare citations at the 21st ceremony, which the film article does not date. The ceremony page credits the Aa Gale Lag Jaa nominee as Sushma Shrestha; the film article uses her later screen name, Poornima.</t>
        </is>
      </c>
    </row>
    <row r="310" ht="49" customHeight="1">
      <c r="A310" s="15" t="inlineStr">
        <is>
          <t>SOURCE-311</t>
        </is>
      </c>
      <c r="B310" s="5" t="inlineStr">
        <is>
          <t>FILM-048; FILM-050</t>
        </is>
      </c>
      <c r="C310" s="5" t="n"/>
      <c r="D310" s="5" t="inlineStr">
        <is>
          <t>22nd Filmfare Awards</t>
        </is>
      </c>
      <c r="E310" s="5" t="inlineStr">
        <is>
          <t>Wikipedia</t>
        </is>
      </c>
      <c r="F310" s="5" t="n"/>
      <c r="G310" s="5" t="n"/>
      <c r="H310" s="22" t="inlineStr">
        <is>
          <t>https://en.wikipedia.org/wiki/22nd_Filmfare_Awards</t>
        </is>
      </c>
      <c r="I310" s="16" t="n">
        <v>46299</v>
      </c>
      <c r="J310" s="5" t="inlineStr">
        <is>
          <t>Roti Kapda Aur Makaan's three wins from eleven nominations and Asrani's Best Comedian nomination for Chor Machaye Shor.</t>
        </is>
      </c>
      <c r="K310" s="5" t="inlineStr">
        <is>
          <t>Reference encyclopedia</t>
        </is>
      </c>
      <c r="L310" s="5" t="inlineStr">
        <is>
          <t>C</t>
        </is>
      </c>
      <c r="M310" s="5" t="inlineStr">
        <is>
          <t>Downloaded as raw wikitext.</t>
        </is>
      </c>
    </row>
    <row r="311" ht="49" customHeight="1">
      <c r="A311" s="15" t="inlineStr">
        <is>
          <t>SOURCE-312</t>
        </is>
      </c>
      <c r="B311" s="5" t="inlineStr">
        <is>
          <t>FILM-052; FILM-054</t>
        </is>
      </c>
      <c r="C311" s="5" t="n"/>
      <c r="D311" s="5" t="inlineStr">
        <is>
          <t>23rd Filmfare Awards</t>
        </is>
      </c>
      <c r="E311" s="5" t="inlineStr">
        <is>
          <t>Wikipedia</t>
        </is>
      </c>
      <c r="F311" s="5" t="n"/>
      <c r="G311" s="5" t="n"/>
      <c r="H311" s="22" t="inlineStr">
        <is>
          <t>https://en.wikipedia.org/wiki/23rd_Filmfare_Awards</t>
        </is>
      </c>
      <c r="I311" s="16" t="n">
        <v>46299</v>
      </c>
      <c r="J311" s="5" t="inlineStr">
        <is>
          <t>Deewaar's seven wins from nine nominations, Kapoor's Best Supporting Actor win, and Deven Verma's Best Comedian win for Chori Mera Kaam.</t>
        </is>
      </c>
      <c r="K311" s="5" t="inlineStr">
        <is>
          <t>Reference encyclopedia</t>
        </is>
      </c>
      <c r="L311" s="5" t="inlineStr">
        <is>
          <t>C</t>
        </is>
      </c>
      <c r="M311" s="5" t="inlineStr">
        <is>
          <t>Downloaded as raw wikitext. The page notes this was Kapoor's sole acting Filmfare award.</t>
        </is>
      </c>
    </row>
    <row r="312" ht="49" customHeight="1">
      <c r="A312" s="15" t="inlineStr">
        <is>
          <t>SOURCE-313</t>
        </is>
      </c>
      <c r="B312" s="5" t="inlineStr">
        <is>
          <t>FILM-060; FILM-062</t>
        </is>
      </c>
      <c r="C312" s="5" t="n"/>
      <c r="D312" s="5" t="inlineStr">
        <is>
          <t>24th Filmfare Awards</t>
        </is>
      </c>
      <c r="E312" s="5" t="inlineStr">
        <is>
          <t>Wikipedia</t>
        </is>
      </c>
      <c r="F312" s="5" t="n"/>
      <c r="G312" s="5" t="n"/>
      <c r="H312" s="22" t="inlineStr">
        <is>
          <t>https://en.wikipedia.org/wiki/24th_Filmfare_Awards</t>
        </is>
      </c>
      <c r="I312" s="16" t="n">
        <v>46299</v>
      </c>
      <c r="J312" s="5" t="inlineStr">
        <is>
          <t>Ceremony date 20 June 1977; Kabhi Kabhie's four wins from a leading thirteen nominations and Fakira's two wins from four.</t>
        </is>
      </c>
      <c r="K312" s="5" t="inlineStr">
        <is>
          <t>Reference encyclopedia</t>
        </is>
      </c>
      <c r="L312" s="5" t="inlineStr">
        <is>
          <t>C</t>
        </is>
      </c>
      <c r="M312" s="5" t="inlineStr">
        <is>
          <t>Downloaded as raw wikitext.</t>
        </is>
      </c>
    </row>
    <row r="313" ht="34" customHeight="1">
      <c r="A313" s="15" t="inlineStr">
        <is>
          <t>SOURCE-314</t>
        </is>
      </c>
      <c r="B313" s="5" t="inlineStr">
        <is>
          <t>FILM-069</t>
        </is>
      </c>
      <c r="C313" s="5" t="n"/>
      <c r="D313" s="5" t="inlineStr">
        <is>
          <t>25th Filmfare Awards</t>
        </is>
      </c>
      <c r="E313" s="5" t="inlineStr">
        <is>
          <t>Wikipedia</t>
        </is>
      </c>
      <c r="F313" s="5" t="n"/>
      <c r="G313" s="5" t="n"/>
      <c r="H313" s="22" t="inlineStr">
        <is>
          <t>https://en.wikipedia.org/wiki/25th_Filmfare_Awards</t>
        </is>
      </c>
      <c r="I313" s="16" t="n">
        <v>46299</v>
      </c>
      <c r="J313" s="5" t="inlineStr">
        <is>
          <t>The four nominations and no wins for Doosra Aadmi.</t>
        </is>
      </c>
      <c r="K313" s="5" t="inlineStr">
        <is>
          <t>Reference encyclopedia</t>
        </is>
      </c>
      <c r="L313" s="5" t="inlineStr">
        <is>
          <t>C</t>
        </is>
      </c>
      <c r="M313" s="5" t="inlineStr">
        <is>
          <t>Downloaded as raw wikitext.</t>
        </is>
      </c>
    </row>
    <row r="314" ht="64" customHeight="1">
      <c r="A314" s="15" t="inlineStr">
        <is>
          <t>SOURCE-315</t>
        </is>
      </c>
      <c r="B314" s="5" t="inlineStr">
        <is>
          <t>FILM-072; FILM-076; FILM-078</t>
        </is>
      </c>
      <c r="C314" s="5" t="n"/>
      <c r="D314" s="5" t="inlineStr">
        <is>
          <t>26th Filmfare Awards</t>
        </is>
      </c>
      <c r="E314" s="5" t="inlineStr">
        <is>
          <t>Wikipedia</t>
        </is>
      </c>
      <c r="F314" s="5" t="n"/>
      <c r="G314" s="5" t="n"/>
      <c r="H314" s="22" t="inlineStr">
        <is>
          <t>https://en.wikipedia.org/wiki/26th_Filmfare_Awards</t>
        </is>
      </c>
      <c r="I314" s="16" t="n">
        <v>46299</v>
      </c>
      <c r="J314" s="5" t="inlineStr">
        <is>
          <t>Ceremony date 6 April 1979; Satyam Shivam Sundaram's two wins from six nominations, Trishul's five nominations without a win, and Raakhee's Best Actress nomination for Trishna.</t>
        </is>
      </c>
      <c r="K314" s="5" t="inlineStr">
        <is>
          <t>Reference encyclopedia</t>
        </is>
      </c>
      <c r="L314" s="5" t="inlineStr">
        <is>
          <t>C</t>
        </is>
      </c>
      <c r="M314" s="5" t="inlineStr">
        <is>
          <t>Downloaded as raw wikitext. Supplies Radhu Karmakar's Best Cinematography win for Satyam Shivam Sundaram, which the film article omits from its own awards list.</t>
        </is>
      </c>
    </row>
    <row r="315" ht="64" customHeight="1">
      <c r="A315" s="15" t="inlineStr">
        <is>
          <t>SOURCE-316</t>
        </is>
      </c>
      <c r="B315" s="5" t="inlineStr">
        <is>
          <t>FILM-084; FILM-085</t>
        </is>
      </c>
      <c r="C315" s="5" t="n"/>
      <c r="D315" s="5" t="inlineStr">
        <is>
          <t>27th Filmfare Awards</t>
        </is>
      </c>
      <c r="E315" s="5" t="inlineStr">
        <is>
          <t>Wikipedia</t>
        </is>
      </c>
      <c r="F315" s="5" t="n"/>
      <c r="G315" s="5" t="n"/>
      <c r="H315" s="22" t="inlineStr">
        <is>
          <t>https://en.wikipedia.org/wiki/27th_Filmfare_Awards</t>
        </is>
      </c>
      <c r="I315" s="16" t="n">
        <v>46299</v>
      </c>
      <c r="J315" s="5" t="inlineStr">
        <is>
          <t>Junoon's six wins from a leading nine nominations, including Best Film to Kapoor as producer, and Kaala Patthar's eight nominations without a win.</t>
        </is>
      </c>
      <c r="K315" s="5" t="inlineStr">
        <is>
          <t>Reference encyclopedia</t>
        </is>
      </c>
      <c r="L315" s="5" t="inlineStr">
        <is>
          <t>C</t>
        </is>
      </c>
      <c r="M315" s="5" t="inlineStr">
        <is>
          <t>Downloaded as raw wikitext.</t>
        </is>
      </c>
    </row>
    <row r="316" ht="34" customHeight="1">
      <c r="A316" s="15" t="inlineStr">
        <is>
          <t>SOURCE-317</t>
        </is>
      </c>
      <c r="B316" s="5" t="inlineStr">
        <is>
          <t>FILM-094</t>
        </is>
      </c>
      <c r="C316" s="5" t="n"/>
      <c r="D316" s="5" t="inlineStr">
        <is>
          <t>28th Filmfare Awards</t>
        </is>
      </c>
      <c r="E316" s="5" t="inlineStr">
        <is>
          <t>Wikipedia</t>
        </is>
      </c>
      <c r="F316" s="5" t="n"/>
      <c r="G316" s="5" t="n"/>
      <c r="H316" s="22" t="inlineStr">
        <is>
          <t>https://en.wikipedia.org/wiki/28th_Filmfare_Awards</t>
        </is>
      </c>
      <c r="I316" s="16" t="n">
        <v>46299</v>
      </c>
      <c r="J316" s="5" t="inlineStr">
        <is>
          <t>Shaan's Best Cinematography win and Best Music Director nomination.</t>
        </is>
      </c>
      <c r="K316" s="5" t="inlineStr">
        <is>
          <t>Reference encyclopedia</t>
        </is>
      </c>
      <c r="L316" s="5" t="inlineStr">
        <is>
          <t>C</t>
        </is>
      </c>
      <c r="M316" s="5" t="inlineStr">
        <is>
          <t>Downloaded as raw wikitext.</t>
        </is>
      </c>
    </row>
    <row r="317" ht="64" customHeight="1">
      <c r="A317" s="15" t="inlineStr">
        <is>
          <t>SOURCE-318</t>
        </is>
      </c>
      <c r="B317" s="5" t="inlineStr">
        <is>
          <t>FILM-095; FILM-100; FILM-101</t>
        </is>
      </c>
      <c r="C317" s="5" t="n"/>
      <c r="D317" s="5" t="inlineStr">
        <is>
          <t>29th Filmfare Awards</t>
        </is>
      </c>
      <c r="E317" s="5" t="inlineStr">
        <is>
          <t>Wikipedia</t>
        </is>
      </c>
      <c r="F317" s="5" t="n"/>
      <c r="G317" s="5" t="n"/>
      <c r="H317" s="22" t="inlineStr">
        <is>
          <t>https://en.wikipedia.org/wiki/29th_Filmfare_Awards</t>
        </is>
      </c>
      <c r="I317" s="16" t="n">
        <v>46299</v>
      </c>
      <c r="J317" s="5" t="inlineStr">
        <is>
          <t>Kalyug's three wins from five nominations, including Best Film to Kapoor as producer; Baseraa's five nominations without a win; Silsila's three nominations.</t>
        </is>
      </c>
      <c r="K317" s="5" t="inlineStr">
        <is>
          <t>Reference encyclopedia</t>
        </is>
      </c>
      <c r="L317" s="5" t="inlineStr">
        <is>
          <t>C</t>
        </is>
      </c>
      <c r="M317" s="5" t="inlineStr">
        <is>
          <t>Downloaded as raw wikitext.</t>
        </is>
      </c>
    </row>
    <row r="318" ht="49" customHeight="1">
      <c r="A318" s="15" t="inlineStr">
        <is>
          <t>SOURCE-319</t>
        </is>
      </c>
      <c r="B318" s="5" t="inlineStr">
        <is>
          <t>FILM-105</t>
        </is>
      </c>
      <c r="C318" s="5" t="n"/>
      <c r="D318" s="5" t="inlineStr">
        <is>
          <t>30th Filmfare Awards</t>
        </is>
      </c>
      <c r="E318" s="5" t="inlineStr">
        <is>
          <t>Wikipedia</t>
        </is>
      </c>
      <c r="F318" s="5" t="n"/>
      <c r="G318" s="5" t="n"/>
      <c r="H318" s="22" t="inlineStr">
        <is>
          <t>https://en.wikipedia.org/wiki/30th_Filmfare_Awards</t>
        </is>
      </c>
      <c r="I318" s="16" t="n">
        <v>46299</v>
      </c>
      <c r="J318" s="5" t="inlineStr">
        <is>
          <t>Ceremony date 25 September 1983 and Namak Halaal's one win from five nominations, including Kapoor's Best Supporting Actor nomination.</t>
        </is>
      </c>
      <c r="K318" s="5" t="inlineStr">
        <is>
          <t>Reference encyclopedia</t>
        </is>
      </c>
      <c r="L318" s="5" t="inlineStr">
        <is>
          <t>C</t>
        </is>
      </c>
      <c r="M318" s="5" t="inlineStr">
        <is>
          <t>Downloaded as raw wikitext.</t>
        </is>
      </c>
    </row>
    <row r="319" ht="34" customHeight="1">
      <c r="A319" s="15" t="inlineStr">
        <is>
          <t>SOURCE-320</t>
        </is>
      </c>
      <c r="B319" s="5" t="inlineStr">
        <is>
          <t>FILM-103</t>
        </is>
      </c>
      <c r="C319" s="5" t="n"/>
      <c r="D319" s="5" t="inlineStr">
        <is>
          <t>31st Filmfare Awards</t>
        </is>
      </c>
      <c r="E319" s="5" t="inlineStr">
        <is>
          <t>Wikipedia</t>
        </is>
      </c>
      <c r="F319" s="5" t="n"/>
      <c r="G319" s="5" t="n"/>
      <c r="H319" s="22" t="inlineStr">
        <is>
          <t>https://en.wikipedia.org/wiki/31st_Filmfare_Awards</t>
        </is>
      </c>
      <c r="I319" s="16" t="n">
        <v>46299</v>
      </c>
      <c r="J319" s="5" t="inlineStr">
        <is>
          <t>Vijeta's three wins from three nominations.</t>
        </is>
      </c>
      <c r="K319" s="5" t="inlineStr">
        <is>
          <t>Reference encyclopedia</t>
        </is>
      </c>
      <c r="L319" s="5" t="inlineStr">
        <is>
          <t>C</t>
        </is>
      </c>
      <c r="M319" s="5" t="inlineStr">
        <is>
          <t>Downloaded as raw wikitext.</t>
        </is>
      </c>
    </row>
    <row r="320" ht="34" customHeight="1">
      <c r="A320" s="15" t="inlineStr">
        <is>
          <t>SOURCE-321</t>
        </is>
      </c>
      <c r="B320" s="5" t="inlineStr">
        <is>
          <t>FILM-114</t>
        </is>
      </c>
      <c r="C320" s="5" t="n"/>
      <c r="D320" s="5" t="inlineStr">
        <is>
          <t>33rd Filmfare Awards</t>
        </is>
      </c>
      <c r="E320" s="5" t="inlineStr">
        <is>
          <t>Wikipedia</t>
        </is>
      </c>
      <c r="F320" s="5" t="n"/>
      <c r="G320" s="5" t="n"/>
      <c r="H320" s="22" t="inlineStr">
        <is>
          <t>https://en.wikipedia.org/wiki/33rd_Filmfare_Awards</t>
        </is>
      </c>
      <c r="I320" s="16" t="n">
        <v>46299</v>
      </c>
      <c r="J320" s="5" t="inlineStr">
        <is>
          <t>Ceremony date 28 January 1987 and Utsav's two wins from four nominations.</t>
        </is>
      </c>
      <c r="K320" s="5" t="inlineStr">
        <is>
          <t>Reference encyclopedia</t>
        </is>
      </c>
      <c r="L320" s="5" t="inlineStr">
        <is>
          <t>C</t>
        </is>
      </c>
      <c r="M320" s="5" t="inlineStr">
        <is>
          <t>Downloaded as raw wikitext.</t>
        </is>
      </c>
    </row>
    <row r="321" ht="49" customHeight="1">
      <c r="A321" s="15" t="inlineStr">
        <is>
          <t>SOURCE-322</t>
        </is>
      </c>
      <c r="B321" s="5" t="inlineStr">
        <is>
          <t>FILM-131</t>
        </is>
      </c>
      <c r="C321" s="5" t="n"/>
      <c r="D321" s="5" t="inlineStr">
        <is>
          <t>34th Filmfare Awards</t>
        </is>
      </c>
      <c r="E321" s="5" t="inlineStr">
        <is>
          <t>Wikipedia</t>
        </is>
      </c>
      <c r="F321" s="5" t="n"/>
      <c r="G321" s="5" t="n"/>
      <c r="H321" s="22" t="inlineStr">
        <is>
          <t>https://en.wikipedia.org/wiki/34th_Filmfare_Awards</t>
        </is>
      </c>
      <c r="I321" s="16" t="n">
        <v>46299</v>
      </c>
      <c r="J321" s="5" t="inlineStr">
        <is>
          <t>Ijaazat's Best Story and Best Lyricist wins and Anuradha Patel's Best Supporting Actress nomination.</t>
        </is>
      </c>
      <c r="K321" s="5" t="inlineStr">
        <is>
          <t>Reference encyclopedia</t>
        </is>
      </c>
      <c r="L321" s="5" t="inlineStr">
        <is>
          <t>C</t>
        </is>
      </c>
      <c r="M321" s="5" t="inlineStr">
        <is>
          <t>Downloaded as raw wikitext. Supplies the Best Story win for Subodh Ghosh, which the film article's own accolades table omits.</t>
        </is>
      </c>
    </row>
    <row r="322" ht="49" customHeight="1">
      <c r="A322" s="15" t="inlineStr">
        <is>
          <t>SOURCE-323</t>
        </is>
      </c>
      <c r="B322" s="5" t="n"/>
      <c r="C322" s="5" t="n"/>
      <c r="D322" s="5" t="inlineStr">
        <is>
          <t>55th Filmfare Awards</t>
        </is>
      </c>
      <c r="E322" s="5" t="inlineStr">
        <is>
          <t>Wikipedia</t>
        </is>
      </c>
      <c r="F322" s="5" t="n"/>
      <c r="G322" s="5" t="n"/>
      <c r="H322" s="22" t="inlineStr">
        <is>
          <t>https://en.wikipedia.org/wiki/55th_Filmfare_Awards</t>
        </is>
      </c>
      <c r="I322" s="16" t="n">
        <v>46299</v>
      </c>
      <c r="J322" s="5" t="inlineStr">
        <is>
          <t>Ceremony date 27 February 2010 and Shashi Kapoor as the Lifetime Achievement awardee.</t>
        </is>
      </c>
      <c r="K322" s="5" t="inlineStr">
        <is>
          <t>Reference encyclopedia</t>
        </is>
      </c>
      <c r="L322" s="5" t="inlineStr">
        <is>
          <t>C</t>
        </is>
      </c>
      <c r="M322" s="5" t="inlineStr">
        <is>
          <t>Downloaded as raw wikitext. Honorary award for a career rather than for a film, so the row carries no Film ID.</t>
        </is>
      </c>
    </row>
    <row r="323" ht="49" customHeight="1">
      <c r="A323" s="15" t="inlineStr">
        <is>
          <t>SOURCE-324</t>
        </is>
      </c>
      <c r="B323" s="5" t="inlineStr">
        <is>
          <t>FILM-007</t>
        </is>
      </c>
      <c r="C323" s="5" t="n"/>
      <c r="D323" s="5" t="inlineStr">
        <is>
          <t>9th National Film Awards</t>
        </is>
      </c>
      <c r="E323" s="5" t="inlineStr">
        <is>
          <t>Wikipedia</t>
        </is>
      </c>
      <c r="F323" s="5" t="n"/>
      <c r="G323" s="5" t="n"/>
      <c r="H323" s="22" t="inlineStr">
        <is>
          <t>https://en.wikipedia.org/wiki/9th_National_Film_Awards</t>
        </is>
      </c>
      <c r="I323" s="16" t="n">
        <v>46299</v>
      </c>
      <c r="J323" s="5" t="inlineStr">
        <is>
          <t>Presented 21 April 1962; the President's Silver Medal for Best Feature Film in Hindi to Dharmputra.</t>
        </is>
      </c>
      <c r="K323" s="5" t="inlineStr">
        <is>
          <t>Reference encyclopedia</t>
        </is>
      </c>
      <c r="L323" s="5" t="inlineStr">
        <is>
          <t>C</t>
        </is>
      </c>
      <c r="M323" s="5" t="inlineStr">
        <is>
          <t>Downloaded as raw wikitext.</t>
        </is>
      </c>
    </row>
    <row r="324" ht="49" customHeight="1">
      <c r="A324" s="15" t="inlineStr">
        <is>
          <t>SOURCE-325</t>
        </is>
      </c>
      <c r="B324" s="5" t="inlineStr">
        <is>
          <t>FILM-084</t>
        </is>
      </c>
      <c r="C324" s="5" t="n"/>
      <c r="D324" s="5" t="inlineStr">
        <is>
          <t>26th National Film Awards</t>
        </is>
      </c>
      <c r="E324" s="5" t="inlineStr">
        <is>
          <t>Wikipedia</t>
        </is>
      </c>
      <c r="F324" s="5" t="n"/>
      <c r="G324" s="5" t="n"/>
      <c r="H324" s="22" t="inlineStr">
        <is>
          <t>https://en.wikipedia.org/wiki/26th_National_Film_Awards</t>
        </is>
      </c>
      <c r="I324" s="16" t="n">
        <v>46299</v>
      </c>
      <c r="J324" s="5" t="inlineStr">
        <is>
          <t>Presented April 1979; Junoon's Best Feature Film in Hindi to Kapoor as producer, Best Cinematography and Best Sound Recording.</t>
        </is>
      </c>
      <c r="K324" s="5" t="inlineStr">
        <is>
          <t>Reference encyclopedia</t>
        </is>
      </c>
      <c r="L324" s="5" t="inlineStr">
        <is>
          <t>C</t>
        </is>
      </c>
      <c r="M324" s="5" t="inlineStr">
        <is>
          <t>Downloaded as raw wikitext. The ceremony names the third award Best Sound Recording; the film article calls it Best Audiography.</t>
        </is>
      </c>
    </row>
    <row r="325" ht="34" customHeight="1">
      <c r="A325" s="15" t="inlineStr">
        <is>
          <t>SOURCE-326</t>
        </is>
      </c>
      <c r="B325" s="5" t="inlineStr">
        <is>
          <t>FILM-114</t>
        </is>
      </c>
      <c r="C325" s="5" t="n"/>
      <c r="D325" s="5" t="inlineStr">
        <is>
          <t>32nd National Film Awards</t>
        </is>
      </c>
      <c r="E325" s="5" t="inlineStr">
        <is>
          <t>Wikipedia</t>
        </is>
      </c>
      <c r="F325" s="5" t="n"/>
      <c r="G325" s="5" t="n"/>
      <c r="H325" s="22" t="inlineStr">
        <is>
          <t>https://en.wikipedia.org/wiki/32nd_National_Film_Awards</t>
        </is>
      </c>
      <c r="I325" s="16" t="n">
        <v>46299</v>
      </c>
      <c r="J325" s="5" t="inlineStr">
        <is>
          <t>Presented June 1985; Utsav's Best Art Direction win.</t>
        </is>
      </c>
      <c r="K325" s="5" t="inlineStr">
        <is>
          <t>Reference encyclopedia</t>
        </is>
      </c>
      <c r="L325" s="5" t="inlineStr">
        <is>
          <t>C</t>
        </is>
      </c>
      <c r="M325" s="5" t="inlineStr">
        <is>
          <t>Downloaded as raw wikitext.</t>
        </is>
      </c>
    </row>
    <row r="326" ht="64" customHeight="1">
      <c r="A326" s="15" t="inlineStr">
        <is>
          <t>SOURCE-327</t>
        </is>
      </c>
      <c r="B326" s="5" t="inlineStr">
        <is>
          <t>FILM-120</t>
        </is>
      </c>
      <c r="C326" s="5" t="n"/>
      <c r="D326" s="5" t="inlineStr">
        <is>
          <t>33rd National Film Awards</t>
        </is>
      </c>
      <c r="E326" s="5" t="inlineStr">
        <is>
          <t>Wikipedia</t>
        </is>
      </c>
      <c r="F326" s="5" t="n"/>
      <c r="G326" s="5" t="n"/>
      <c r="H326" s="22" t="inlineStr">
        <is>
          <t>https://en.wikipedia.org/wiki/33rd_National_Film_Awards</t>
        </is>
      </c>
      <c r="I326" s="16" t="n">
        <v>46299</v>
      </c>
      <c r="J326" s="5" t="inlineStr">
        <is>
          <t>Presented June 1986; New Delhi Times as a most-awarded film with Best Actor for Shashi Kapoor, Best Cinematography for Subrata Mitra and the debut-director award for Ramesh Sharma.</t>
        </is>
      </c>
      <c r="K326" s="5" t="inlineStr">
        <is>
          <t>Reference encyclopedia</t>
        </is>
      </c>
      <c r="L326" s="5" t="inlineStr">
        <is>
          <t>C</t>
        </is>
      </c>
      <c r="M326" s="5" t="inlineStr">
        <is>
          <t>Downloaded as raw wikitext. Confirms these awards belong to the 33rd ceremony, for films of 1985, and not to the 34th, which does not mention the film at all.</t>
        </is>
      </c>
    </row>
    <row r="327" ht="49" customHeight="1">
      <c r="A327" s="15" t="inlineStr">
        <is>
          <t>SOURCE-328</t>
        </is>
      </c>
      <c r="B327" s="5" t="inlineStr">
        <is>
          <t>FILM-131</t>
        </is>
      </c>
      <c r="C327" s="5" t="n"/>
      <c r="D327" s="5" t="inlineStr">
        <is>
          <t>35th National Film Awards</t>
        </is>
      </c>
      <c r="E327" s="5" t="inlineStr">
        <is>
          <t>Wikipedia</t>
        </is>
      </c>
      <c r="F327" s="5" t="n"/>
      <c r="G327" s="5" t="n"/>
      <c r="H327" s="22" t="inlineStr">
        <is>
          <t>https://en.wikipedia.org/wiki/35th_National_Film_Awards</t>
        </is>
      </c>
      <c r="I327" s="16" t="n">
        <v>46299</v>
      </c>
      <c r="J327" s="5" t="inlineStr">
        <is>
          <t>Presented April 1988; Ijaazat's Best Lyrics and Best Female Playback Singer wins for 'Mera Kuchh Saamaan'.</t>
        </is>
      </c>
      <c r="K327" s="5" t="inlineStr">
        <is>
          <t>Reference encyclopedia</t>
        </is>
      </c>
      <c r="L327" s="5" t="inlineStr">
        <is>
          <t>C</t>
        </is>
      </c>
      <c r="M327" s="5" t="inlineStr">
        <is>
          <t>Downloaded as raw wikitext.</t>
        </is>
      </c>
    </row>
    <row r="328" ht="79" customHeight="1">
      <c r="A328" s="15" t="inlineStr">
        <is>
          <t>SOURCE-329</t>
        </is>
      </c>
      <c r="B328" s="5" t="inlineStr">
        <is>
          <t>FILM-148</t>
        </is>
      </c>
      <c r="C328" s="5" t="n"/>
      <c r="D328" s="5" t="inlineStr">
        <is>
          <t>41st National Film Awards</t>
        </is>
      </c>
      <c r="E328" s="5" t="inlineStr">
        <is>
          <t>Wikipedia</t>
        </is>
      </c>
      <c r="F328" s="5" t="n"/>
      <c r="G328" s="5" t="n"/>
      <c r="H328" s="22" t="inlineStr">
        <is>
          <t>https://en.wikipedia.org/wiki/41st_National_Film_Awards</t>
        </is>
      </c>
      <c r="I328" s="16" t="n">
        <v>46299</v>
      </c>
      <c r="J328" s="5" t="inlineStr">
        <is>
          <t>Announced 21 April 1994 and presented 30 September 1994; the Special Jury Award to Shashi Kapoor for In Custody, which the ceremony lists under its Urdu title Muhafiz as one of the two most-awarded films with four wins.</t>
        </is>
      </c>
      <c r="K328" s="5" t="inlineStr">
        <is>
          <t>Reference encyclopedia</t>
        </is>
      </c>
      <c r="L328" s="5" t="inlineStr">
        <is>
          <t>C</t>
        </is>
      </c>
      <c r="M328" s="5" t="inlineStr">
        <is>
          <t>Downloaded as raw wikitext. The film is indexed as Muhafiz throughout this ceremony page.</t>
        </is>
      </c>
    </row>
    <row r="329" ht="79" customHeight="1">
      <c r="A329" s="15" t="inlineStr">
        <is>
          <t>SOURCE-330</t>
        </is>
      </c>
      <c r="B329" s="5" t="inlineStr">
        <is>
          <t>FILM-152</t>
        </is>
      </c>
      <c r="C329" s="5" t="n"/>
      <c r="D329" s="5" t="inlineStr">
        <is>
          <t>43rd National Film Awards</t>
        </is>
      </c>
      <c r="E329" s="5" t="inlineStr">
        <is>
          <t>Wikipedia</t>
        </is>
      </c>
      <c r="F329" s="5" t="n"/>
      <c r="G329" s="5" t="n"/>
      <c r="H329" s="22" t="inlineStr">
        <is>
          <t>https://en.wikipedia.org/wiki/43rd_National_Film_Awards</t>
        </is>
      </c>
      <c r="I329" s="16" t="n">
        <v>46299</v>
      </c>
      <c r="J329" s="5" t="inlineStr">
        <is>
          <t>Presented 6 August 1996; Mithun Chakraborty's Best Supporting Actor win for Swami Vivekananda (Part I).</t>
        </is>
      </c>
      <c r="K329" s="5" t="inlineStr">
        <is>
          <t>Reference encyclopedia</t>
        </is>
      </c>
      <c r="L329" s="5" t="inlineStr">
        <is>
          <t>C</t>
        </is>
      </c>
      <c r="M329" s="5" t="inlineStr">
        <is>
          <t>Downloaded as raw wikitext. Locates the award at the 43rd ceremony, for films of 1995, consistent with the film article's note that it was considered for the 1995 awards despite its delayed 1998 release.</t>
        </is>
      </c>
    </row>
    <row r="330" ht="49" customHeight="1">
      <c r="A330" s="15" t="inlineStr">
        <is>
          <t>SOURCE-331</t>
        </is>
      </c>
      <c r="B330" s="5" t="n"/>
      <c r="C330" s="5" t="n"/>
      <c r="D330" s="5" t="inlineStr">
        <is>
          <t>62nd National Film Awards</t>
        </is>
      </c>
      <c r="E330" s="5" t="inlineStr">
        <is>
          <t>Wikipedia</t>
        </is>
      </c>
      <c r="F330" s="5" t="n"/>
      <c r="G330" s="5" t="n"/>
      <c r="H330" s="22" t="inlineStr">
        <is>
          <t>https://en.wikipedia.org/wiki/62nd_National_Film_Awards</t>
        </is>
      </c>
      <c r="I330" s="16" t="n">
        <v>46299</v>
      </c>
      <c r="J330" s="5" t="inlineStr">
        <is>
          <t>Dadasaheb Phalke Award to Shashi Kapoor for the year 2014, announced 23–24 March 2015 and presented 3 May 2015.</t>
        </is>
      </c>
      <c r="K330" s="5" t="inlineStr">
        <is>
          <t>Reference encyclopedia</t>
        </is>
      </c>
      <c r="L330" s="5" t="inlineStr">
        <is>
          <t>C</t>
        </is>
      </c>
      <c r="M330" s="5" t="inlineStr">
        <is>
          <t>Downloaded as raw wikitext. Honorary career award, so the row carries no Film ID.</t>
        </is>
      </c>
    </row>
    <row r="331" ht="49" customHeight="1">
      <c r="A331" s="15" t="inlineStr">
        <is>
          <t>SOURCE-332</t>
        </is>
      </c>
      <c r="B331" s="5" t="inlineStr">
        <is>
          <t>FILM-109</t>
        </is>
      </c>
      <c r="C331" s="5" t="n"/>
      <c r="D331" s="5" t="inlineStr">
        <is>
          <t>37th British Academy Film Awards</t>
        </is>
      </c>
      <c r="E331" s="5" t="inlineStr">
        <is>
          <t>Wikipedia</t>
        </is>
      </c>
      <c r="F331" s="5" t="n"/>
      <c r="G331" s="5" t="n"/>
      <c r="H331" s="22" t="inlineStr">
        <is>
          <t>https://en.wikipedia.org/wiki/37th_British_Academy_Film_Awards</t>
        </is>
      </c>
      <c r="I331" s="16" t="n">
        <v>46299</v>
      </c>
      <c r="J331" s="5" t="inlineStr">
        <is>
          <t>Ceremony date 25 March 1984 and Heat and Dust's eight nominations with the Best Adapted Screenplay win.</t>
        </is>
      </c>
      <c r="K331" s="5" t="inlineStr">
        <is>
          <t>Reference encyclopedia</t>
        </is>
      </c>
      <c r="L331" s="5" t="inlineStr">
        <is>
          <t>C</t>
        </is>
      </c>
      <c r="M331" s="5" t="inlineStr">
        <is>
          <t>Downloaded as raw wikitext.</t>
        </is>
      </c>
    </row>
    <row r="332" ht="49" customHeight="1">
      <c r="A332" s="15" t="inlineStr">
        <is>
          <t>SOURCE-333</t>
        </is>
      </c>
      <c r="B332" s="5" t="inlineStr">
        <is>
          <t>FILM-004</t>
        </is>
      </c>
      <c r="C332" s="5" t="n"/>
      <c r="D332" s="5" t="inlineStr">
        <is>
          <t>1953 Cannes Film Festival</t>
        </is>
      </c>
      <c r="E332" s="5" t="inlineStr">
        <is>
          <t>Wikipedia</t>
        </is>
      </c>
      <c r="F332" s="5" t="n"/>
      <c r="G332" s="5" t="n"/>
      <c r="H332" s="22" t="inlineStr">
        <is>
          <t>https://en.wikipedia.org/wiki/1953_Cannes_Film_Festival</t>
        </is>
      </c>
      <c r="I332" s="16" t="n">
        <v>46299</v>
      </c>
      <c r="J332" s="5" t="inlineStr">
        <is>
          <t>Awaara's selection in the main competition for the Grand Prize of the Festival, which went to The Wages of Fear.</t>
        </is>
      </c>
      <c r="K332" s="5" t="inlineStr">
        <is>
          <t>Reference encyclopedia</t>
        </is>
      </c>
      <c r="L332" s="5" t="inlineStr">
        <is>
          <t>C</t>
        </is>
      </c>
      <c r="M332" s="5" t="inlineStr">
        <is>
          <t>Downloaded as raw wikitext. Competing in the main competition is recorded as a nomination; the film won nothing.</t>
        </is>
      </c>
    </row>
    <row r="333" ht="49" customHeight="1">
      <c r="A333" s="15" t="inlineStr">
        <is>
          <t>SOURCE-334</t>
        </is>
      </c>
      <c r="B333" s="5" t="inlineStr">
        <is>
          <t>FILM-015</t>
        </is>
      </c>
      <c r="C333" s="5" t="n"/>
      <c r="D333" s="5" t="inlineStr">
        <is>
          <t>15th Berlin International Film Festival</t>
        </is>
      </c>
      <c r="E333" s="5" t="inlineStr">
        <is>
          <t>Wikipedia</t>
        </is>
      </c>
      <c r="F333" s="5" t="n"/>
      <c r="G333" s="5" t="n"/>
      <c r="H333" s="22" t="inlineStr">
        <is>
          <t>https://en.wikipedia.org/wiki/15th_Berlin_International_Film_Festival</t>
        </is>
      </c>
      <c r="I333" s="16" t="n">
        <v>46299</v>
      </c>
      <c r="J333" s="5" t="inlineStr">
        <is>
          <t>Madhur Jaffrey's Silver Bear for Best Actress for Shakespeare Wallah and the film's main-competition selection.</t>
        </is>
      </c>
      <c r="K333" s="5" t="inlineStr">
        <is>
          <t>Reference encyclopedia</t>
        </is>
      </c>
      <c r="L333" s="5" t="inlineStr">
        <is>
          <t>C</t>
        </is>
      </c>
      <c r="M333" s="5" t="inlineStr">
        <is>
          <t>Downloaded as raw wikitext. Confirms the 15th festival, held 25 June – 6 July 1965; the film article gives the same number.</t>
        </is>
      </c>
    </row>
    <row r="334" ht="49" customHeight="1">
      <c r="A334" s="15" t="inlineStr">
        <is>
          <t>SOURCE-335</t>
        </is>
      </c>
      <c r="B334" s="5" t="n"/>
      <c r="C334" s="5" t="n"/>
      <c r="D334" s="5" t="inlineStr">
        <is>
          <t>List of Padma Bhushan award recipients (2010–2019)</t>
        </is>
      </c>
      <c r="E334" s="5" t="inlineStr">
        <is>
          <t>Wikipedia</t>
        </is>
      </c>
      <c r="F334" s="5" t="n"/>
      <c r="G334" s="5" t="n"/>
      <c r="H334" s="22" t="inlineStr">
        <is>
          <t>https://en.wikipedia.org/wiki/List_of_Padma_Bhushan_award_recipients_(2010%E2%80%932019)</t>
        </is>
      </c>
      <c r="I334" s="16" t="n">
        <v>46299</v>
      </c>
      <c r="J334" s="5" t="inlineStr">
        <is>
          <t>Shashi Kapoor's 2011 Padma Bhushan in the Arts category, from Maharashtra.</t>
        </is>
      </c>
      <c r="K334" s="5" t="inlineStr">
        <is>
          <t>Reference encyclopedia</t>
        </is>
      </c>
      <c r="L334" s="5" t="inlineStr">
        <is>
          <t>C</t>
        </is>
      </c>
      <c r="M334" s="5" t="inlineStr">
        <is>
          <t>Downloaded as raw wikitext. The general Padma Bhushan article does not itemise recipients, so the decade list is used instead.</t>
        </is>
      </c>
    </row>
    <row r="335" ht="49" customHeight="1">
      <c r="A335" s="15" t="inlineStr">
        <is>
          <t>SOURCE-336</t>
        </is>
      </c>
      <c r="B335" s="5" t="n"/>
      <c r="C335" s="5" t="n"/>
      <c r="D335" s="5" t="inlineStr">
        <is>
          <t>Dadasaheb Phalke Award</t>
        </is>
      </c>
      <c r="E335" s="5" t="inlineStr">
        <is>
          <t>Wikipedia</t>
        </is>
      </c>
      <c r="F335" s="5" t="n"/>
      <c r="G335" s="5" t="n"/>
      <c r="H335" s="22" t="inlineStr">
        <is>
          <t>https://en.wikipedia.org/wiki/Dadasaheb_Phalke_Award</t>
        </is>
      </c>
      <c r="I335" s="16" t="n">
        <v>46299</v>
      </c>
      <c r="J335" s="5" t="inlineStr">
        <is>
          <t>Shashi Kapoor as the award's recipient for 2014, and that Prithviraj, Raj and Shashi Kapoor are the only father and sons to have received it.</t>
        </is>
      </c>
      <c r="K335" s="5" t="inlineStr">
        <is>
          <t>Reference encyclopedia</t>
        </is>
      </c>
      <c r="L335" s="5" t="inlineStr">
        <is>
          <t>C</t>
        </is>
      </c>
      <c r="M335" s="5" t="inlineStr">
        <is>
          <t>Downloaded as raw wikitext. Lists the award by its year of award, 2014, rather than by the 2015 presentation.</t>
        </is>
      </c>
    </row>
    <row r="336" ht="34" customHeight="1">
      <c r="A336" s="15" t="inlineStr">
        <is>
          <t>SOURCE-337</t>
        </is>
      </c>
      <c r="B336" s="5" t="n"/>
      <c r="C336" s="5" t="n"/>
      <c r="D336" s="5" t="inlineStr">
        <is>
          <t>Filmfare Lifetime Achievement Award</t>
        </is>
      </c>
      <c r="E336" s="5" t="inlineStr">
        <is>
          <t>Wikipedia</t>
        </is>
      </c>
      <c r="F336" s="5" t="n"/>
      <c r="G336" s="5" t="n"/>
      <c r="H336" s="22" t="inlineStr">
        <is>
          <t>https://en.wikipedia.org/wiki/Filmfare_Lifetime_Achievement_Award</t>
        </is>
      </c>
      <c r="I336" s="16" t="n">
        <v>46299</v>
      </c>
      <c r="J336" s="5" t="inlineStr">
        <is>
          <t>Shashi Kapoor among the recipients of the Filmfare Lifetime Achievement Award.</t>
        </is>
      </c>
      <c r="K336" s="5" t="inlineStr">
        <is>
          <t>Reference encyclopedia</t>
        </is>
      </c>
      <c r="L336" s="5" t="inlineStr">
        <is>
          <t>C</t>
        </is>
      </c>
      <c r="M336" s="5" t="inlineStr">
        <is>
          <t>Downloaded as raw wikitext. Corroborates the 55th Filmfare Awards page.</t>
        </is>
      </c>
    </row>
    <row r="337" ht="79" customHeight="1">
      <c r="A337" s="15" t="inlineStr">
        <is>
          <t>SOURCE-338</t>
        </is>
      </c>
      <c r="B337" s="5" t="inlineStr">
        <is>
          <t>FILM-017; FILM-018</t>
        </is>
      </c>
      <c r="C337" s="5" t="n"/>
      <c r="D337" s="5" t="inlineStr">
        <is>
          <t>Box Office India: Box Office 1965 (archived)</t>
        </is>
      </c>
      <c r="E337" s="5" t="inlineStr">
        <is>
          <t>Box Office India</t>
        </is>
      </c>
      <c r="F337" s="5" t="n"/>
      <c r="G337" s="5" t="n"/>
      <c r="H337" s="22" t="inlineStr">
        <is>
          <t>https://web.archive.org/web/20100601/http://boxofficeindia.com/showProd.php?itemCat=171&amp;catName=MTk2NQ==</t>
        </is>
      </c>
      <c r="I337" s="16" t="n">
        <v>46300</v>
      </c>
      <c r="J337" s="5" t="inlineStr">
        <is>
          <t>Annual box-office rank, India gross, nett gross and trade verdict for 1965 Hindi releases (top-20 table).</t>
        </is>
      </c>
      <c r="K337" s="5" t="inlineStr">
        <is>
          <t>Trade box-office archive</t>
        </is>
      </c>
      <c r="L337" s="5" t="inlineStr">
        <is>
          <t>B</t>
        </is>
      </c>
      <c r="M337" s="5" t="inlineStr">
        <is>
          <t>Archived copy of the Box Office India annual table; the live site no longer serves pre-1989 years. Figures are nominal rupees; nett and gross are reported separately. Resolves to the capture nearest 1 June 2010.</t>
        </is>
      </c>
    </row>
    <row r="338" ht="79" customHeight="1">
      <c r="A338" s="15" t="inlineStr">
        <is>
          <t>SOURCE-339</t>
        </is>
      </c>
      <c r="B338" s="5" t="inlineStr">
        <is>
          <t>FILM-020</t>
        </is>
      </c>
      <c r="C338" s="5" t="n"/>
      <c r="D338" s="5" t="inlineStr">
        <is>
          <t>Box Office India: Box Office 1966 (archived)</t>
        </is>
      </c>
      <c r="E338" s="5" t="inlineStr">
        <is>
          <t>Box Office India</t>
        </is>
      </c>
      <c r="F338" s="5" t="n"/>
      <c r="G338" s="5" t="n"/>
      <c r="H338" s="22" t="inlineStr">
        <is>
          <t>https://web.archive.org/web/20100601/http://boxofficeindia.com/showProd.php?itemCat=172&amp;catName=MTk2Ng==</t>
        </is>
      </c>
      <c r="I338" s="16" t="n">
        <v>46300</v>
      </c>
      <c r="J338" s="5" t="inlineStr">
        <is>
          <t>Annual box-office rank, India gross, nett gross and trade verdict for 1966 Hindi releases (top-20 table).</t>
        </is>
      </c>
      <c r="K338" s="5" t="inlineStr">
        <is>
          <t>Trade box-office archive</t>
        </is>
      </c>
      <c r="L338" s="5" t="inlineStr">
        <is>
          <t>B</t>
        </is>
      </c>
      <c r="M338" s="5" t="inlineStr">
        <is>
          <t>Archived copy of the Box Office India annual table; the live site no longer serves pre-1989 years. Figures are nominal rupees; nett and gross are reported separately. Resolves to the capture nearest 1 June 2010.</t>
        </is>
      </c>
    </row>
    <row r="339" ht="79" customHeight="1">
      <c r="A339" s="15" t="inlineStr">
        <is>
          <t>SOURCE-340</t>
        </is>
      </c>
      <c r="B339" s="5" t="inlineStr">
        <is>
          <t>FILM-022; FILM-023</t>
        </is>
      </c>
      <c r="C339" s="5" t="n"/>
      <c r="D339" s="5" t="inlineStr">
        <is>
          <t>Box Office India: Box Office 1967 (archived)</t>
        </is>
      </c>
      <c r="E339" s="5" t="inlineStr">
        <is>
          <t>Box Office India</t>
        </is>
      </c>
      <c r="F339" s="5" t="n"/>
      <c r="G339" s="5" t="n"/>
      <c r="H339" s="22" t="inlineStr">
        <is>
          <t>https://web.archive.org/web/20100601/http://boxofficeindia.com/showProd.php?itemCat=173&amp;catName=MTk2Nw==</t>
        </is>
      </c>
      <c r="I339" s="16" t="n">
        <v>46300</v>
      </c>
      <c r="J339" s="5" t="inlineStr">
        <is>
          <t>Annual box-office rank, India gross, nett gross and trade verdict for 1967 Hindi releases (top-20 table).</t>
        </is>
      </c>
      <c r="K339" s="5" t="inlineStr">
        <is>
          <t>Trade box-office archive</t>
        </is>
      </c>
      <c r="L339" s="5" t="inlineStr">
        <is>
          <t>B</t>
        </is>
      </c>
      <c r="M339" s="5" t="inlineStr">
        <is>
          <t>Archived copy of the Box Office India annual table; the live site no longer serves pre-1989 years. Figures are nominal rupees; nett and gross are reported separately. Resolves to the capture nearest 1 June 2010.</t>
        </is>
      </c>
    </row>
    <row r="340" ht="79" customHeight="1">
      <c r="A340" s="15" t="inlineStr">
        <is>
          <t>SOURCE-341</t>
        </is>
      </c>
      <c r="B340" s="5" t="inlineStr">
        <is>
          <t>FILM-025; FILM-026</t>
        </is>
      </c>
      <c r="C340" s="5" t="n"/>
      <c r="D340" s="5" t="inlineStr">
        <is>
          <t>Box Office India: Box Office 1968 (archived)</t>
        </is>
      </c>
      <c r="E340" s="5" t="inlineStr">
        <is>
          <t>Box Office India</t>
        </is>
      </c>
      <c r="F340" s="5" t="n"/>
      <c r="G340" s="5" t="n"/>
      <c r="H340" s="22" t="inlineStr">
        <is>
          <t>https://web.archive.org/web/20100601/http://boxofficeindia.com/showProd.php?itemCat=174&amp;catName=MTk2OA==</t>
        </is>
      </c>
      <c r="I340" s="16" t="n">
        <v>46300</v>
      </c>
      <c r="J340" s="5" t="inlineStr">
        <is>
          <t>Annual box-office rank, India gross, nett gross and trade verdict for 1968 Hindi releases (top-20 table).</t>
        </is>
      </c>
      <c r="K340" s="5" t="inlineStr">
        <is>
          <t>Trade box-office archive</t>
        </is>
      </c>
      <c r="L340" s="5" t="inlineStr">
        <is>
          <t>B</t>
        </is>
      </c>
      <c r="M340" s="5" t="inlineStr">
        <is>
          <t>Archived copy of the Box Office India annual table; the live site no longer serves pre-1989 years. Figures are nominal rupees; nett and gross are reported separately. Resolves to the capture nearest 1 June 2010.</t>
        </is>
      </c>
    </row>
    <row r="341" ht="79" customHeight="1">
      <c r="A341" s="15" t="inlineStr">
        <is>
          <t>SOURCE-342</t>
        </is>
      </c>
      <c r="B341" s="5" t="inlineStr">
        <is>
          <t>FILM-043</t>
        </is>
      </c>
      <c r="C341" s="5" t="n"/>
      <c r="D341" s="5" t="inlineStr">
        <is>
          <t>Box Office India: Box Office 1973 (archived)</t>
        </is>
      </c>
      <c r="E341" s="5" t="inlineStr">
        <is>
          <t>Box Office India</t>
        </is>
      </c>
      <c r="F341" s="5" t="n"/>
      <c r="G341" s="5" t="n"/>
      <c r="H341" s="22" t="inlineStr">
        <is>
          <t>https://web.archive.org/web/20100601/http://boxofficeindia.com/showProd.php?itemCat=179&amp;catName=MTk3Mw==</t>
        </is>
      </c>
      <c r="I341" s="16" t="n">
        <v>46300</v>
      </c>
      <c r="J341" s="5" t="inlineStr">
        <is>
          <t>Annual box-office rank, India gross, nett gross and trade verdict for 1973 Hindi releases (top-20 table).</t>
        </is>
      </c>
      <c r="K341" s="5" t="inlineStr">
        <is>
          <t>Trade box-office archive</t>
        </is>
      </c>
      <c r="L341" s="5" t="inlineStr">
        <is>
          <t>B</t>
        </is>
      </c>
      <c r="M341" s="5" t="inlineStr">
        <is>
          <t>Archived copy of the Box Office India annual table; the live site no longer serves pre-1989 years. Figures are nominal rupees; nett and gross are reported separately. Resolves to the capture nearest 1 June 2010.</t>
        </is>
      </c>
    </row>
    <row r="342" ht="79" customHeight="1">
      <c r="A342" s="15" t="inlineStr">
        <is>
          <t>SOURCE-343</t>
        </is>
      </c>
      <c r="B342" s="5" t="inlineStr">
        <is>
          <t>FILM-048; FILM-050</t>
        </is>
      </c>
      <c r="C342" s="5" t="n"/>
      <c r="D342" s="5" t="inlineStr">
        <is>
          <t>Box Office India: Box Office 1974 (archived)</t>
        </is>
      </c>
      <c r="E342" s="5" t="inlineStr">
        <is>
          <t>Box Office India</t>
        </is>
      </c>
      <c r="F342" s="5" t="n"/>
      <c r="G342" s="5" t="n"/>
      <c r="H342" s="22" t="inlineStr">
        <is>
          <t>https://web.archive.org/web/20100601/http://boxofficeindia.com/showProd.php?itemCat=180&amp;catName=MTk3NA==</t>
        </is>
      </c>
      <c r="I342" s="16" t="n">
        <v>46300</v>
      </c>
      <c r="J342" s="5" t="inlineStr">
        <is>
          <t>Annual box-office rank, India gross, nett gross and trade verdict for 1974 Hindi releases (top-20 table).</t>
        </is>
      </c>
      <c r="K342" s="5" t="inlineStr">
        <is>
          <t>Trade box-office archive</t>
        </is>
      </c>
      <c r="L342" s="5" t="inlineStr">
        <is>
          <t>B</t>
        </is>
      </c>
      <c r="M342" s="5" t="inlineStr">
        <is>
          <t>Archived copy of the Box Office India annual table; the live site no longer serves pre-1989 years. Figures are nominal rupees; nett and gross are reported separately. Resolves to the capture nearest 1 June 2010.</t>
        </is>
      </c>
    </row>
    <row r="343" ht="79" customHeight="1">
      <c r="A343" s="15" t="inlineStr">
        <is>
          <t>SOURCE-344</t>
        </is>
      </c>
      <c r="B343" s="5" t="inlineStr">
        <is>
          <t>FILM-059; FILM-060; FILM-061; FILM-062</t>
        </is>
      </c>
      <c r="C343" s="5" t="n"/>
      <c r="D343" s="5" t="inlineStr">
        <is>
          <t>Box Office India: Box Office 1976 (archived)</t>
        </is>
      </c>
      <c r="E343" s="5" t="inlineStr">
        <is>
          <t>Box Office India</t>
        </is>
      </c>
      <c r="F343" s="5" t="n"/>
      <c r="G343" s="5" t="n"/>
      <c r="H343" s="22" t="inlineStr">
        <is>
          <t>https://web.archive.org/web/20100601/http://boxofficeindia.com/showProd.php?itemCat=182&amp;catName=MTk3Ng==</t>
        </is>
      </c>
      <c r="I343" s="16" t="n">
        <v>46300</v>
      </c>
      <c r="J343" s="5" t="inlineStr">
        <is>
          <t>Annual box-office rank, India gross, nett gross and trade verdict for 1976 Hindi releases (top-20 table).</t>
        </is>
      </c>
      <c r="K343" s="5" t="inlineStr">
        <is>
          <t>Trade box-office archive</t>
        </is>
      </c>
      <c r="L343" s="5" t="inlineStr">
        <is>
          <t>B</t>
        </is>
      </c>
      <c r="M343" s="5" t="inlineStr">
        <is>
          <t>Archived copy of the Box Office India annual table; the live site no longer serves pre-1989 years. Figures are nominal rupees; nett and gross are reported separately. Resolves to the capture nearest 1 June 2010.</t>
        </is>
      </c>
    </row>
    <row r="344" ht="79" customHeight="1">
      <c r="A344" s="15" t="inlineStr">
        <is>
          <t>SOURCE-345</t>
        </is>
      </c>
      <c r="B344" s="5" t="inlineStr">
        <is>
          <t>FILM-066; FILM-067</t>
        </is>
      </c>
      <c r="C344" s="5" t="n"/>
      <c r="D344" s="5" t="inlineStr">
        <is>
          <t>Box Office India: Box Office 1977 (archived)</t>
        </is>
      </c>
      <c r="E344" s="5" t="inlineStr">
        <is>
          <t>Box Office India</t>
        </is>
      </c>
      <c r="F344" s="5" t="n"/>
      <c r="G344" s="5" t="n"/>
      <c r="H344" s="22" t="inlineStr">
        <is>
          <t>https://web.archive.org/web/20100601/http://boxofficeindia.com/showProd.php?itemCat=183&amp;catName=MTk3Nw==</t>
        </is>
      </c>
      <c r="I344" s="16" t="n">
        <v>46300</v>
      </c>
      <c r="J344" s="5" t="inlineStr">
        <is>
          <t>Annual box-office rank, India gross, nett gross and trade verdict for 1977 Hindi releases (top-20 table).</t>
        </is>
      </c>
      <c r="K344" s="5" t="inlineStr">
        <is>
          <t>Trade box-office archive</t>
        </is>
      </c>
      <c r="L344" s="5" t="inlineStr">
        <is>
          <t>B</t>
        </is>
      </c>
      <c r="M344" s="5" t="inlineStr">
        <is>
          <t>Archived copy of the Box Office India annual table; the live site no longer serves pre-1989 years. Figures are nominal rupees; nett and gross are reported separately. Resolves to the capture nearest 1 June 2010.</t>
        </is>
      </c>
    </row>
    <row r="345" ht="79" customHeight="1">
      <c r="A345" s="15" t="inlineStr">
        <is>
          <t>SOURCE-346</t>
        </is>
      </c>
      <c r="B345" s="5" t="inlineStr">
        <is>
          <t>FILM-073; FILM-076; FILM-078</t>
        </is>
      </c>
      <c r="C345" s="5" t="n"/>
      <c r="D345" s="5" t="inlineStr">
        <is>
          <t>Box Office India: Box Office 1978 (archived)</t>
        </is>
      </c>
      <c r="E345" s="5" t="inlineStr">
        <is>
          <t>Box Office India</t>
        </is>
      </c>
      <c r="F345" s="5" t="n"/>
      <c r="G345" s="5" t="n"/>
      <c r="H345" s="22" t="inlineStr">
        <is>
          <t>https://web.archive.org/web/20100601/http://boxofficeindia.com/showProd.php?itemCat=184&amp;catName=MTk3OA==</t>
        </is>
      </c>
      <c r="I345" s="16" t="n">
        <v>46300</v>
      </c>
      <c r="J345" s="5" t="inlineStr">
        <is>
          <t>Annual box-office rank, India gross, nett gross and trade verdict for 1978 Hindi releases (top-20 table).</t>
        </is>
      </c>
      <c r="K345" s="5" t="inlineStr">
        <is>
          <t>Trade box-office archive</t>
        </is>
      </c>
      <c r="L345" s="5" t="inlineStr">
        <is>
          <t>B</t>
        </is>
      </c>
      <c r="M345" s="5" t="inlineStr">
        <is>
          <t>Archived copy of the Box Office India annual table; the live site no longer serves pre-1989 years. Figures are nominal rupees; nett and gross are reported separately. Resolves to the capture nearest 1 June 2010.</t>
        </is>
      </c>
    </row>
    <row r="346" ht="79" customHeight="1">
      <c r="A346" s="15" t="inlineStr">
        <is>
          <t>SOURCE-347</t>
        </is>
      </c>
      <c r="B346" s="5" t="inlineStr">
        <is>
          <t>FILM-083; FILM-085; FILM-086; FILM-087</t>
        </is>
      </c>
      <c r="C346" s="5" t="n"/>
      <c r="D346" s="5" t="inlineStr">
        <is>
          <t>Box Office India: Box Office 1979 (archived)</t>
        </is>
      </c>
      <c r="E346" s="5" t="inlineStr">
        <is>
          <t>Box Office India</t>
        </is>
      </c>
      <c r="F346" s="5" t="n"/>
      <c r="G346" s="5" t="n"/>
      <c r="H346" s="22" t="inlineStr">
        <is>
          <t>https://web.archive.org/web/20100601/http://boxofficeindia.com/showProd.php?itemCat=185&amp;catName=MTk3OQ==</t>
        </is>
      </c>
      <c r="I346" s="16" t="n">
        <v>46300</v>
      </c>
      <c r="J346" s="5" t="inlineStr">
        <is>
          <t>Annual box-office rank, India gross, nett gross and trade verdict for 1979 Hindi releases (top-20 table).</t>
        </is>
      </c>
      <c r="K346" s="5" t="inlineStr">
        <is>
          <t>Trade box-office archive</t>
        </is>
      </c>
      <c r="L346" s="5" t="inlineStr">
        <is>
          <t>B</t>
        </is>
      </c>
      <c r="M346" s="5" t="inlineStr">
        <is>
          <t>Archived copy of the Box Office India annual table; the live site no longer serves pre-1989 years. Figures are nominal rupees; nett and gross are reported separately. Resolves to the capture nearest 1 June 2010.</t>
        </is>
      </c>
    </row>
    <row r="347" ht="79" customHeight="1">
      <c r="A347" s="15" t="inlineStr">
        <is>
          <t>SOURCE-348</t>
        </is>
      </c>
      <c r="B347" s="5" t="inlineStr">
        <is>
          <t>FILM-088; FILM-092; FILM-094</t>
        </is>
      </c>
      <c r="C347" s="5" t="n"/>
      <c r="D347" s="5" t="inlineStr">
        <is>
          <t>Box Office India: Box Office 1980 (archived)</t>
        </is>
      </c>
      <c r="E347" s="5" t="inlineStr">
        <is>
          <t>Box Office India</t>
        </is>
      </c>
      <c r="F347" s="5" t="n"/>
      <c r="G347" s="5" t="n"/>
      <c r="H347" s="22" t="inlineStr">
        <is>
          <t>https://web.archive.org/web/20100601/http://boxofficeindia.com/showProd.php?itemCat=186&amp;catName=MTk4MA==</t>
        </is>
      </c>
      <c r="I347" s="16" t="n">
        <v>46300</v>
      </c>
      <c r="J347" s="5" t="inlineStr">
        <is>
          <t>Annual box-office rank, India gross, nett gross and trade verdict for 1980 Hindi releases (top-20 table).</t>
        </is>
      </c>
      <c r="K347" s="5" t="inlineStr">
        <is>
          <t>Trade box-office archive</t>
        </is>
      </c>
      <c r="L347" s="5" t="inlineStr">
        <is>
          <t>B</t>
        </is>
      </c>
      <c r="M347" s="5" t="inlineStr">
        <is>
          <t>Archived copy of the Box Office India annual table; the live site no longer serves pre-1989 years. Figures are nominal rupees; nett and gross are reported separately. Resolves to the capture nearest 1 June 2010.</t>
        </is>
      </c>
    </row>
    <row r="348" ht="79" customHeight="1">
      <c r="A348" s="15" t="inlineStr">
        <is>
          <t>SOURCE-349</t>
        </is>
      </c>
      <c r="B348" s="5" t="inlineStr">
        <is>
          <t>FILM-097; FILM-098; FILM-099</t>
        </is>
      </c>
      <c r="C348" s="5" t="n"/>
      <c r="D348" s="5" t="inlineStr">
        <is>
          <t>Box Office India: Box Office 1981 (archived)</t>
        </is>
      </c>
      <c r="E348" s="5" t="inlineStr">
        <is>
          <t>Box Office India</t>
        </is>
      </c>
      <c r="F348" s="5" t="n"/>
      <c r="G348" s="5" t="n"/>
      <c r="H348" s="22" t="inlineStr">
        <is>
          <t>https://web.archive.org/web/20100601/http://boxofficeindia.com/showProd.php?itemCat=187&amp;catName=MTk4MQ==</t>
        </is>
      </c>
      <c r="I348" s="16" t="n">
        <v>46300</v>
      </c>
      <c r="J348" s="5" t="inlineStr">
        <is>
          <t>Annual box-office rank, India gross, nett gross and trade verdict for 1981 Hindi releases (top-20 table).</t>
        </is>
      </c>
      <c r="K348" s="5" t="inlineStr">
        <is>
          <t>Trade box-office archive</t>
        </is>
      </c>
      <c r="L348" s="5" t="inlineStr">
        <is>
          <t>B</t>
        </is>
      </c>
      <c r="M348" s="5" t="inlineStr">
        <is>
          <t>Archived copy of the Box Office India annual table; the live site no longer serves pre-1989 years. Figures are nominal rupees; nett and gross are reported separately. Resolves to the capture nearest 1 June 2010.</t>
        </is>
      </c>
    </row>
    <row r="349" ht="79" customHeight="1">
      <c r="A349" s="15" t="inlineStr">
        <is>
          <t>SOURCE-350</t>
        </is>
      </c>
      <c r="B349" s="5" t="inlineStr">
        <is>
          <t>FILM-105</t>
        </is>
      </c>
      <c r="C349" s="5" t="n"/>
      <c r="D349" s="5" t="inlineStr">
        <is>
          <t>Box Office India: Box Office 1982 (archived)</t>
        </is>
      </c>
      <c r="E349" s="5" t="inlineStr">
        <is>
          <t>Box Office India</t>
        </is>
      </c>
      <c r="F349" s="5" t="n"/>
      <c r="G349" s="5" t="n"/>
      <c r="H349" s="22" t="inlineStr">
        <is>
          <t>https://web.archive.org/web/20100601/http://boxofficeindia.com/showProd.php?itemCat=188&amp;catName=MTk4Mg==</t>
        </is>
      </c>
      <c r="I349" s="16" t="n">
        <v>46300</v>
      </c>
      <c r="J349" s="5" t="inlineStr">
        <is>
          <t>Annual box-office rank, India gross, nett gross and trade verdict for 1982 Hindi releases (top-20 table).</t>
        </is>
      </c>
      <c r="K349" s="5" t="inlineStr">
        <is>
          <t>Trade box-office archive</t>
        </is>
      </c>
      <c r="L349" s="5" t="inlineStr">
        <is>
          <t>B</t>
        </is>
      </c>
      <c r="M349" s="5" t="inlineStr">
        <is>
          <t>Archived copy of the Box Office India annual table; the live site no longer serves pre-1989 years. Figures are nominal rupees; nett and gross are reported separately. Resolves to the capture nearest 1 June 2010.</t>
        </is>
      </c>
    </row>
    <row r="350" ht="79" customHeight="1">
      <c r="A350" s="15" t="inlineStr">
        <is>
          <t>SOURCE-351</t>
        </is>
      </c>
      <c r="B350" s="5" t="inlineStr">
        <is>
          <t>FILM-146</t>
        </is>
      </c>
      <c r="C350" s="5" t="n"/>
      <c r="D350" s="5" t="inlineStr">
        <is>
          <t>Box Office India: Box Office 1991 (archived)</t>
        </is>
      </c>
      <c r="E350" s="5" t="inlineStr">
        <is>
          <t>Box Office India</t>
        </is>
      </c>
      <c r="F350" s="5" t="n"/>
      <c r="G350" s="5" t="n"/>
      <c r="H350" s="22" t="inlineStr">
        <is>
          <t>https://web.archive.org/web/20100601/http://boxofficeindia.com/showProd.php?itemCat=197&amp;catName=MTk5MQ==</t>
        </is>
      </c>
      <c r="I350" s="16" t="n">
        <v>46300</v>
      </c>
      <c r="J350" s="5" t="inlineStr">
        <is>
          <t>Annual box-office rank, India gross, nett gross and trade verdict for 1991 Hindi releases (top-20 table).</t>
        </is>
      </c>
      <c r="K350" s="5" t="inlineStr">
        <is>
          <t>Trade box-office archive</t>
        </is>
      </c>
      <c r="L350" s="5" t="inlineStr">
        <is>
          <t>B</t>
        </is>
      </c>
      <c r="M350" s="5" t="inlineStr">
        <is>
          <t>Archived copy of the Box Office India annual table; the live site no longer serves pre-1989 years. Figures are nominal rupees; nett and gross are reported separately. Resolves to the capture nearest 1 June 2010.</t>
        </is>
      </c>
    </row>
    <row r="351" ht="49" customHeight="1">
      <c r="A351" s="15" t="inlineStr">
        <is>
          <t>SOURCE-352</t>
        </is>
      </c>
      <c r="B351" s="5" t="inlineStr">
        <is>
          <t>FILM-148</t>
        </is>
      </c>
      <c r="C351" s="5" t="n"/>
      <c r="D351" s="5" t="inlineStr">
        <is>
          <t>Box Office India: Muhafiz</t>
        </is>
      </c>
      <c r="E351" s="5" t="inlineStr">
        <is>
          <t>Box Office India</t>
        </is>
      </c>
      <c r="F351" s="5" t="n"/>
      <c r="G351" s="5" t="n"/>
      <c r="H351" s="22" t="inlineStr">
        <is>
          <t>https://www.boxofficeindia.com/movie.php?movieid=3163</t>
        </is>
      </c>
      <c r="I351" s="16" t="n">
        <v>46300</v>
      </c>
      <c r="J351" s="5" t="inlineStr">
        <is>
          <t>Nett gross, India gross, overseas gross, worldwide gross, budget and footfalls.</t>
        </is>
      </c>
      <c r="K351" s="5" t="inlineStr">
        <is>
          <t>Trade box-office database</t>
        </is>
      </c>
      <c r="L351" s="5" t="inlineStr">
        <is>
          <t>B</t>
        </is>
      </c>
      <c r="M351" s="5" t="inlineStr">
        <is>
          <t>Live Box Office India movie page. Identity confirmed from the credits listed on the page.</t>
        </is>
      </c>
    </row>
    <row r="352" ht="49" customHeight="1">
      <c r="A352" s="15" t="inlineStr">
        <is>
          <t>SOURCE-353</t>
        </is>
      </c>
      <c r="B352" s="5" t="inlineStr">
        <is>
          <t>FILM-151</t>
        </is>
      </c>
      <c r="C352" s="5" t="n"/>
      <c r="D352" s="5" t="inlineStr">
        <is>
          <t>Box Office India: Ghar Bazar</t>
        </is>
      </c>
      <c r="E352" s="5" t="inlineStr">
        <is>
          <t>Box Office India</t>
        </is>
      </c>
      <c r="F352" s="5" t="n"/>
      <c r="G352" s="5" t="n"/>
      <c r="H352" s="22" t="inlineStr">
        <is>
          <t>https://www.boxofficeindia.com/movie.php?movieid=2587</t>
        </is>
      </c>
      <c r="I352" s="16" t="n">
        <v>46300</v>
      </c>
      <c r="J352" s="5" t="inlineStr">
        <is>
          <t>Nett gross, India gross, overseas gross, worldwide gross, budget and footfalls.</t>
        </is>
      </c>
      <c r="K352" s="5" t="inlineStr">
        <is>
          <t>Trade box-office database</t>
        </is>
      </c>
      <c r="L352" s="5" t="inlineStr">
        <is>
          <t>B</t>
        </is>
      </c>
      <c r="M352" s="5" t="inlineStr">
        <is>
          <t>Live Box Office India movie page. Identity confirmed from the credits listed on the page.</t>
        </is>
      </c>
    </row>
    <row r="353" ht="49" customHeight="1">
      <c r="A353" s="15" t="inlineStr">
        <is>
          <t>SOURCE-354</t>
        </is>
      </c>
      <c r="B353" s="5" t="inlineStr">
        <is>
          <t>FILM-003</t>
        </is>
      </c>
      <c r="C353" s="5" t="n"/>
      <c r="D353" s="5" t="inlineStr">
        <is>
          <t>Samadhi (1950)</t>
        </is>
      </c>
      <c r="E353" s="5" t="inlineStr">
        <is>
          <t>The Hindu</t>
        </is>
      </c>
      <c r="F353" s="5" t="inlineStr">
        <is>
          <t>Suresh Kohli</t>
        </is>
      </c>
      <c r="G353" s="16" t="n">
        <v>40556</v>
      </c>
      <c r="H353" s="22" t="inlineStr">
        <is>
          <t>https://web.archive.org/web/20191213071725/https://www.thehindu.com/features/cinema/Samadhi-1950/article15518037.ece</t>
        </is>
      </c>
      <c r="I353" s="16" t="n">
        <v>46303</v>
      </c>
      <c r="J353" s="5" t="inlineStr">
        <is>
          <t>Retrospective notice: performances, script, and the film as the year's biggest hit with a gross profit of Rs 75 lakh.</t>
        </is>
      </c>
      <c r="K353" s="5" t="inlineStr">
        <is>
          <t>Newspaper retrospective notice</t>
        </is>
      </c>
      <c r="L353" s="5" t="inlineStr">
        <is>
          <t>B</t>
        </is>
      </c>
      <c r="M353" s="5" t="inlineStr">
        <is>
          <t>Archived copy; the live URL is retired or the domain is gone.</t>
        </is>
      </c>
    </row>
    <row r="354" ht="49" customHeight="1">
      <c r="A354" s="15" t="inlineStr">
        <is>
          <t>SOURCE-355</t>
        </is>
      </c>
      <c r="B354" s="5" t="inlineStr">
        <is>
          <t>FILM-032</t>
        </is>
      </c>
      <c r="C354" s="5" t="inlineStr">
        <is>
          <t>PAIR-017</t>
        </is>
      </c>
      <c r="D354" s="5" t="inlineStr">
        <is>
          <t>Abhinetri (1970)</t>
        </is>
      </c>
      <c r="E354" s="5" t="inlineStr">
        <is>
          <t>The Hindu</t>
        </is>
      </c>
      <c r="F354" s="5" t="inlineStr">
        <is>
          <t>A. P. S. Malhotra</t>
        </is>
      </c>
      <c r="G354" s="16" t="n">
        <v>40514</v>
      </c>
      <c r="H354" s="22" t="inlineStr">
        <is>
          <t>https://web.archive.org/web/20180522042012/http://www.thehindu.com/features/cinema/Abhinetri-1970/article15577821.ece</t>
        </is>
      </c>
      <c r="I354" s="16" t="n">
        <v>46303</v>
      </c>
      <c r="J354" s="5" t="inlineStr">
        <is>
          <t>Retrospective notice: explicit assessment of the Kapoor and Hema Malini pairing, and of both performances.</t>
        </is>
      </c>
      <c r="K354" s="5" t="inlineStr">
        <is>
          <t>Newspaper retrospective notice</t>
        </is>
      </c>
      <c r="L354" s="5" t="inlineStr">
        <is>
          <t>B</t>
        </is>
      </c>
      <c r="M354" s="5" t="inlineStr">
        <is>
          <t>Archived copy; the live URL is retired or the domain is gone.</t>
        </is>
      </c>
    </row>
    <row r="355" ht="64" customHeight="1">
      <c r="A355" s="15" t="inlineStr">
        <is>
          <t>SOURCE-356</t>
        </is>
      </c>
      <c r="B355" s="5" t="inlineStr">
        <is>
          <t>FILM-037</t>
        </is>
      </c>
      <c r="C355" s="5" t="n"/>
      <c r="D355" s="5" t="inlineStr">
        <is>
          <t>Sharmilee (1971)</t>
        </is>
      </c>
      <c r="E355" s="5" t="inlineStr">
        <is>
          <t>The Hindu</t>
        </is>
      </c>
      <c r="F355" s="5" t="n"/>
      <c r="G355" s="5" t="n"/>
      <c r="H355" s="22" t="inlineStr">
        <is>
          <t>https://web.archive.org/web/20130715233400/http://www.thehindu.com/features/cinema/sharmilee-1971/article4905163.ece</t>
        </is>
      </c>
      <c r="I355" s="16" t="n">
        <v>46303</v>
      </c>
      <c r="J355" s="5" t="inlineStr">
        <is>
          <t>Retrospective notice on double roles: Raakhee's dual part, the Kapoor and Raakhee collaboration count, and the soundtrack's role in the film's box-office performance.</t>
        </is>
      </c>
      <c r="K355" s="5" t="inlineStr">
        <is>
          <t>Newspaper retrospective notice</t>
        </is>
      </c>
      <c r="L355" s="5" t="inlineStr">
        <is>
          <t>B</t>
        </is>
      </c>
      <c r="M355" s="5" t="inlineStr">
        <is>
          <t>Archived copy; the live URL is retired or the domain is gone.</t>
        </is>
      </c>
    </row>
    <row r="356" ht="64" customHeight="1">
      <c r="A356" s="15" t="inlineStr">
        <is>
          <t>SOURCE-357</t>
        </is>
      </c>
      <c r="B356" s="5" t="inlineStr">
        <is>
          <t>FILM-054</t>
        </is>
      </c>
      <c r="C356" s="5" t="n"/>
      <c r="D356" s="5" t="inlineStr">
        <is>
          <t>Chori Mera Kaam (1975)</t>
        </is>
      </c>
      <c r="E356" s="5" t="inlineStr">
        <is>
          <t>The Hindu</t>
        </is>
      </c>
      <c r="F356" s="5" t="n"/>
      <c r="G356" s="16" t="n">
        <v>41984</v>
      </c>
      <c r="H356" s="22" t="inlineStr">
        <is>
          <t>https://www.thehindu.com/features/friday-review/chori-mera-kaam-1975/article6683094.ece</t>
        </is>
      </c>
      <c r="I356" s="16" t="n">
        <v>46303</v>
      </c>
      <c r="J356" s="5" t="inlineStr">
        <is>
          <t>Retrospective notice: Deven Verma's Filmfare-winning turn, and the Kapoor and Zeenat Aman romantic pair.</t>
        </is>
      </c>
      <c r="K356" s="5" t="inlineStr">
        <is>
          <t>Newspaper retrospective notice</t>
        </is>
      </c>
      <c r="L356" s="5" t="inlineStr">
        <is>
          <t>B</t>
        </is>
      </c>
      <c r="M356" s="5" t="inlineStr">
        <is>
          <t>Live article. The review body sits in the articlebodycontent container; a generic paragraph scrape returns only subscription furniture.</t>
        </is>
      </c>
    </row>
    <row r="357" ht="64" customHeight="1">
      <c r="A357" s="15" t="inlineStr">
        <is>
          <t>SOURCE-358</t>
        </is>
      </c>
      <c r="B357" s="5" t="inlineStr">
        <is>
          <t>FILM-059</t>
        </is>
      </c>
      <c r="C357" s="5" t="inlineStr">
        <is>
          <t>PAIR-036</t>
        </is>
      </c>
      <c r="D357" s="5" t="inlineStr">
        <is>
          <t>Aap Beati (1976)</t>
        </is>
      </c>
      <c r="E357" s="5" t="inlineStr">
        <is>
          <t>The Hindu</t>
        </is>
      </c>
      <c r="F357" s="5" t="n"/>
      <c r="G357" s="16" t="n">
        <v>42208</v>
      </c>
      <c r="H357" s="22" t="inlineStr">
        <is>
          <t>https://www.thehindu.com/features/friday-review/aap-beati-1976/article7456284.ece</t>
        </is>
      </c>
      <c r="I357" s="16" t="n">
        <v>46303</v>
      </c>
      <c r="J357" s="5" t="inlineStr">
        <is>
          <t>Retrospective notice: the two lead performances, and the film's flaws despite a successful run.</t>
        </is>
      </c>
      <c r="K357" s="5" t="inlineStr">
        <is>
          <t>Newspaper retrospective notice</t>
        </is>
      </c>
      <c r="L357" s="5" t="inlineStr">
        <is>
          <t>B</t>
        </is>
      </c>
      <c r="M357" s="5" t="inlineStr">
        <is>
          <t>Live article. The review body sits in the articlebodycontent container; a generic paragraph scrape returns only subscription furniture.</t>
        </is>
      </c>
    </row>
    <row r="358" ht="64" customHeight="1">
      <c r="A358" s="15" t="inlineStr">
        <is>
          <t>SOURCE-359</t>
        </is>
      </c>
      <c r="B358" s="5" t="inlineStr">
        <is>
          <t>FILM-067</t>
        </is>
      </c>
      <c r="C358" s="5" t="n"/>
      <c r="D358" s="5" t="inlineStr">
        <is>
          <t>Immaan Dharam (1977), Blast from the Past</t>
        </is>
      </c>
      <c r="E358" s="5" t="inlineStr">
        <is>
          <t>The Hindu</t>
        </is>
      </c>
      <c r="F358" s="5" t="n"/>
      <c r="G358" s="16" t="n">
        <v>42054</v>
      </c>
      <c r="H358" s="22" t="inlineStr">
        <is>
          <t>https://www.thehindu.com/features/friday-review/blast-from-the-past-immaan-dharam-1977/article6913098.ece</t>
        </is>
      </c>
      <c r="I358" s="16" t="n">
        <v>46303</v>
      </c>
      <c r="J358" s="5" t="inlineStr">
        <is>
          <t>Retrospective notice: the film's failure to deliver on its cast, and Rekha's Durga as falling for Kapoor's Mohan.</t>
        </is>
      </c>
      <c r="K358" s="5" t="inlineStr">
        <is>
          <t>Newspaper retrospective notice</t>
        </is>
      </c>
      <c r="L358" s="5" t="inlineStr">
        <is>
          <t>B</t>
        </is>
      </c>
      <c r="M358" s="5" t="inlineStr">
        <is>
          <t>Live article. The review body sits in the articlebodycontent container; a generic paragraph scrape returns only subscription furniture.</t>
        </is>
      </c>
    </row>
    <row r="359" ht="64" customHeight="1">
      <c r="A359" s="15" t="inlineStr">
        <is>
          <t>SOURCE-360</t>
        </is>
      </c>
      <c r="B359" s="5" t="inlineStr">
        <is>
          <t>FILM-068</t>
        </is>
      </c>
      <c r="C359" s="5" t="inlineStr">
        <is>
          <t>PAIR-040</t>
        </is>
      </c>
      <c r="D359" s="5" t="inlineStr">
        <is>
          <t>Mukti (1977)</t>
        </is>
      </c>
      <c r="E359" s="5" t="inlineStr">
        <is>
          <t>The Hindu</t>
        </is>
      </c>
      <c r="F359" s="5" t="n"/>
      <c r="G359" s="16" t="n">
        <v>42509</v>
      </c>
      <c r="H359" s="22" t="inlineStr">
        <is>
          <t>https://www.thehindu.com/features/friday-review/mukti-1977/article8621742.ece</t>
        </is>
      </c>
      <c r="I359" s="16" t="n">
        <v>46303</v>
      </c>
      <c r="J359" s="5" t="inlineStr">
        <is>
          <t>Retrospective notice: direct assessment of the Kapoor and Vidya Sinha pairing, supporting performances, and a stated box-office status of hit.</t>
        </is>
      </c>
      <c r="K359" s="5" t="inlineStr">
        <is>
          <t>Newspaper retrospective notice</t>
        </is>
      </c>
      <c r="L359" s="5" t="inlineStr">
        <is>
          <t>B</t>
        </is>
      </c>
      <c r="M359" s="5" t="inlineStr">
        <is>
          <t>Live article. The review body sits in the articlebodycontent container; a generic paragraph scrape returns only subscription furniture.</t>
        </is>
      </c>
    </row>
    <row r="360" ht="64" customHeight="1">
      <c r="A360" s="15" t="inlineStr">
        <is>
          <t>SOURCE-361</t>
        </is>
      </c>
      <c r="B360" s="5" t="inlineStr">
        <is>
          <t>FILM-076</t>
        </is>
      </c>
      <c r="C360" s="5" t="inlineStr">
        <is>
          <t>PAIR-043</t>
        </is>
      </c>
      <c r="D360" s="5" t="inlineStr">
        <is>
          <t>Satyam Shivam Sundaram, Blast from the Past</t>
        </is>
      </c>
      <c r="E360" s="5" t="inlineStr">
        <is>
          <t>The Hindu</t>
        </is>
      </c>
      <c r="F360" s="5" t="n"/>
      <c r="G360" s="5" t="n"/>
      <c r="H360" s="22" t="inlineStr">
        <is>
          <t>https://web.archive.org/web/20141202230616/http://www.thehindu.com/features/cinema/cinema-columns/blast-from-the-past-satyam-shivam-sundaram-1977/article6445425.ece</t>
        </is>
      </c>
      <c r="I360" s="16" t="n">
        <v>46303</v>
      </c>
      <c r="J360" s="5" t="inlineStr">
        <is>
          <t>Retrospective notice: dismissive assessment of Kapoor's part and of Zeenat Aman's acting, and of the film's marketing.</t>
        </is>
      </c>
      <c r="K360" s="5" t="inlineStr">
        <is>
          <t>Newspaper retrospective notice</t>
        </is>
      </c>
      <c r="L360" s="5" t="inlineStr">
        <is>
          <t>B</t>
        </is>
      </c>
      <c r="M360" s="5" t="inlineStr">
        <is>
          <t>Archived copy; the live URL is retired or the domain is gone.</t>
        </is>
      </c>
    </row>
    <row r="361" ht="64" customHeight="1">
      <c r="A361" s="15" t="inlineStr">
        <is>
          <t>SOURCE-362</t>
        </is>
      </c>
      <c r="B361" s="5" t="inlineStr">
        <is>
          <t>FILM-079</t>
        </is>
      </c>
      <c r="C361" s="5" t="n"/>
      <c r="D361" s="5" t="inlineStr">
        <is>
          <t>Atithee (1978)</t>
        </is>
      </c>
      <c r="E361" s="5" t="inlineStr">
        <is>
          <t>The Hindu</t>
        </is>
      </c>
      <c r="F361" s="5" t="n"/>
      <c r="G361" s="16" t="n">
        <v>42334</v>
      </c>
      <c r="H361" s="22" t="inlineStr">
        <is>
          <t>https://www.thehindu.com/features/friday-review/atithee-1978/article7919780.ece</t>
        </is>
      </c>
      <c r="I361" s="16" t="n">
        <v>46303</v>
      </c>
      <c r="J361" s="5" t="inlineStr">
        <is>
          <t>Retrospective notice: the film's weakness against its cast, its unexplained box-office success, and a stated status of hit.</t>
        </is>
      </c>
      <c r="K361" s="5" t="inlineStr">
        <is>
          <t>Newspaper retrospective notice</t>
        </is>
      </c>
      <c r="L361" s="5" t="inlineStr">
        <is>
          <t>B</t>
        </is>
      </c>
      <c r="M361" s="5" t="inlineStr">
        <is>
          <t>Live article. The review body sits in the articlebodycontent container; a generic paragraph scrape returns only subscription furniture.</t>
        </is>
      </c>
    </row>
    <row r="362" ht="49" customHeight="1">
      <c r="A362" s="15" t="inlineStr">
        <is>
          <t>SOURCE-363</t>
        </is>
      </c>
      <c r="B362" s="5" t="inlineStr">
        <is>
          <t>FILM-081</t>
        </is>
      </c>
      <c r="C362" s="5" t="inlineStr">
        <is>
          <t>PAIR-046</t>
        </is>
      </c>
      <c r="D362" s="5" t="inlineStr">
        <is>
          <t>Heeralal Pannalal (1978)</t>
        </is>
      </c>
      <c r="E362" s="5" t="inlineStr">
        <is>
          <t>The Hindu</t>
        </is>
      </c>
      <c r="F362" s="5" t="n"/>
      <c r="G362" s="16" t="n">
        <v>41900</v>
      </c>
      <c r="H362" s="22" t="inlineStr">
        <is>
          <t>https://web.archive.org/web/20221018055132/https://www.thehindu.com/features/friday-review/heeralal-pannalal-1978/article6422569.ece</t>
        </is>
      </c>
      <c r="I362" s="16" t="n">
        <v>46303</v>
      </c>
      <c r="J362" s="5" t="inlineStr">
        <is>
          <t>Retrospective notice: the four lead performances, R. D. Burman's music, a stated status of hit, and Ashok Roy's only other hit.</t>
        </is>
      </c>
      <c r="K362" s="5" t="inlineStr">
        <is>
          <t>Newspaper retrospective notice</t>
        </is>
      </c>
      <c r="L362" s="5" t="inlineStr">
        <is>
          <t>B</t>
        </is>
      </c>
      <c r="M362" s="5" t="inlineStr">
        <is>
          <t>Archived copy; the live URL is retired or the domain is gone.</t>
        </is>
      </c>
    </row>
    <row r="363" ht="64" customHeight="1">
      <c r="A363" s="15" t="inlineStr">
        <is>
          <t>SOURCE-364</t>
        </is>
      </c>
      <c r="B363" s="5" t="inlineStr">
        <is>
          <t>FILM-084</t>
        </is>
      </c>
      <c r="C363" s="5" t="inlineStr">
        <is>
          <t>PAIR-048; PAIR-049</t>
        </is>
      </c>
      <c r="D363" s="5" t="inlineStr">
        <is>
          <t>Junoon, Blast from the Past</t>
        </is>
      </c>
      <c r="E363" s="5" t="inlineStr">
        <is>
          <t>The Hindu</t>
        </is>
      </c>
      <c r="F363" s="5" t="n"/>
      <c r="G363" s="16" t="n">
        <v>41830</v>
      </c>
      <c r="H363" s="22" t="inlineStr">
        <is>
          <t>https://www.thehindu.com/features/friday-review/blast-from-the-past-junoon-1978/article6196818.ece</t>
        </is>
      </c>
      <c r="I363" s="16" t="n">
        <v>46303</v>
      </c>
      <c r="J363" s="5" t="inlineStr">
        <is>
          <t>Retrospective notice: Nafisa Ali's debut performance, the wider cast, and a stated box-office status of average.</t>
        </is>
      </c>
      <c r="K363" s="5" t="inlineStr">
        <is>
          <t>Newspaper retrospective notice</t>
        </is>
      </c>
      <c r="L363" s="5" t="inlineStr">
        <is>
          <t>B</t>
        </is>
      </c>
      <c r="M363" s="5" t="inlineStr">
        <is>
          <t>Live article. The review body sits in the articlebodycontent container; a generic paragraph scrape returns only subscription furniture.</t>
        </is>
      </c>
    </row>
  </sheetData>
  <autoFilter ref="A1:M363"/>
  <dataValidations count="1">
    <dataValidation sqref="L2:L563" showDropDown="0" showInputMessage="0" showErrorMessage="1" allowBlank="1" errorTitle="Reliability Tier" error="Choose a value from the list." type="list">
      <formula1>"A,B,C,D"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2026-10-08T08:56:04Z</dcterms:created>
  <dcterms:modified xsi:type="dcterms:W3CDTF">2026-10-08T08:56:05Z</dcterms:modified>
</cp:coreProperties>
</file>